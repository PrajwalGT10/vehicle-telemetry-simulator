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eema\Downloads\"/>
    </mc:Choice>
  </mc:AlternateContent>
  <xr:revisionPtr revIDLastSave="0" documentId="8_{3C49AD82-3FCB-412C-B853-640F7A647C5A}" xr6:coauthVersionLast="47" xr6:coauthVersionMax="47" xr10:uidLastSave="{00000000-0000-0000-0000-000000000000}"/>
  <bookViews>
    <workbookView xWindow="1116" yWindow="1116" windowWidth="17280" windowHeight="8964" xr2:uid="{00000000-000D-0000-FFFF-FFFF00000000}"/>
  </bookViews>
  <sheets>
    <sheet name="Final Dataset" sheetId="16" r:id="rId1"/>
    <sheet name="Ai Generated" sheetId="22" state="hidden" r:id="rId2"/>
  </sheets>
  <definedNames>
    <definedName name="_xlnm._FilterDatabase" localSheetId="1" hidden="1">'Ai Generated'!$A$1:$H$1000</definedName>
    <definedName name="_xlnm._FilterDatabase" localSheetId="0" hidden="1">'Final Dataset'!$A$1:$J$2609</definedName>
  </definedNames>
  <calcPr calcId="181029"/>
  <fileRecoveryPr repairLoad="1"/>
</workbook>
</file>

<file path=xl/calcChain.xml><?xml version="1.0" encoding="utf-8"?>
<calcChain xmlns="http://schemas.openxmlformats.org/spreadsheetml/2006/main">
  <c r="J2609" i="16" l="1"/>
  <c r="F2609" i="16"/>
  <c r="E2609" i="16"/>
  <c r="D2609" i="16"/>
  <c r="C2609" i="16"/>
  <c r="B2609" i="16"/>
  <c r="A2609" i="16"/>
  <c r="J2608" i="16"/>
  <c r="F2608" i="16"/>
  <c r="E2608" i="16"/>
  <c r="D2608" i="16"/>
  <c r="C2608" i="16"/>
  <c r="B2608" i="16"/>
  <c r="A2608" i="16"/>
  <c r="J2607" i="16"/>
  <c r="F2607" i="16"/>
  <c r="E2607" i="16"/>
  <c r="D2607" i="16"/>
  <c r="C2607" i="16"/>
  <c r="B2607" i="16"/>
  <c r="A2607" i="16"/>
  <c r="J2606" i="16"/>
  <c r="F2606" i="16"/>
  <c r="E2606" i="16"/>
  <c r="D2606" i="16"/>
  <c r="C2606" i="16"/>
  <c r="B2606" i="16"/>
  <c r="A2606" i="16"/>
  <c r="J2605" i="16"/>
  <c r="F2605" i="16"/>
  <c r="E2605" i="16"/>
  <c r="D2605" i="16"/>
  <c r="C2605" i="16"/>
  <c r="B2605" i="16"/>
  <c r="A2605" i="16"/>
  <c r="J2604" i="16"/>
  <c r="F2604" i="16"/>
  <c r="E2604" i="16"/>
  <c r="D2604" i="16"/>
  <c r="C2604" i="16"/>
  <c r="B2604" i="16"/>
  <c r="A2604" i="16"/>
  <c r="J2603" i="16"/>
  <c r="F2603" i="16"/>
  <c r="E2603" i="16"/>
  <c r="D2603" i="16"/>
  <c r="C2603" i="16"/>
  <c r="B2603" i="16"/>
  <c r="A2603" i="16"/>
  <c r="J2602" i="16"/>
  <c r="H2602" i="16"/>
  <c r="G2602" i="16"/>
  <c r="F2602" i="16"/>
  <c r="E2602" i="16"/>
  <c r="D2602" i="16"/>
  <c r="C2602" i="16"/>
  <c r="B2602" i="16"/>
  <c r="A2602" i="16"/>
  <c r="J2601" i="16"/>
  <c r="H2601" i="16"/>
  <c r="G2601" i="16"/>
  <c r="F2601" i="16"/>
  <c r="E2601" i="16"/>
  <c r="D2601" i="16"/>
  <c r="C2601" i="16"/>
  <c r="B2601" i="16"/>
  <c r="A2601" i="16"/>
  <c r="J2600" i="16"/>
  <c r="H2600" i="16"/>
  <c r="G2600" i="16"/>
  <c r="F2600" i="16"/>
  <c r="E2600" i="16"/>
  <c r="D2600" i="16"/>
  <c r="C2600" i="16"/>
  <c r="B2600" i="16"/>
  <c r="A2600" i="16"/>
  <c r="J2599" i="16"/>
  <c r="H2599" i="16"/>
  <c r="G2599" i="16"/>
  <c r="F2599" i="16"/>
  <c r="E2599" i="16"/>
  <c r="D2599" i="16"/>
  <c r="C2599" i="16"/>
  <c r="B2599" i="16"/>
  <c r="A2599" i="16"/>
  <c r="J2598" i="16"/>
  <c r="H2598" i="16"/>
  <c r="G2598" i="16"/>
  <c r="F2598" i="16"/>
  <c r="E2598" i="16"/>
  <c r="D2598" i="16"/>
  <c r="C2598" i="16"/>
  <c r="B2598" i="16"/>
  <c r="A2598" i="16"/>
  <c r="J2597" i="16"/>
  <c r="H2597" i="16"/>
  <c r="G2597" i="16"/>
  <c r="F2597" i="16"/>
  <c r="E2597" i="16"/>
  <c r="D2597" i="16"/>
  <c r="C2597" i="16"/>
  <c r="B2597" i="16"/>
  <c r="A2597" i="16"/>
  <c r="J2596" i="16"/>
  <c r="H2596" i="16"/>
  <c r="G2596" i="16"/>
  <c r="F2596" i="16"/>
  <c r="E2596" i="16"/>
  <c r="D2596" i="16"/>
  <c r="C2596" i="16"/>
  <c r="B2596" i="16"/>
  <c r="A2596" i="16"/>
  <c r="J2595" i="16"/>
  <c r="F2595" i="16"/>
  <c r="E2595" i="16"/>
  <c r="D2595" i="16"/>
  <c r="C2595" i="16"/>
  <c r="B2595" i="16"/>
  <c r="A2595" i="16"/>
  <c r="J2594" i="16"/>
  <c r="F2594" i="16"/>
  <c r="E2594" i="16"/>
  <c r="D2594" i="16"/>
  <c r="C2594" i="16"/>
  <c r="B2594" i="16"/>
  <c r="A2594" i="16"/>
  <c r="J2593" i="16"/>
  <c r="F2593" i="16"/>
  <c r="E2593" i="16"/>
  <c r="D2593" i="16"/>
  <c r="C2593" i="16"/>
  <c r="B2593" i="16"/>
  <c r="A2593" i="16"/>
  <c r="J2592" i="16"/>
  <c r="F2592" i="16"/>
  <c r="E2592" i="16"/>
  <c r="D2592" i="16"/>
  <c r="C2592" i="16"/>
  <c r="B2592" i="16"/>
  <c r="A2592" i="16"/>
  <c r="J2591" i="16"/>
  <c r="F2591" i="16"/>
  <c r="E2591" i="16"/>
  <c r="D2591" i="16"/>
  <c r="C2591" i="16"/>
  <c r="B2591" i="16"/>
  <c r="A2591" i="16"/>
  <c r="J2590" i="16"/>
  <c r="F2590" i="16"/>
  <c r="E2590" i="16"/>
  <c r="D2590" i="16"/>
  <c r="C2590" i="16"/>
  <c r="B2590" i="16"/>
  <c r="A2590" i="16"/>
  <c r="J2589" i="16"/>
  <c r="F2589" i="16"/>
  <c r="E2589" i="16"/>
  <c r="D2589" i="16"/>
  <c r="C2589" i="16"/>
  <c r="B2589" i="16"/>
  <c r="A2589" i="16"/>
  <c r="J2588" i="16"/>
  <c r="F2588" i="16"/>
  <c r="E2588" i="16"/>
  <c r="D2588" i="16"/>
  <c r="C2588" i="16"/>
  <c r="B2588" i="16"/>
  <c r="A2588" i="16"/>
  <c r="J2587" i="16"/>
  <c r="F2587" i="16"/>
  <c r="E2587" i="16"/>
  <c r="D2587" i="16"/>
  <c r="C2587" i="16"/>
  <c r="B2587" i="16"/>
  <c r="A2587" i="16"/>
  <c r="J2586" i="16"/>
  <c r="F2586" i="16"/>
  <c r="E2586" i="16"/>
  <c r="D2586" i="16"/>
  <c r="C2586" i="16"/>
  <c r="B2586" i="16"/>
  <c r="A2586" i="16"/>
  <c r="J2585" i="16"/>
  <c r="F2585" i="16"/>
  <c r="E2585" i="16"/>
  <c r="D2585" i="16"/>
  <c r="C2585" i="16"/>
  <c r="B2585" i="16"/>
  <c r="A2585" i="16"/>
  <c r="J2584" i="16"/>
  <c r="F2584" i="16"/>
  <c r="E2584" i="16"/>
  <c r="D2584" i="16"/>
  <c r="C2584" i="16"/>
  <c r="B2584" i="16"/>
  <c r="A2584" i="16"/>
  <c r="J2583" i="16"/>
  <c r="F2583" i="16"/>
  <c r="E2583" i="16"/>
  <c r="D2583" i="16"/>
  <c r="C2583" i="16"/>
  <c r="B2583" i="16"/>
  <c r="A2583" i="16"/>
  <c r="J2582" i="16"/>
  <c r="F2582" i="16"/>
  <c r="E2582" i="16"/>
  <c r="D2582" i="16"/>
  <c r="C2582" i="16"/>
  <c r="B2582" i="16"/>
  <c r="A2582" i="16"/>
  <c r="J2581" i="16"/>
  <c r="F2581" i="16"/>
  <c r="E2581" i="16"/>
  <c r="D2581" i="16"/>
  <c r="C2581" i="16"/>
  <c r="B2581" i="16"/>
  <c r="A2581" i="16"/>
  <c r="J2580" i="16"/>
  <c r="F2580" i="16"/>
  <c r="E2580" i="16"/>
  <c r="D2580" i="16"/>
  <c r="C2580" i="16"/>
  <c r="B2580" i="16"/>
  <c r="A2580" i="16"/>
  <c r="J2579" i="16"/>
  <c r="F2579" i="16"/>
  <c r="E2579" i="16"/>
  <c r="D2579" i="16"/>
  <c r="C2579" i="16"/>
  <c r="B2579" i="16"/>
  <c r="A2579" i="16"/>
  <c r="J2578" i="16"/>
  <c r="F2578" i="16"/>
  <c r="E2578" i="16"/>
  <c r="D2578" i="16"/>
  <c r="C2578" i="16"/>
  <c r="B2578" i="16"/>
  <c r="A2578" i="16"/>
  <c r="J2577" i="16"/>
  <c r="F2577" i="16"/>
  <c r="E2577" i="16"/>
  <c r="D2577" i="16"/>
  <c r="C2577" i="16"/>
  <c r="B2577" i="16"/>
  <c r="A2577" i="16"/>
  <c r="J2576" i="16"/>
  <c r="F2576" i="16"/>
  <c r="E2576" i="16"/>
  <c r="D2576" i="16"/>
  <c r="C2576" i="16"/>
  <c r="B2576" i="16"/>
  <c r="A2576" i="16"/>
  <c r="J2575" i="16"/>
  <c r="F2575" i="16"/>
  <c r="E2575" i="16"/>
  <c r="D2575" i="16"/>
  <c r="C2575" i="16"/>
  <c r="B2575" i="16"/>
  <c r="A2575" i="16"/>
  <c r="J2574" i="16"/>
  <c r="F2574" i="16"/>
  <c r="E2574" i="16"/>
  <c r="D2574" i="16"/>
  <c r="C2574" i="16"/>
  <c r="B2574" i="16"/>
  <c r="A2574" i="16"/>
  <c r="J2573" i="16"/>
  <c r="F2573" i="16"/>
  <c r="E2573" i="16"/>
  <c r="D2573" i="16"/>
  <c r="C2573" i="16"/>
  <c r="B2573" i="16"/>
  <c r="A2573" i="16"/>
  <c r="J2572" i="16"/>
  <c r="F2572" i="16"/>
  <c r="E2572" i="16"/>
  <c r="D2572" i="16"/>
  <c r="C2572" i="16"/>
  <c r="B2572" i="16"/>
  <c r="A2572" i="16"/>
  <c r="J2571" i="16"/>
  <c r="F2571" i="16"/>
  <c r="E2571" i="16"/>
  <c r="D2571" i="16"/>
  <c r="C2571" i="16"/>
  <c r="B2571" i="16"/>
  <c r="A2571" i="16"/>
  <c r="J2570" i="16"/>
  <c r="F2570" i="16"/>
  <c r="E2570" i="16"/>
  <c r="D2570" i="16"/>
  <c r="C2570" i="16"/>
  <c r="B2570" i="16"/>
  <c r="A2570" i="16"/>
  <c r="J2569" i="16"/>
  <c r="F2569" i="16"/>
  <c r="E2569" i="16"/>
  <c r="D2569" i="16"/>
  <c r="C2569" i="16"/>
  <c r="B2569" i="16"/>
  <c r="A2569" i="16"/>
  <c r="J2568" i="16"/>
  <c r="F2568" i="16"/>
  <c r="E2568" i="16"/>
  <c r="D2568" i="16"/>
  <c r="C2568" i="16"/>
  <c r="B2568" i="16"/>
  <c r="A2568" i="16"/>
  <c r="J2567" i="16"/>
  <c r="F2567" i="16"/>
  <c r="E2567" i="16"/>
  <c r="D2567" i="16"/>
  <c r="C2567" i="16"/>
  <c r="B2567" i="16"/>
  <c r="A2567" i="16"/>
  <c r="J2566" i="16"/>
  <c r="F2566" i="16"/>
  <c r="E2566" i="16"/>
  <c r="D2566" i="16"/>
  <c r="C2566" i="16"/>
  <c r="B2566" i="16"/>
  <c r="A2566" i="16"/>
  <c r="J2565" i="16"/>
  <c r="F2565" i="16"/>
  <c r="E2565" i="16"/>
  <c r="D2565" i="16"/>
  <c r="C2565" i="16"/>
  <c r="B2565" i="16"/>
  <c r="A2565" i="16"/>
  <c r="J2564" i="16"/>
  <c r="F2564" i="16"/>
  <c r="E2564" i="16"/>
  <c r="D2564" i="16"/>
  <c r="C2564" i="16"/>
  <c r="B2564" i="16"/>
  <c r="A2564" i="16"/>
  <c r="J2563" i="16"/>
  <c r="F2563" i="16"/>
  <c r="E2563" i="16"/>
  <c r="D2563" i="16"/>
  <c r="C2563" i="16"/>
  <c r="B2563" i="16"/>
  <c r="A2563" i="16"/>
  <c r="J2562" i="16"/>
  <c r="F2562" i="16"/>
  <c r="E2562" i="16"/>
  <c r="D2562" i="16"/>
  <c r="C2562" i="16"/>
  <c r="B2562" i="16"/>
  <c r="A2562" i="16"/>
  <c r="J2561" i="16"/>
  <c r="F2561" i="16"/>
  <c r="E2561" i="16"/>
  <c r="D2561" i="16"/>
  <c r="C2561" i="16"/>
  <c r="B2561" i="16"/>
  <c r="A2561" i="16"/>
  <c r="J2560" i="16"/>
  <c r="H2560" i="16"/>
  <c r="G2560" i="16"/>
  <c r="F2560" i="16"/>
  <c r="E2560" i="16"/>
  <c r="D2560" i="16"/>
  <c r="C2560" i="16"/>
  <c r="B2560" i="16"/>
  <c r="A2560" i="16"/>
  <c r="J2559" i="16"/>
  <c r="H2559" i="16"/>
  <c r="G2559" i="16"/>
  <c r="F2559" i="16"/>
  <c r="E2559" i="16"/>
  <c r="D2559" i="16"/>
  <c r="C2559" i="16"/>
  <c r="B2559" i="16"/>
  <c r="A2559" i="16"/>
  <c r="J2558" i="16"/>
  <c r="H2558" i="16"/>
  <c r="G2558" i="16"/>
  <c r="F2558" i="16"/>
  <c r="E2558" i="16"/>
  <c r="D2558" i="16"/>
  <c r="C2558" i="16"/>
  <c r="B2558" i="16"/>
  <c r="A2558" i="16"/>
  <c r="J2557" i="16"/>
  <c r="H2557" i="16"/>
  <c r="G2557" i="16"/>
  <c r="F2557" i="16"/>
  <c r="E2557" i="16"/>
  <c r="D2557" i="16"/>
  <c r="C2557" i="16"/>
  <c r="B2557" i="16"/>
  <c r="A2557" i="16"/>
  <c r="J2556" i="16"/>
  <c r="H2556" i="16"/>
  <c r="G2556" i="16"/>
  <c r="F2556" i="16"/>
  <c r="E2556" i="16"/>
  <c r="D2556" i="16"/>
  <c r="C2556" i="16"/>
  <c r="B2556" i="16"/>
  <c r="A2556" i="16"/>
  <c r="J2555" i="16"/>
  <c r="H2555" i="16"/>
  <c r="G2555" i="16"/>
  <c r="F2555" i="16"/>
  <c r="E2555" i="16"/>
  <c r="D2555" i="16"/>
  <c r="C2555" i="16"/>
  <c r="B2555" i="16"/>
  <c r="A2555" i="16"/>
  <c r="J2554" i="16"/>
  <c r="F2554" i="16"/>
  <c r="E2554" i="16"/>
  <c r="D2554" i="16"/>
  <c r="C2554" i="16"/>
  <c r="B2554" i="16"/>
  <c r="A2554" i="16"/>
  <c r="J2553" i="16"/>
  <c r="F2553" i="16"/>
  <c r="E2553" i="16"/>
  <c r="D2553" i="16"/>
  <c r="C2553" i="16"/>
  <c r="B2553" i="16"/>
  <c r="A2553" i="16"/>
  <c r="J2552" i="16"/>
  <c r="H2552" i="16"/>
  <c r="G2552" i="16"/>
  <c r="F2552" i="16"/>
  <c r="E2552" i="16"/>
  <c r="D2552" i="16"/>
  <c r="C2552" i="16"/>
  <c r="B2552" i="16"/>
  <c r="A2552" i="16"/>
  <c r="J2551" i="16"/>
  <c r="H2551" i="16"/>
  <c r="G2551" i="16"/>
  <c r="F2551" i="16"/>
  <c r="E2551" i="16"/>
  <c r="D2551" i="16"/>
  <c r="C2551" i="16"/>
  <c r="B2551" i="16"/>
  <c r="A2551" i="16"/>
  <c r="J2550" i="16"/>
  <c r="H2550" i="16"/>
  <c r="G2550" i="16"/>
  <c r="F2550" i="16"/>
  <c r="E2550" i="16"/>
  <c r="D2550" i="16"/>
  <c r="C2550" i="16"/>
  <c r="B2550" i="16"/>
  <c r="A2550" i="16"/>
  <c r="J2549" i="16"/>
  <c r="H2549" i="16"/>
  <c r="G2549" i="16"/>
  <c r="F2549" i="16"/>
  <c r="E2549" i="16"/>
  <c r="D2549" i="16"/>
  <c r="C2549" i="16"/>
  <c r="B2549" i="16"/>
  <c r="A2549" i="16"/>
  <c r="J2548" i="16"/>
  <c r="H2548" i="16"/>
  <c r="G2548" i="16"/>
  <c r="F2548" i="16"/>
  <c r="E2548" i="16"/>
  <c r="D2548" i="16"/>
  <c r="C2548" i="16"/>
  <c r="B2548" i="16"/>
  <c r="A2548" i="16"/>
  <c r="J2547" i="16"/>
  <c r="H2547" i="16"/>
  <c r="G2547" i="16"/>
  <c r="F2547" i="16"/>
  <c r="E2547" i="16"/>
  <c r="D2547" i="16"/>
  <c r="C2547" i="16"/>
  <c r="B2547" i="16"/>
  <c r="A2547" i="16"/>
  <c r="J2546" i="16"/>
  <c r="H2546" i="16"/>
  <c r="G2546" i="16"/>
  <c r="F2546" i="16"/>
  <c r="E2546" i="16"/>
  <c r="D2546" i="16"/>
  <c r="C2546" i="16"/>
  <c r="B2546" i="16"/>
  <c r="A2546" i="16"/>
  <c r="J2545" i="16"/>
  <c r="H2545" i="16"/>
  <c r="G2545" i="16"/>
  <c r="F2545" i="16"/>
  <c r="E2545" i="16"/>
  <c r="D2545" i="16"/>
  <c r="C2545" i="16"/>
  <c r="B2545" i="16"/>
  <c r="A2545" i="16"/>
  <c r="J2544" i="16"/>
  <c r="H2544" i="16"/>
  <c r="G2544" i="16"/>
  <c r="F2544" i="16"/>
  <c r="E2544" i="16"/>
  <c r="D2544" i="16"/>
  <c r="C2544" i="16"/>
  <c r="B2544" i="16"/>
  <c r="A2544" i="16"/>
  <c r="J2543" i="16"/>
  <c r="H2543" i="16"/>
  <c r="G2543" i="16"/>
  <c r="F2543" i="16"/>
  <c r="E2543" i="16"/>
  <c r="D2543" i="16"/>
  <c r="C2543" i="16"/>
  <c r="B2543" i="16"/>
  <c r="A2543" i="16"/>
  <c r="J2542" i="16"/>
  <c r="H2542" i="16"/>
  <c r="G2542" i="16"/>
  <c r="F2542" i="16"/>
  <c r="E2542" i="16"/>
  <c r="D2542" i="16"/>
  <c r="C2542" i="16"/>
  <c r="B2542" i="16"/>
  <c r="A2542" i="16"/>
  <c r="J2541" i="16"/>
  <c r="H2541" i="16"/>
  <c r="G2541" i="16"/>
  <c r="F2541" i="16"/>
  <c r="E2541" i="16"/>
  <c r="D2541" i="16"/>
  <c r="C2541" i="16"/>
  <c r="B2541" i="16"/>
  <c r="A2541" i="16"/>
  <c r="J2540" i="16"/>
  <c r="H2540" i="16"/>
  <c r="G2540" i="16"/>
  <c r="F2540" i="16"/>
  <c r="E2540" i="16"/>
  <c r="D2540" i="16"/>
  <c r="C2540" i="16"/>
  <c r="B2540" i="16"/>
  <c r="A2540" i="16"/>
  <c r="J2539" i="16"/>
  <c r="H2539" i="16"/>
  <c r="G2539" i="16"/>
  <c r="F2539" i="16"/>
  <c r="E2539" i="16"/>
  <c r="D2539" i="16"/>
  <c r="C2539" i="16"/>
  <c r="B2539" i="16"/>
  <c r="A2539" i="16"/>
  <c r="J2538" i="16"/>
  <c r="H2538" i="16"/>
  <c r="G2538" i="16"/>
  <c r="F2538" i="16"/>
  <c r="E2538" i="16"/>
  <c r="D2538" i="16"/>
  <c r="C2538" i="16"/>
  <c r="B2538" i="16"/>
  <c r="A2538" i="16"/>
  <c r="J2537" i="16"/>
  <c r="H2537" i="16"/>
  <c r="G2537" i="16"/>
  <c r="F2537" i="16"/>
  <c r="E2537" i="16"/>
  <c r="D2537" i="16"/>
  <c r="C2537" i="16"/>
  <c r="B2537" i="16"/>
  <c r="A2537" i="16"/>
  <c r="J2536" i="16"/>
  <c r="H2536" i="16"/>
  <c r="G2536" i="16"/>
  <c r="F2536" i="16"/>
  <c r="E2536" i="16"/>
  <c r="D2536" i="16"/>
  <c r="C2536" i="16"/>
  <c r="B2536" i="16"/>
  <c r="A2536" i="16"/>
  <c r="J2535" i="16"/>
  <c r="H2535" i="16"/>
  <c r="G2535" i="16"/>
  <c r="F2535" i="16"/>
  <c r="E2535" i="16"/>
  <c r="D2535" i="16"/>
  <c r="C2535" i="16"/>
  <c r="B2535" i="16"/>
  <c r="A2535" i="16"/>
  <c r="J2534" i="16"/>
  <c r="H2534" i="16"/>
  <c r="G2534" i="16"/>
  <c r="F2534" i="16"/>
  <c r="E2534" i="16"/>
  <c r="D2534" i="16"/>
  <c r="C2534" i="16"/>
  <c r="B2534" i="16"/>
  <c r="A2534" i="16"/>
  <c r="J2533" i="16"/>
  <c r="H2533" i="16"/>
  <c r="G2533" i="16"/>
  <c r="F2533" i="16"/>
  <c r="E2533" i="16"/>
  <c r="D2533" i="16"/>
  <c r="C2533" i="16"/>
  <c r="B2533" i="16"/>
  <c r="A2533" i="16"/>
  <c r="J2532" i="16"/>
  <c r="H2532" i="16"/>
  <c r="G2532" i="16"/>
  <c r="F2532" i="16"/>
  <c r="E2532" i="16"/>
  <c r="D2532" i="16"/>
  <c r="C2532" i="16"/>
  <c r="B2532" i="16"/>
  <c r="A2532" i="16"/>
  <c r="J2531" i="16"/>
  <c r="H2531" i="16"/>
  <c r="G2531" i="16"/>
  <c r="F2531" i="16"/>
  <c r="E2531" i="16"/>
  <c r="D2531" i="16"/>
  <c r="C2531" i="16"/>
  <c r="B2531" i="16"/>
  <c r="A2531" i="16"/>
  <c r="J2530" i="16"/>
  <c r="H2530" i="16"/>
  <c r="G2530" i="16"/>
  <c r="F2530" i="16"/>
  <c r="E2530" i="16"/>
  <c r="D2530" i="16"/>
  <c r="C2530" i="16"/>
  <c r="B2530" i="16"/>
  <c r="A2530" i="16"/>
  <c r="J2529" i="16"/>
  <c r="H2529" i="16"/>
  <c r="G2529" i="16"/>
  <c r="F2529" i="16"/>
  <c r="E2529" i="16"/>
  <c r="D2529" i="16"/>
  <c r="C2529" i="16"/>
  <c r="B2529" i="16"/>
  <c r="A2529" i="16"/>
  <c r="J2528" i="16"/>
  <c r="H2528" i="16"/>
  <c r="G2528" i="16"/>
  <c r="F2528" i="16"/>
  <c r="E2528" i="16"/>
  <c r="D2528" i="16"/>
  <c r="C2528" i="16"/>
  <c r="B2528" i="16"/>
  <c r="A2528" i="16"/>
  <c r="J2527" i="16"/>
  <c r="H2527" i="16"/>
  <c r="G2527" i="16"/>
  <c r="F2527" i="16"/>
  <c r="E2527" i="16"/>
  <c r="D2527" i="16"/>
  <c r="C2527" i="16"/>
  <c r="B2527" i="16"/>
  <c r="A2527" i="16"/>
  <c r="J2526" i="16"/>
  <c r="H2526" i="16"/>
  <c r="G2526" i="16"/>
  <c r="F2526" i="16"/>
  <c r="E2526" i="16"/>
  <c r="D2526" i="16"/>
  <c r="C2526" i="16"/>
  <c r="B2526" i="16"/>
  <c r="A2526" i="16"/>
  <c r="J2525" i="16"/>
  <c r="H2525" i="16"/>
  <c r="G2525" i="16"/>
  <c r="F2525" i="16"/>
  <c r="E2525" i="16"/>
  <c r="D2525" i="16"/>
  <c r="C2525" i="16"/>
  <c r="B2525" i="16"/>
  <c r="A2525" i="16"/>
  <c r="J2524" i="16"/>
  <c r="H2524" i="16"/>
  <c r="G2524" i="16"/>
  <c r="F2524" i="16"/>
  <c r="E2524" i="16"/>
  <c r="D2524" i="16"/>
  <c r="C2524" i="16"/>
  <c r="B2524" i="16"/>
  <c r="A2524" i="16"/>
  <c r="J2523" i="16"/>
  <c r="H2523" i="16"/>
  <c r="G2523" i="16"/>
  <c r="F2523" i="16"/>
  <c r="E2523" i="16"/>
  <c r="D2523" i="16"/>
  <c r="C2523" i="16"/>
  <c r="B2523" i="16"/>
  <c r="A2523" i="16"/>
  <c r="J2522" i="16"/>
  <c r="H2522" i="16"/>
  <c r="G2522" i="16"/>
  <c r="F2522" i="16"/>
  <c r="E2522" i="16"/>
  <c r="D2522" i="16"/>
  <c r="C2522" i="16"/>
  <c r="B2522" i="16"/>
  <c r="A2522" i="16"/>
  <c r="J2521" i="16"/>
  <c r="H2521" i="16"/>
  <c r="G2521" i="16"/>
  <c r="F2521" i="16"/>
  <c r="E2521" i="16"/>
  <c r="D2521" i="16"/>
  <c r="C2521" i="16"/>
  <c r="B2521" i="16"/>
  <c r="A2521" i="16"/>
  <c r="J2520" i="16"/>
  <c r="H2520" i="16"/>
  <c r="G2520" i="16"/>
  <c r="F2520" i="16"/>
  <c r="E2520" i="16"/>
  <c r="D2520" i="16"/>
  <c r="C2520" i="16"/>
  <c r="B2520" i="16"/>
  <c r="A2520" i="16"/>
  <c r="J2519" i="16"/>
  <c r="H2519" i="16"/>
  <c r="G2519" i="16"/>
  <c r="F2519" i="16"/>
  <c r="E2519" i="16"/>
  <c r="D2519" i="16"/>
  <c r="C2519" i="16"/>
  <c r="B2519" i="16"/>
  <c r="A2519" i="16"/>
  <c r="J2518" i="16"/>
  <c r="H2518" i="16"/>
  <c r="G2518" i="16"/>
  <c r="F2518" i="16"/>
  <c r="E2518" i="16"/>
  <c r="D2518" i="16"/>
  <c r="C2518" i="16"/>
  <c r="B2518" i="16"/>
  <c r="A2518" i="16"/>
  <c r="J2517" i="16"/>
  <c r="H2517" i="16"/>
  <c r="G2517" i="16"/>
  <c r="F2517" i="16"/>
  <c r="E2517" i="16"/>
  <c r="D2517" i="16"/>
  <c r="C2517" i="16"/>
  <c r="B2517" i="16"/>
  <c r="A2517" i="16"/>
  <c r="J2516" i="16"/>
  <c r="H2516" i="16"/>
  <c r="G2516" i="16"/>
  <c r="F2516" i="16"/>
  <c r="E2516" i="16"/>
  <c r="D2516" i="16"/>
  <c r="C2516" i="16"/>
  <c r="B2516" i="16"/>
  <c r="A2516" i="16"/>
  <c r="J2515" i="16"/>
  <c r="H2515" i="16"/>
  <c r="G2515" i="16"/>
  <c r="F2515" i="16"/>
  <c r="E2515" i="16"/>
  <c r="D2515" i="16"/>
  <c r="C2515" i="16"/>
  <c r="B2515" i="16"/>
  <c r="A2515" i="16"/>
  <c r="J2514" i="16"/>
  <c r="H2514" i="16"/>
  <c r="G2514" i="16"/>
  <c r="F2514" i="16"/>
  <c r="E2514" i="16"/>
  <c r="D2514" i="16"/>
  <c r="C2514" i="16"/>
  <c r="B2514" i="16"/>
  <c r="A2514" i="16"/>
  <c r="J2513" i="16"/>
  <c r="H2513" i="16"/>
  <c r="G2513" i="16"/>
  <c r="F2513" i="16"/>
  <c r="E2513" i="16"/>
  <c r="D2513" i="16"/>
  <c r="C2513" i="16"/>
  <c r="B2513" i="16"/>
  <c r="A2513" i="16"/>
  <c r="J2512" i="16"/>
  <c r="H2512" i="16"/>
  <c r="G2512" i="16"/>
  <c r="F2512" i="16"/>
  <c r="E2512" i="16"/>
  <c r="D2512" i="16"/>
  <c r="C2512" i="16"/>
  <c r="B2512" i="16"/>
  <c r="A2512" i="16"/>
  <c r="J2511" i="16"/>
  <c r="H2511" i="16"/>
  <c r="G2511" i="16"/>
  <c r="F2511" i="16"/>
  <c r="E2511" i="16"/>
  <c r="D2511" i="16"/>
  <c r="C2511" i="16"/>
  <c r="B2511" i="16"/>
  <c r="A2511" i="16"/>
  <c r="I2510" i="16"/>
  <c r="F2510" i="16"/>
  <c r="E2510" i="16"/>
  <c r="D2510" i="16"/>
  <c r="C2510" i="16"/>
  <c r="B2510" i="16"/>
  <c r="A2510" i="16"/>
  <c r="J2509" i="16"/>
  <c r="F2509" i="16"/>
  <c r="E2509" i="16"/>
  <c r="D2509" i="16"/>
  <c r="C2509" i="16"/>
  <c r="B2509" i="16"/>
  <c r="A2509" i="16"/>
  <c r="J2508" i="16"/>
  <c r="F2508" i="16"/>
  <c r="E2508" i="16"/>
  <c r="D2508" i="16"/>
  <c r="C2508" i="16"/>
  <c r="B2508" i="16"/>
  <c r="A2508" i="16"/>
  <c r="J2507" i="16"/>
  <c r="F2507" i="16"/>
  <c r="E2507" i="16"/>
  <c r="D2507" i="16"/>
  <c r="C2507" i="16"/>
  <c r="B2507" i="16"/>
  <c r="A2507" i="16"/>
  <c r="J2506" i="16"/>
  <c r="F2506" i="16"/>
  <c r="E2506" i="16"/>
  <c r="D2506" i="16"/>
  <c r="C2506" i="16"/>
  <c r="B2506" i="16"/>
  <c r="A2506" i="16"/>
  <c r="J2505" i="16"/>
  <c r="F2505" i="16"/>
  <c r="E2505" i="16"/>
  <c r="D2505" i="16"/>
  <c r="C2505" i="16"/>
  <c r="B2505" i="16"/>
  <c r="A2505" i="16"/>
  <c r="J2504" i="16"/>
  <c r="F2504" i="16"/>
  <c r="E2504" i="16"/>
  <c r="D2504" i="16"/>
  <c r="C2504" i="16"/>
  <c r="B2504" i="16"/>
  <c r="A2504" i="16"/>
  <c r="J2503" i="16"/>
  <c r="F2503" i="16"/>
  <c r="E2503" i="16"/>
  <c r="D2503" i="16"/>
  <c r="C2503" i="16"/>
  <c r="B2503" i="16"/>
  <c r="A2503" i="16"/>
  <c r="J2502" i="16"/>
  <c r="F2502" i="16"/>
  <c r="E2502" i="16"/>
  <c r="D2502" i="16"/>
  <c r="C2502" i="16"/>
  <c r="B2502" i="16"/>
  <c r="A2502" i="16"/>
  <c r="J2501" i="16"/>
  <c r="H2501" i="16"/>
  <c r="G2501" i="16"/>
  <c r="F2501" i="16"/>
  <c r="E2501" i="16"/>
  <c r="D2501" i="16"/>
  <c r="C2501" i="16"/>
  <c r="B2501" i="16"/>
  <c r="A2501" i="16"/>
  <c r="J2500" i="16"/>
  <c r="H2500" i="16"/>
  <c r="G2500" i="16"/>
  <c r="F2500" i="16"/>
  <c r="E2500" i="16"/>
  <c r="D2500" i="16"/>
  <c r="C2500" i="16"/>
  <c r="B2500" i="16"/>
  <c r="A2500" i="16"/>
  <c r="J2499" i="16"/>
  <c r="H2499" i="16"/>
  <c r="G2499" i="16"/>
  <c r="F2499" i="16"/>
  <c r="E2499" i="16"/>
  <c r="D2499" i="16"/>
  <c r="C2499" i="16"/>
  <c r="B2499" i="16"/>
  <c r="A2499" i="16"/>
  <c r="J2498" i="16"/>
  <c r="H2498" i="16"/>
  <c r="G2498" i="16"/>
  <c r="F2498" i="16"/>
  <c r="E2498" i="16"/>
  <c r="D2498" i="16"/>
  <c r="C2498" i="16"/>
  <c r="B2498" i="16"/>
  <c r="A2498" i="16"/>
  <c r="J2497" i="16"/>
  <c r="H2497" i="16"/>
  <c r="G2497" i="16"/>
  <c r="F2497" i="16"/>
  <c r="E2497" i="16"/>
  <c r="D2497" i="16"/>
  <c r="C2497" i="16"/>
  <c r="B2497" i="16"/>
  <c r="A2497" i="16"/>
  <c r="J2496" i="16"/>
  <c r="H2496" i="16"/>
  <c r="G2496" i="16"/>
  <c r="F2496" i="16"/>
  <c r="E2496" i="16"/>
  <c r="D2496" i="16"/>
  <c r="C2496" i="16"/>
  <c r="B2496" i="16"/>
  <c r="A2496" i="16"/>
  <c r="J2495" i="16"/>
  <c r="H2495" i="16"/>
  <c r="G2495" i="16"/>
  <c r="F2495" i="16"/>
  <c r="E2495" i="16"/>
  <c r="D2495" i="16"/>
  <c r="C2495" i="16"/>
  <c r="B2495" i="16"/>
  <c r="A2495" i="16"/>
  <c r="J2494" i="16"/>
  <c r="H2494" i="16"/>
  <c r="G2494" i="16"/>
  <c r="F2494" i="16"/>
  <c r="E2494" i="16"/>
  <c r="D2494" i="16"/>
  <c r="C2494" i="16"/>
  <c r="B2494" i="16"/>
  <c r="A2494" i="16"/>
  <c r="J2493" i="16"/>
  <c r="H2493" i="16"/>
  <c r="G2493" i="16"/>
  <c r="F2493" i="16"/>
  <c r="E2493" i="16"/>
  <c r="D2493" i="16"/>
  <c r="C2493" i="16"/>
  <c r="B2493" i="16"/>
  <c r="A2493" i="16"/>
  <c r="J2492" i="16"/>
  <c r="H2492" i="16"/>
  <c r="G2492" i="16"/>
  <c r="F2492" i="16"/>
  <c r="E2492" i="16"/>
  <c r="D2492" i="16"/>
  <c r="C2492" i="16"/>
  <c r="B2492" i="16"/>
  <c r="A2492" i="16"/>
  <c r="J2491" i="16"/>
  <c r="H2491" i="16"/>
  <c r="G2491" i="16"/>
  <c r="F2491" i="16"/>
  <c r="E2491" i="16"/>
  <c r="D2491" i="16"/>
  <c r="C2491" i="16"/>
  <c r="B2491" i="16"/>
  <c r="A2491" i="16"/>
  <c r="J2490" i="16"/>
  <c r="H2490" i="16"/>
  <c r="G2490" i="16"/>
  <c r="F2490" i="16"/>
  <c r="E2490" i="16"/>
  <c r="D2490" i="16"/>
  <c r="C2490" i="16"/>
  <c r="B2490" i="16"/>
  <c r="A2490" i="16"/>
  <c r="J2489" i="16"/>
  <c r="H2489" i="16"/>
  <c r="G2489" i="16"/>
  <c r="F2489" i="16"/>
  <c r="E2489" i="16"/>
  <c r="D2489" i="16"/>
  <c r="C2489" i="16"/>
  <c r="B2489" i="16"/>
  <c r="A2489" i="16"/>
  <c r="J2488" i="16"/>
  <c r="H2488" i="16"/>
  <c r="G2488" i="16"/>
  <c r="F2488" i="16"/>
  <c r="E2488" i="16"/>
  <c r="D2488" i="16"/>
  <c r="C2488" i="16"/>
  <c r="B2488" i="16"/>
  <c r="A2488" i="16"/>
  <c r="J2487" i="16"/>
  <c r="H2487" i="16"/>
  <c r="G2487" i="16"/>
  <c r="F2487" i="16"/>
  <c r="E2487" i="16"/>
  <c r="D2487" i="16"/>
  <c r="C2487" i="16"/>
  <c r="B2487" i="16"/>
  <c r="A2487" i="16"/>
  <c r="J2486" i="16"/>
  <c r="H2486" i="16"/>
  <c r="G2486" i="16"/>
  <c r="F2486" i="16"/>
  <c r="E2486" i="16"/>
  <c r="D2486" i="16"/>
  <c r="C2486" i="16"/>
  <c r="B2486" i="16"/>
  <c r="A2486" i="16"/>
  <c r="J2485" i="16"/>
  <c r="H2485" i="16"/>
  <c r="G2485" i="16"/>
  <c r="F2485" i="16"/>
  <c r="E2485" i="16"/>
  <c r="D2485" i="16"/>
  <c r="C2485" i="16"/>
  <c r="B2485" i="16"/>
  <c r="A2485" i="16"/>
  <c r="J2484" i="16"/>
  <c r="H2484" i="16"/>
  <c r="G2484" i="16"/>
  <c r="F2484" i="16"/>
  <c r="E2484" i="16"/>
  <c r="D2484" i="16"/>
  <c r="C2484" i="16"/>
  <c r="B2484" i="16"/>
  <c r="A2484" i="16"/>
  <c r="J2483" i="16"/>
  <c r="H2483" i="16"/>
  <c r="G2483" i="16"/>
  <c r="F2483" i="16"/>
  <c r="E2483" i="16"/>
  <c r="D2483" i="16"/>
  <c r="C2483" i="16"/>
  <c r="B2483" i="16"/>
  <c r="A2483" i="16"/>
  <c r="J2482" i="16"/>
  <c r="H2482" i="16"/>
  <c r="G2482" i="16"/>
  <c r="F2482" i="16"/>
  <c r="E2482" i="16"/>
  <c r="D2482" i="16"/>
  <c r="C2482" i="16"/>
  <c r="B2482" i="16"/>
  <c r="A2482" i="16"/>
  <c r="J2481" i="16"/>
  <c r="H2481" i="16"/>
  <c r="G2481" i="16"/>
  <c r="F2481" i="16"/>
  <c r="E2481" i="16"/>
  <c r="D2481" i="16"/>
  <c r="C2481" i="16"/>
  <c r="B2481" i="16"/>
  <c r="A2481" i="16"/>
  <c r="J2480" i="16"/>
  <c r="H2480" i="16"/>
  <c r="G2480" i="16"/>
  <c r="F2480" i="16"/>
  <c r="E2480" i="16"/>
  <c r="D2480" i="16"/>
  <c r="C2480" i="16"/>
  <c r="B2480" i="16"/>
  <c r="A2480" i="16"/>
  <c r="J2479" i="16"/>
  <c r="H2479" i="16"/>
  <c r="G2479" i="16"/>
  <c r="F2479" i="16"/>
  <c r="E2479" i="16"/>
  <c r="D2479" i="16"/>
  <c r="C2479" i="16"/>
  <c r="B2479" i="16"/>
  <c r="A2479" i="16"/>
  <c r="J2478" i="16"/>
  <c r="H2478" i="16"/>
  <c r="G2478" i="16"/>
  <c r="F2478" i="16"/>
  <c r="E2478" i="16"/>
  <c r="D2478" i="16"/>
  <c r="C2478" i="16"/>
  <c r="B2478" i="16"/>
  <c r="A2478" i="16"/>
  <c r="J2477" i="16"/>
  <c r="H2477" i="16"/>
  <c r="G2477" i="16"/>
  <c r="F2477" i="16"/>
  <c r="E2477" i="16"/>
  <c r="D2477" i="16"/>
  <c r="C2477" i="16"/>
  <c r="B2477" i="16"/>
  <c r="A2477" i="16"/>
  <c r="J2476" i="16"/>
  <c r="H2476" i="16"/>
  <c r="G2476" i="16"/>
  <c r="F2476" i="16"/>
  <c r="E2476" i="16"/>
  <c r="D2476" i="16"/>
  <c r="C2476" i="16"/>
  <c r="B2476" i="16"/>
  <c r="A2476" i="16"/>
  <c r="J2475" i="16"/>
  <c r="H2475" i="16"/>
  <c r="G2475" i="16"/>
  <c r="F2475" i="16"/>
  <c r="E2475" i="16"/>
  <c r="D2475" i="16"/>
  <c r="C2475" i="16"/>
  <c r="B2475" i="16"/>
  <c r="A2475" i="16"/>
  <c r="J2474" i="16"/>
  <c r="H2474" i="16"/>
  <c r="G2474" i="16"/>
  <c r="F2474" i="16"/>
  <c r="E2474" i="16"/>
  <c r="D2474" i="16"/>
  <c r="C2474" i="16"/>
  <c r="B2474" i="16"/>
  <c r="A2474" i="16"/>
  <c r="J2473" i="16"/>
  <c r="H2473" i="16"/>
  <c r="G2473" i="16"/>
  <c r="F2473" i="16"/>
  <c r="E2473" i="16"/>
  <c r="D2473" i="16"/>
  <c r="C2473" i="16"/>
  <c r="B2473" i="16"/>
  <c r="A2473" i="16"/>
  <c r="J2472" i="16"/>
  <c r="H2472" i="16"/>
  <c r="G2472" i="16"/>
  <c r="F2472" i="16"/>
  <c r="E2472" i="16"/>
  <c r="D2472" i="16"/>
  <c r="C2472" i="16"/>
  <c r="B2472" i="16"/>
  <c r="A2472" i="16"/>
  <c r="J2471" i="16"/>
  <c r="H2471" i="16"/>
  <c r="G2471" i="16"/>
  <c r="F2471" i="16"/>
  <c r="E2471" i="16"/>
  <c r="D2471" i="16"/>
  <c r="C2471" i="16"/>
  <c r="B2471" i="16"/>
  <c r="A2471" i="16"/>
  <c r="J2470" i="16"/>
  <c r="H2470" i="16"/>
  <c r="G2470" i="16"/>
  <c r="F2470" i="16"/>
  <c r="E2470" i="16"/>
  <c r="D2470" i="16"/>
  <c r="C2470" i="16"/>
  <c r="B2470" i="16"/>
  <c r="A2470" i="16"/>
  <c r="J2469" i="16"/>
  <c r="H2469" i="16"/>
  <c r="G2469" i="16"/>
  <c r="F2469" i="16"/>
  <c r="E2469" i="16"/>
  <c r="D2469" i="16"/>
  <c r="C2469" i="16"/>
  <c r="B2469" i="16"/>
  <c r="A2469" i="16"/>
  <c r="J2468" i="16"/>
  <c r="H2468" i="16"/>
  <c r="G2468" i="16"/>
  <c r="F2468" i="16"/>
  <c r="E2468" i="16"/>
  <c r="D2468" i="16"/>
  <c r="C2468" i="16"/>
  <c r="B2468" i="16"/>
  <c r="A2468" i="16"/>
  <c r="J2467" i="16"/>
  <c r="H2467" i="16"/>
  <c r="G2467" i="16"/>
  <c r="F2467" i="16"/>
  <c r="E2467" i="16"/>
  <c r="D2467" i="16"/>
  <c r="C2467" i="16"/>
  <c r="B2467" i="16"/>
  <c r="A2467" i="16"/>
  <c r="J2466" i="16"/>
  <c r="H2466" i="16"/>
  <c r="G2466" i="16"/>
  <c r="F2466" i="16"/>
  <c r="E2466" i="16"/>
  <c r="D2466" i="16"/>
  <c r="C2466" i="16"/>
  <c r="B2466" i="16"/>
  <c r="A2466" i="16"/>
  <c r="J2465" i="16"/>
  <c r="H2465" i="16"/>
  <c r="G2465" i="16"/>
  <c r="F2465" i="16"/>
  <c r="E2465" i="16"/>
  <c r="D2465" i="16"/>
  <c r="C2465" i="16"/>
  <c r="B2465" i="16"/>
  <c r="A2465" i="16"/>
  <c r="J2464" i="16"/>
  <c r="H2464" i="16"/>
  <c r="G2464" i="16"/>
  <c r="F2464" i="16"/>
  <c r="E2464" i="16"/>
  <c r="D2464" i="16"/>
  <c r="C2464" i="16"/>
  <c r="B2464" i="16"/>
  <c r="A2464" i="16"/>
  <c r="J2463" i="16"/>
  <c r="H2463" i="16"/>
  <c r="G2463" i="16"/>
  <c r="F2463" i="16"/>
  <c r="E2463" i="16"/>
  <c r="D2463" i="16"/>
  <c r="C2463" i="16"/>
  <c r="B2463" i="16"/>
  <c r="A2463" i="16"/>
  <c r="J2462" i="16"/>
  <c r="H2462" i="16"/>
  <c r="G2462" i="16"/>
  <c r="F2462" i="16"/>
  <c r="E2462" i="16"/>
  <c r="D2462" i="16"/>
  <c r="C2462" i="16"/>
  <c r="B2462" i="16"/>
  <c r="A2462" i="16"/>
  <c r="J2461" i="16"/>
  <c r="H2461" i="16"/>
  <c r="G2461" i="16"/>
  <c r="F2461" i="16"/>
  <c r="E2461" i="16"/>
  <c r="D2461" i="16"/>
  <c r="C2461" i="16"/>
  <c r="B2461" i="16"/>
  <c r="A2461" i="16"/>
  <c r="J2460" i="16"/>
  <c r="H2460" i="16"/>
  <c r="G2460" i="16"/>
  <c r="F2460" i="16"/>
  <c r="E2460" i="16"/>
  <c r="D2460" i="16"/>
  <c r="C2460" i="16"/>
  <c r="B2460" i="16"/>
  <c r="A2460" i="16"/>
  <c r="J2459" i="16"/>
  <c r="H2459" i="16"/>
  <c r="G2459" i="16"/>
  <c r="F2459" i="16"/>
  <c r="E2459" i="16"/>
  <c r="D2459" i="16"/>
  <c r="C2459" i="16"/>
  <c r="B2459" i="16"/>
  <c r="A2459" i="16"/>
  <c r="J2458" i="16"/>
  <c r="H2458" i="16"/>
  <c r="G2458" i="16"/>
  <c r="F2458" i="16"/>
  <c r="E2458" i="16"/>
  <c r="D2458" i="16"/>
  <c r="C2458" i="16"/>
  <c r="B2458" i="16"/>
  <c r="A2458" i="16"/>
  <c r="J2457" i="16"/>
  <c r="H2457" i="16"/>
  <c r="G2457" i="16"/>
  <c r="F2457" i="16"/>
  <c r="E2457" i="16"/>
  <c r="D2457" i="16"/>
  <c r="C2457" i="16"/>
  <c r="B2457" i="16"/>
  <c r="A2457" i="16"/>
  <c r="J2456" i="16"/>
  <c r="H2456" i="16"/>
  <c r="G2456" i="16"/>
  <c r="F2456" i="16"/>
  <c r="E2456" i="16"/>
  <c r="D2456" i="16"/>
  <c r="C2456" i="16"/>
  <c r="B2456" i="16"/>
  <c r="A2456" i="16"/>
  <c r="J2455" i="16"/>
  <c r="H2455" i="16"/>
  <c r="G2455" i="16"/>
  <c r="F2455" i="16"/>
  <c r="E2455" i="16"/>
  <c r="D2455" i="16"/>
  <c r="C2455" i="16"/>
  <c r="B2455" i="16"/>
  <c r="A2455" i="16"/>
  <c r="J2454" i="16"/>
  <c r="H2454" i="16"/>
  <c r="G2454" i="16"/>
  <c r="F2454" i="16"/>
  <c r="E2454" i="16"/>
  <c r="D2454" i="16"/>
  <c r="C2454" i="16"/>
  <c r="B2454" i="16"/>
  <c r="A2454" i="16"/>
  <c r="J2453" i="16"/>
  <c r="H2453" i="16"/>
  <c r="G2453" i="16"/>
  <c r="F2453" i="16"/>
  <c r="E2453" i="16"/>
  <c r="D2453" i="16"/>
  <c r="C2453" i="16"/>
  <c r="B2453" i="16"/>
  <c r="A2453" i="16"/>
  <c r="J2452" i="16"/>
  <c r="H2452" i="16"/>
  <c r="G2452" i="16"/>
  <c r="F2452" i="16"/>
  <c r="E2452" i="16"/>
  <c r="D2452" i="16"/>
  <c r="C2452" i="16"/>
  <c r="B2452" i="16"/>
  <c r="A2452" i="16"/>
  <c r="J2451" i="16"/>
  <c r="F2451" i="16"/>
  <c r="E2451" i="16"/>
  <c r="D2451" i="16"/>
  <c r="C2451" i="16"/>
  <c r="B2451" i="16"/>
  <c r="A2451" i="16"/>
  <c r="J2450" i="16"/>
  <c r="F2450" i="16"/>
  <c r="E2450" i="16"/>
  <c r="D2450" i="16"/>
  <c r="C2450" i="16"/>
  <c r="B2450" i="16"/>
  <c r="A2450" i="16"/>
  <c r="J2449" i="16"/>
  <c r="F2449" i="16"/>
  <c r="E2449" i="16"/>
  <c r="D2449" i="16"/>
  <c r="C2449" i="16"/>
  <c r="B2449" i="16"/>
  <c r="A2449" i="16"/>
  <c r="J2448" i="16"/>
  <c r="H2448" i="16"/>
  <c r="G2448" i="16"/>
  <c r="F2448" i="16"/>
  <c r="E2448" i="16"/>
  <c r="D2448" i="16"/>
  <c r="C2448" i="16"/>
  <c r="B2448" i="16"/>
  <c r="A2448" i="16"/>
  <c r="J2447" i="16"/>
  <c r="H2447" i="16"/>
  <c r="G2447" i="16"/>
  <c r="F2447" i="16"/>
  <c r="E2447" i="16"/>
  <c r="D2447" i="16"/>
  <c r="C2447" i="16"/>
  <c r="B2447" i="16"/>
  <c r="A2447" i="16"/>
  <c r="J2446" i="16"/>
  <c r="H2446" i="16"/>
  <c r="G2446" i="16"/>
  <c r="F2446" i="16"/>
  <c r="E2446" i="16"/>
  <c r="D2446" i="16"/>
  <c r="C2446" i="16"/>
  <c r="B2446" i="16"/>
  <c r="A2446" i="16"/>
  <c r="J2445" i="16"/>
  <c r="H2445" i="16"/>
  <c r="G2445" i="16"/>
  <c r="F2445" i="16"/>
  <c r="E2445" i="16"/>
  <c r="D2445" i="16"/>
  <c r="C2445" i="16"/>
  <c r="B2445" i="16"/>
  <c r="A2445" i="16"/>
  <c r="J2444" i="16"/>
  <c r="H2444" i="16"/>
  <c r="G2444" i="16"/>
  <c r="F2444" i="16"/>
  <c r="E2444" i="16"/>
  <c r="D2444" i="16"/>
  <c r="C2444" i="16"/>
  <c r="B2444" i="16"/>
  <c r="A2444" i="16"/>
  <c r="J2443" i="16"/>
  <c r="H2443" i="16"/>
  <c r="G2443" i="16"/>
  <c r="F2443" i="16"/>
  <c r="E2443" i="16"/>
  <c r="D2443" i="16"/>
  <c r="C2443" i="16"/>
  <c r="B2443" i="16"/>
  <c r="A2443" i="16"/>
  <c r="J2442" i="16"/>
  <c r="H2442" i="16"/>
  <c r="G2442" i="16"/>
  <c r="F2442" i="16"/>
  <c r="E2442" i="16"/>
  <c r="D2442" i="16"/>
  <c r="C2442" i="16"/>
  <c r="B2442" i="16"/>
  <c r="A2442" i="16"/>
  <c r="J2441" i="16"/>
  <c r="H2441" i="16"/>
  <c r="G2441" i="16"/>
  <c r="F2441" i="16"/>
  <c r="E2441" i="16"/>
  <c r="D2441" i="16"/>
  <c r="C2441" i="16"/>
  <c r="B2441" i="16"/>
  <c r="A2441" i="16"/>
  <c r="J2440" i="16"/>
  <c r="H2440" i="16"/>
  <c r="G2440" i="16"/>
  <c r="F2440" i="16"/>
  <c r="E2440" i="16"/>
  <c r="D2440" i="16"/>
  <c r="C2440" i="16"/>
  <c r="B2440" i="16"/>
  <c r="A2440" i="16"/>
  <c r="J2439" i="16"/>
  <c r="H2439" i="16"/>
  <c r="G2439" i="16"/>
  <c r="F2439" i="16"/>
  <c r="E2439" i="16"/>
  <c r="D2439" i="16"/>
  <c r="C2439" i="16"/>
  <c r="B2439" i="16"/>
  <c r="A2439" i="16"/>
  <c r="J2438" i="16"/>
  <c r="H2438" i="16"/>
  <c r="G2438" i="16"/>
  <c r="F2438" i="16"/>
  <c r="E2438" i="16"/>
  <c r="D2438" i="16"/>
  <c r="C2438" i="16"/>
  <c r="B2438" i="16"/>
  <c r="A2438" i="16"/>
  <c r="J2437" i="16"/>
  <c r="H2437" i="16"/>
  <c r="G2437" i="16"/>
  <c r="F2437" i="16"/>
  <c r="E2437" i="16"/>
  <c r="D2437" i="16"/>
  <c r="C2437" i="16"/>
  <c r="B2437" i="16"/>
  <c r="A2437" i="16"/>
  <c r="J2436" i="16"/>
  <c r="H2436" i="16"/>
  <c r="G2436" i="16"/>
  <c r="F2436" i="16"/>
  <c r="E2436" i="16"/>
  <c r="D2436" i="16"/>
  <c r="C2436" i="16"/>
  <c r="B2436" i="16"/>
  <c r="A2436" i="16"/>
  <c r="J2435" i="16"/>
  <c r="H2435" i="16"/>
  <c r="G2435" i="16"/>
  <c r="F2435" i="16"/>
  <c r="E2435" i="16"/>
  <c r="D2435" i="16"/>
  <c r="C2435" i="16"/>
  <c r="B2435" i="16"/>
  <c r="A2435" i="16"/>
  <c r="J2434" i="16"/>
  <c r="H2434" i="16"/>
  <c r="G2434" i="16"/>
  <c r="F2434" i="16"/>
  <c r="E2434" i="16"/>
  <c r="D2434" i="16"/>
  <c r="C2434" i="16"/>
  <c r="B2434" i="16"/>
  <c r="A2434" i="16"/>
  <c r="J2433" i="16"/>
  <c r="H2433" i="16"/>
  <c r="G2433" i="16"/>
  <c r="F2433" i="16"/>
  <c r="E2433" i="16"/>
  <c r="D2433" i="16"/>
  <c r="C2433" i="16"/>
  <c r="B2433" i="16"/>
  <c r="A2433" i="16"/>
  <c r="J2432" i="16"/>
  <c r="H2432" i="16"/>
  <c r="G2432" i="16"/>
  <c r="F2432" i="16"/>
  <c r="E2432" i="16"/>
  <c r="D2432" i="16"/>
  <c r="C2432" i="16"/>
  <c r="B2432" i="16"/>
  <c r="A2432" i="16"/>
  <c r="J2431" i="16"/>
  <c r="H2431" i="16"/>
  <c r="G2431" i="16"/>
  <c r="F2431" i="16"/>
  <c r="E2431" i="16"/>
  <c r="D2431" i="16"/>
  <c r="C2431" i="16"/>
  <c r="B2431" i="16"/>
  <c r="A2431" i="16"/>
  <c r="J2430" i="16"/>
  <c r="H2430" i="16"/>
  <c r="G2430" i="16"/>
  <c r="F2430" i="16"/>
  <c r="E2430" i="16"/>
  <c r="D2430" i="16"/>
  <c r="C2430" i="16"/>
  <c r="B2430" i="16"/>
  <c r="A2430" i="16"/>
  <c r="J2429" i="16"/>
  <c r="H2429" i="16"/>
  <c r="G2429" i="16"/>
  <c r="F2429" i="16"/>
  <c r="E2429" i="16"/>
  <c r="D2429" i="16"/>
  <c r="C2429" i="16"/>
  <c r="B2429" i="16"/>
  <c r="A2429" i="16"/>
  <c r="J2428" i="16"/>
  <c r="H2428" i="16"/>
  <c r="G2428" i="16"/>
  <c r="F2428" i="16"/>
  <c r="E2428" i="16"/>
  <c r="D2428" i="16"/>
  <c r="C2428" i="16"/>
  <c r="B2428" i="16"/>
  <c r="A2428" i="16"/>
  <c r="J2427" i="16"/>
  <c r="H2427" i="16"/>
  <c r="G2427" i="16"/>
  <c r="F2427" i="16"/>
  <c r="E2427" i="16"/>
  <c r="D2427" i="16"/>
  <c r="C2427" i="16"/>
  <c r="B2427" i="16"/>
  <c r="A2427" i="16"/>
  <c r="J2426" i="16"/>
  <c r="H2426" i="16"/>
  <c r="G2426" i="16"/>
  <c r="F2426" i="16"/>
  <c r="E2426" i="16"/>
  <c r="D2426" i="16"/>
  <c r="C2426" i="16"/>
  <c r="B2426" i="16"/>
  <c r="A2426" i="16"/>
  <c r="J2425" i="16"/>
  <c r="H2425" i="16"/>
  <c r="G2425" i="16"/>
  <c r="F2425" i="16"/>
  <c r="E2425" i="16"/>
  <c r="D2425" i="16"/>
  <c r="C2425" i="16"/>
  <c r="B2425" i="16"/>
  <c r="A2425" i="16"/>
  <c r="J2424" i="16"/>
  <c r="H2424" i="16"/>
  <c r="G2424" i="16"/>
  <c r="F2424" i="16"/>
  <c r="E2424" i="16"/>
  <c r="D2424" i="16"/>
  <c r="C2424" i="16"/>
  <c r="B2424" i="16"/>
  <c r="A2424" i="16"/>
  <c r="J2423" i="16"/>
  <c r="H2423" i="16"/>
  <c r="G2423" i="16"/>
  <c r="F2423" i="16"/>
  <c r="E2423" i="16"/>
  <c r="D2423" i="16"/>
  <c r="C2423" i="16"/>
  <c r="B2423" i="16"/>
  <c r="A2423" i="16"/>
  <c r="J2422" i="16"/>
  <c r="H2422" i="16"/>
  <c r="G2422" i="16"/>
  <c r="F2422" i="16"/>
  <c r="E2422" i="16"/>
  <c r="D2422" i="16"/>
  <c r="C2422" i="16"/>
  <c r="B2422" i="16"/>
  <c r="A2422" i="16"/>
  <c r="J2421" i="16"/>
  <c r="H2421" i="16"/>
  <c r="G2421" i="16"/>
  <c r="F2421" i="16"/>
  <c r="E2421" i="16"/>
  <c r="D2421" i="16"/>
  <c r="C2421" i="16"/>
  <c r="B2421" i="16"/>
  <c r="A2421" i="16"/>
  <c r="J2420" i="16"/>
  <c r="H2420" i="16"/>
  <c r="G2420" i="16"/>
  <c r="F2420" i="16"/>
  <c r="E2420" i="16"/>
  <c r="D2420" i="16"/>
  <c r="C2420" i="16"/>
  <c r="B2420" i="16"/>
  <c r="A2420" i="16"/>
  <c r="J2419" i="16"/>
  <c r="H2419" i="16"/>
  <c r="G2419" i="16"/>
  <c r="F2419" i="16"/>
  <c r="E2419" i="16"/>
  <c r="D2419" i="16"/>
  <c r="C2419" i="16"/>
  <c r="B2419" i="16"/>
  <c r="A2419" i="16"/>
  <c r="J2418" i="16"/>
  <c r="H2418" i="16"/>
  <c r="G2418" i="16"/>
  <c r="F2418" i="16"/>
  <c r="E2418" i="16"/>
  <c r="D2418" i="16"/>
  <c r="C2418" i="16"/>
  <c r="B2418" i="16"/>
  <c r="A2418" i="16"/>
  <c r="J2417" i="16"/>
  <c r="H2417" i="16"/>
  <c r="G2417" i="16"/>
  <c r="F2417" i="16"/>
  <c r="E2417" i="16"/>
  <c r="D2417" i="16"/>
  <c r="C2417" i="16"/>
  <c r="B2417" i="16"/>
  <c r="A2417" i="16"/>
  <c r="J2416" i="16"/>
  <c r="H2416" i="16"/>
  <c r="G2416" i="16"/>
  <c r="F2416" i="16"/>
  <c r="E2416" i="16"/>
  <c r="D2416" i="16"/>
  <c r="C2416" i="16"/>
  <c r="B2416" i="16"/>
  <c r="A2416" i="16"/>
  <c r="J2415" i="16"/>
  <c r="H2415" i="16"/>
  <c r="G2415" i="16"/>
  <c r="F2415" i="16"/>
  <c r="E2415" i="16"/>
  <c r="D2415" i="16"/>
  <c r="C2415" i="16"/>
  <c r="B2415" i="16"/>
  <c r="A2415" i="16"/>
  <c r="J2414" i="16"/>
  <c r="H2414" i="16"/>
  <c r="G2414" i="16"/>
  <c r="F2414" i="16"/>
  <c r="E2414" i="16"/>
  <c r="D2414" i="16"/>
  <c r="C2414" i="16"/>
  <c r="B2414" i="16"/>
  <c r="A2414" i="16"/>
  <c r="J2413" i="16"/>
  <c r="H2413" i="16"/>
  <c r="G2413" i="16"/>
  <c r="F2413" i="16"/>
  <c r="E2413" i="16"/>
  <c r="D2413" i="16"/>
  <c r="C2413" i="16"/>
  <c r="B2413" i="16"/>
  <c r="A2413" i="16"/>
  <c r="J2412" i="16"/>
  <c r="H2412" i="16"/>
  <c r="G2412" i="16"/>
  <c r="F2412" i="16"/>
  <c r="E2412" i="16"/>
  <c r="D2412" i="16"/>
  <c r="C2412" i="16"/>
  <c r="B2412" i="16"/>
  <c r="A2412" i="16"/>
  <c r="J2411" i="16"/>
  <c r="H2411" i="16"/>
  <c r="G2411" i="16"/>
  <c r="F2411" i="16"/>
  <c r="E2411" i="16"/>
  <c r="D2411" i="16"/>
  <c r="C2411" i="16"/>
  <c r="B2411" i="16"/>
  <c r="A2411" i="16"/>
  <c r="J2410" i="16"/>
  <c r="H2410" i="16"/>
  <c r="G2410" i="16"/>
  <c r="F2410" i="16"/>
  <c r="E2410" i="16"/>
  <c r="D2410" i="16"/>
  <c r="C2410" i="16"/>
  <c r="B2410" i="16"/>
  <c r="A2410" i="16"/>
  <c r="J2409" i="16"/>
  <c r="H2409" i="16"/>
  <c r="G2409" i="16"/>
  <c r="F2409" i="16"/>
  <c r="E2409" i="16"/>
  <c r="D2409" i="16"/>
  <c r="C2409" i="16"/>
  <c r="B2409" i="16"/>
  <c r="A2409" i="16"/>
  <c r="J2408" i="16"/>
  <c r="H2408" i="16"/>
  <c r="G2408" i="16"/>
  <c r="F2408" i="16"/>
  <c r="E2408" i="16"/>
  <c r="D2408" i="16"/>
  <c r="C2408" i="16"/>
  <c r="B2408" i="16"/>
  <c r="A2408" i="16"/>
  <c r="J2407" i="16"/>
  <c r="H2407" i="16"/>
  <c r="G2407" i="16"/>
  <c r="F2407" i="16"/>
  <c r="E2407" i="16"/>
  <c r="D2407" i="16"/>
  <c r="C2407" i="16"/>
  <c r="B2407" i="16"/>
  <c r="A2407" i="16"/>
  <c r="J2406" i="16"/>
  <c r="H2406" i="16"/>
  <c r="G2406" i="16"/>
  <c r="F2406" i="16"/>
  <c r="E2406" i="16"/>
  <c r="D2406" i="16"/>
  <c r="C2406" i="16"/>
  <c r="B2406" i="16"/>
  <c r="A2406" i="16"/>
  <c r="J2405" i="16"/>
  <c r="H2405" i="16"/>
  <c r="G2405" i="16"/>
  <c r="F2405" i="16"/>
  <c r="E2405" i="16"/>
  <c r="D2405" i="16"/>
  <c r="C2405" i="16"/>
  <c r="B2405" i="16"/>
  <c r="A2405" i="16"/>
  <c r="J2404" i="16"/>
  <c r="H2404" i="16"/>
  <c r="G2404" i="16"/>
  <c r="F2404" i="16"/>
  <c r="E2404" i="16"/>
  <c r="D2404" i="16"/>
  <c r="C2404" i="16"/>
  <c r="B2404" i="16"/>
  <c r="A2404" i="16"/>
  <c r="J2403" i="16"/>
  <c r="H2403" i="16"/>
  <c r="G2403" i="16"/>
  <c r="F2403" i="16"/>
  <c r="E2403" i="16"/>
  <c r="D2403" i="16"/>
  <c r="C2403" i="16"/>
  <c r="B2403" i="16"/>
  <c r="A2403" i="16"/>
  <c r="J2402" i="16"/>
  <c r="H2402" i="16"/>
  <c r="G2402" i="16"/>
  <c r="F2402" i="16"/>
  <c r="E2402" i="16"/>
  <c r="D2402" i="16"/>
  <c r="C2402" i="16"/>
  <c r="B2402" i="16"/>
  <c r="A2402" i="16"/>
  <c r="J2401" i="16"/>
  <c r="H2401" i="16"/>
  <c r="G2401" i="16"/>
  <c r="F2401" i="16"/>
  <c r="E2401" i="16"/>
  <c r="D2401" i="16"/>
  <c r="C2401" i="16"/>
  <c r="B2401" i="16"/>
  <c r="A2401" i="16"/>
  <c r="J2400" i="16"/>
  <c r="H2400" i="16"/>
  <c r="G2400" i="16"/>
  <c r="F2400" i="16"/>
  <c r="E2400" i="16"/>
  <c r="D2400" i="16"/>
  <c r="C2400" i="16"/>
  <c r="B2400" i="16"/>
  <c r="A2400" i="16"/>
  <c r="J2399" i="16"/>
  <c r="H2399" i="16"/>
  <c r="G2399" i="16"/>
  <c r="F2399" i="16"/>
  <c r="E2399" i="16"/>
  <c r="D2399" i="16"/>
  <c r="C2399" i="16"/>
  <c r="B2399" i="16"/>
  <c r="A2399" i="16"/>
  <c r="J2398" i="16"/>
  <c r="H2398" i="16"/>
  <c r="G2398" i="16"/>
  <c r="F2398" i="16"/>
  <c r="E2398" i="16"/>
  <c r="D2398" i="16"/>
  <c r="C2398" i="16"/>
  <c r="B2398" i="16"/>
  <c r="A2398" i="16"/>
  <c r="J2397" i="16"/>
  <c r="H2397" i="16"/>
  <c r="G2397" i="16"/>
  <c r="F2397" i="16"/>
  <c r="E2397" i="16"/>
  <c r="D2397" i="16"/>
  <c r="C2397" i="16"/>
  <c r="B2397" i="16"/>
  <c r="A2397" i="16"/>
  <c r="J2396" i="16"/>
  <c r="H2396" i="16"/>
  <c r="G2396" i="16"/>
  <c r="F2396" i="16"/>
  <c r="E2396" i="16"/>
  <c r="D2396" i="16"/>
  <c r="C2396" i="16"/>
  <c r="B2396" i="16"/>
  <c r="A2396" i="16"/>
  <c r="J2395" i="16"/>
  <c r="H2395" i="16"/>
  <c r="G2395" i="16"/>
  <c r="F2395" i="16"/>
  <c r="E2395" i="16"/>
  <c r="D2395" i="16"/>
  <c r="C2395" i="16"/>
  <c r="B2395" i="16"/>
  <c r="A2395" i="16"/>
  <c r="J2394" i="16"/>
  <c r="H2394" i="16"/>
  <c r="G2394" i="16"/>
  <c r="F2394" i="16"/>
  <c r="E2394" i="16"/>
  <c r="D2394" i="16"/>
  <c r="C2394" i="16"/>
  <c r="B2394" i="16"/>
  <c r="A2394" i="16"/>
  <c r="J2393" i="16"/>
  <c r="H2393" i="16"/>
  <c r="G2393" i="16"/>
  <c r="F2393" i="16"/>
  <c r="E2393" i="16"/>
  <c r="D2393" i="16"/>
  <c r="C2393" i="16"/>
  <c r="B2393" i="16"/>
  <c r="A2393" i="16"/>
  <c r="J2392" i="16"/>
  <c r="H2392" i="16"/>
  <c r="G2392" i="16"/>
  <c r="F2392" i="16"/>
  <c r="E2392" i="16"/>
  <c r="D2392" i="16"/>
  <c r="C2392" i="16"/>
  <c r="B2392" i="16"/>
  <c r="A2392" i="16"/>
  <c r="J2391" i="16"/>
  <c r="H2391" i="16"/>
  <c r="G2391" i="16"/>
  <c r="F2391" i="16"/>
  <c r="E2391" i="16"/>
  <c r="D2391" i="16"/>
  <c r="C2391" i="16"/>
  <c r="B2391" i="16"/>
  <c r="A2391" i="16"/>
  <c r="J2390" i="16"/>
  <c r="H2390" i="16"/>
  <c r="G2390" i="16"/>
  <c r="F2390" i="16"/>
  <c r="E2390" i="16"/>
  <c r="D2390" i="16"/>
  <c r="C2390" i="16"/>
  <c r="B2390" i="16"/>
  <c r="A2390" i="16"/>
  <c r="J2389" i="16"/>
  <c r="H2389" i="16"/>
  <c r="G2389" i="16"/>
  <c r="F2389" i="16"/>
  <c r="E2389" i="16"/>
  <c r="D2389" i="16"/>
  <c r="C2389" i="16"/>
  <c r="B2389" i="16"/>
  <c r="A2389" i="16"/>
  <c r="J2388" i="16"/>
  <c r="H2388" i="16"/>
  <c r="G2388" i="16"/>
  <c r="F2388" i="16"/>
  <c r="E2388" i="16"/>
  <c r="D2388" i="16"/>
  <c r="C2388" i="16"/>
  <c r="B2388" i="16"/>
  <c r="A2388" i="16"/>
  <c r="J2387" i="16"/>
  <c r="H2387" i="16"/>
  <c r="G2387" i="16"/>
  <c r="F2387" i="16"/>
  <c r="E2387" i="16"/>
  <c r="D2387" i="16"/>
  <c r="C2387" i="16"/>
  <c r="B2387" i="16"/>
  <c r="A2387" i="16"/>
  <c r="J2386" i="16"/>
  <c r="H2386" i="16"/>
  <c r="G2386" i="16"/>
  <c r="F2386" i="16"/>
  <c r="E2386" i="16"/>
  <c r="D2386" i="16"/>
  <c r="C2386" i="16"/>
  <c r="B2386" i="16"/>
  <c r="A2386" i="16"/>
  <c r="J2385" i="16"/>
  <c r="H2385" i="16"/>
  <c r="G2385" i="16"/>
  <c r="F2385" i="16"/>
  <c r="E2385" i="16"/>
  <c r="D2385" i="16"/>
  <c r="C2385" i="16"/>
  <c r="B2385" i="16"/>
  <c r="A2385" i="16"/>
  <c r="J2384" i="16"/>
  <c r="H2384" i="16"/>
  <c r="G2384" i="16"/>
  <c r="F2384" i="16"/>
  <c r="E2384" i="16"/>
  <c r="D2384" i="16"/>
  <c r="C2384" i="16"/>
  <c r="B2384" i="16"/>
  <c r="A2384" i="16"/>
  <c r="J2383" i="16"/>
  <c r="H2383" i="16"/>
  <c r="G2383" i="16"/>
  <c r="F2383" i="16"/>
  <c r="E2383" i="16"/>
  <c r="D2383" i="16"/>
  <c r="C2383" i="16"/>
  <c r="B2383" i="16"/>
  <c r="A2383" i="16"/>
  <c r="J2382" i="16"/>
  <c r="H2382" i="16"/>
  <c r="G2382" i="16"/>
  <c r="F2382" i="16"/>
  <c r="E2382" i="16"/>
  <c r="D2382" i="16"/>
  <c r="C2382" i="16"/>
  <c r="B2382" i="16"/>
  <c r="A2382" i="16"/>
  <c r="J2381" i="16"/>
  <c r="H2381" i="16"/>
  <c r="G2381" i="16"/>
  <c r="F2381" i="16"/>
  <c r="E2381" i="16"/>
  <c r="D2381" i="16"/>
  <c r="C2381" i="16"/>
  <c r="B2381" i="16"/>
  <c r="A2381" i="16"/>
  <c r="J2380" i="16"/>
  <c r="H2380" i="16"/>
  <c r="G2380" i="16"/>
  <c r="F2380" i="16"/>
  <c r="E2380" i="16"/>
  <c r="D2380" i="16"/>
  <c r="C2380" i="16"/>
  <c r="B2380" i="16"/>
  <c r="A2380" i="16"/>
  <c r="J2379" i="16"/>
  <c r="H2379" i="16"/>
  <c r="G2379" i="16"/>
  <c r="F2379" i="16"/>
  <c r="E2379" i="16"/>
  <c r="D2379" i="16"/>
  <c r="C2379" i="16"/>
  <c r="B2379" i="16"/>
  <c r="A2379" i="16"/>
  <c r="J2378" i="16"/>
  <c r="H2378" i="16"/>
  <c r="G2378" i="16"/>
  <c r="F2378" i="16"/>
  <c r="E2378" i="16"/>
  <c r="D2378" i="16"/>
  <c r="C2378" i="16"/>
  <c r="B2378" i="16"/>
  <c r="A2378" i="16"/>
  <c r="J2377" i="16"/>
  <c r="H2377" i="16"/>
  <c r="G2377" i="16"/>
  <c r="F2377" i="16"/>
  <c r="E2377" i="16"/>
  <c r="D2377" i="16"/>
  <c r="C2377" i="16"/>
  <c r="B2377" i="16"/>
  <c r="A2377" i="16"/>
  <c r="J2376" i="16"/>
  <c r="H2376" i="16"/>
  <c r="G2376" i="16"/>
  <c r="F2376" i="16"/>
  <c r="E2376" i="16"/>
  <c r="D2376" i="16"/>
  <c r="C2376" i="16"/>
  <c r="B2376" i="16"/>
  <c r="A2376" i="16"/>
  <c r="J2375" i="16"/>
  <c r="H2375" i="16"/>
  <c r="G2375" i="16"/>
  <c r="F2375" i="16"/>
  <c r="E2375" i="16"/>
  <c r="D2375" i="16"/>
  <c r="C2375" i="16"/>
  <c r="B2375" i="16"/>
  <c r="A2375" i="16"/>
  <c r="J2374" i="16"/>
  <c r="H2374" i="16"/>
  <c r="G2374" i="16"/>
  <c r="F2374" i="16"/>
  <c r="E2374" i="16"/>
  <c r="D2374" i="16"/>
  <c r="C2374" i="16"/>
  <c r="B2374" i="16"/>
  <c r="A2374" i="16"/>
  <c r="J2373" i="16"/>
  <c r="H2373" i="16"/>
  <c r="G2373" i="16"/>
  <c r="F2373" i="16"/>
  <c r="E2373" i="16"/>
  <c r="D2373" i="16"/>
  <c r="C2373" i="16"/>
  <c r="B2373" i="16"/>
  <c r="A2373" i="16"/>
  <c r="J2372" i="16"/>
  <c r="H2372" i="16"/>
  <c r="G2372" i="16"/>
  <c r="F2372" i="16"/>
  <c r="E2372" i="16"/>
  <c r="D2372" i="16"/>
  <c r="C2372" i="16"/>
  <c r="B2372" i="16"/>
  <c r="A2372" i="16"/>
  <c r="J2371" i="16"/>
  <c r="H2371" i="16"/>
  <c r="G2371" i="16"/>
  <c r="F2371" i="16"/>
  <c r="E2371" i="16"/>
  <c r="D2371" i="16"/>
  <c r="C2371" i="16"/>
  <c r="B2371" i="16"/>
  <c r="A2371" i="16"/>
  <c r="J2370" i="16"/>
  <c r="H2370" i="16"/>
  <c r="G2370" i="16"/>
  <c r="F2370" i="16"/>
  <c r="E2370" i="16"/>
  <c r="D2370" i="16"/>
  <c r="C2370" i="16"/>
  <c r="B2370" i="16"/>
  <c r="A2370" i="16"/>
  <c r="J2369" i="16"/>
  <c r="H2369" i="16"/>
  <c r="G2369" i="16"/>
  <c r="F2369" i="16"/>
  <c r="E2369" i="16"/>
  <c r="D2369" i="16"/>
  <c r="C2369" i="16"/>
  <c r="B2369" i="16"/>
  <c r="A2369" i="16"/>
  <c r="J2368" i="16"/>
  <c r="H2368" i="16"/>
  <c r="G2368" i="16"/>
  <c r="F2368" i="16"/>
  <c r="E2368" i="16"/>
  <c r="D2368" i="16"/>
  <c r="C2368" i="16"/>
  <c r="B2368" i="16"/>
  <c r="A2368" i="16"/>
  <c r="J2367" i="16"/>
  <c r="H2367" i="16"/>
  <c r="G2367" i="16"/>
  <c r="F2367" i="16"/>
  <c r="E2367" i="16"/>
  <c r="D2367" i="16"/>
  <c r="C2367" i="16"/>
  <c r="B2367" i="16"/>
  <c r="A2367" i="16"/>
  <c r="J2366" i="16"/>
  <c r="H2366" i="16"/>
  <c r="G2366" i="16"/>
  <c r="F2366" i="16"/>
  <c r="E2366" i="16"/>
  <c r="D2366" i="16"/>
  <c r="C2366" i="16"/>
  <c r="B2366" i="16"/>
  <c r="A2366" i="16"/>
  <c r="J2365" i="16"/>
  <c r="H2365" i="16"/>
  <c r="G2365" i="16"/>
  <c r="F2365" i="16"/>
  <c r="E2365" i="16"/>
  <c r="D2365" i="16"/>
  <c r="C2365" i="16"/>
  <c r="B2365" i="16"/>
  <c r="A2365" i="16"/>
  <c r="J2364" i="16"/>
  <c r="H2364" i="16"/>
  <c r="G2364" i="16"/>
  <c r="F2364" i="16"/>
  <c r="E2364" i="16"/>
  <c r="D2364" i="16"/>
  <c r="C2364" i="16"/>
  <c r="B2364" i="16"/>
  <c r="A2364" i="16"/>
  <c r="J2363" i="16"/>
  <c r="H2363" i="16"/>
  <c r="G2363" i="16"/>
  <c r="F2363" i="16"/>
  <c r="E2363" i="16"/>
  <c r="D2363" i="16"/>
  <c r="C2363" i="16"/>
  <c r="B2363" i="16"/>
  <c r="A2363" i="16"/>
  <c r="J2362" i="16"/>
  <c r="H2362" i="16"/>
  <c r="G2362" i="16"/>
  <c r="F2362" i="16"/>
  <c r="E2362" i="16"/>
  <c r="D2362" i="16"/>
  <c r="C2362" i="16"/>
  <c r="B2362" i="16"/>
  <c r="A2362" i="16"/>
  <c r="J2361" i="16"/>
  <c r="H2361" i="16"/>
  <c r="G2361" i="16"/>
  <c r="F2361" i="16"/>
  <c r="E2361" i="16"/>
  <c r="D2361" i="16"/>
  <c r="C2361" i="16"/>
  <c r="B2361" i="16"/>
  <c r="A2361" i="16"/>
  <c r="J2360" i="16"/>
  <c r="H2360" i="16"/>
  <c r="G2360" i="16"/>
  <c r="F2360" i="16"/>
  <c r="E2360" i="16"/>
  <c r="D2360" i="16"/>
  <c r="C2360" i="16"/>
  <c r="B2360" i="16"/>
  <c r="A2360" i="16"/>
  <c r="J2359" i="16"/>
  <c r="H2359" i="16"/>
  <c r="G2359" i="16"/>
  <c r="F2359" i="16"/>
  <c r="E2359" i="16"/>
  <c r="D2359" i="16"/>
  <c r="C2359" i="16"/>
  <c r="B2359" i="16"/>
  <c r="A2359" i="16"/>
  <c r="J2358" i="16"/>
  <c r="H2358" i="16"/>
  <c r="G2358" i="16"/>
  <c r="F2358" i="16"/>
  <c r="E2358" i="16"/>
  <c r="D2358" i="16"/>
  <c r="C2358" i="16"/>
  <c r="B2358" i="16"/>
  <c r="A2358" i="16"/>
  <c r="J2357" i="16"/>
  <c r="H2357" i="16"/>
  <c r="G2357" i="16"/>
  <c r="F2357" i="16"/>
  <c r="E2357" i="16"/>
  <c r="D2357" i="16"/>
  <c r="C2357" i="16"/>
  <c r="B2357" i="16"/>
  <c r="A2357" i="16"/>
  <c r="J2356" i="16"/>
  <c r="H2356" i="16"/>
  <c r="G2356" i="16"/>
  <c r="F2356" i="16"/>
  <c r="E2356" i="16"/>
  <c r="D2356" i="16"/>
  <c r="C2356" i="16"/>
  <c r="B2356" i="16"/>
  <c r="A2356" i="16"/>
  <c r="J2355" i="16"/>
  <c r="H2355" i="16"/>
  <c r="G2355" i="16"/>
  <c r="F2355" i="16"/>
  <c r="E2355" i="16"/>
  <c r="D2355" i="16"/>
  <c r="C2355" i="16"/>
  <c r="B2355" i="16"/>
  <c r="A2355" i="16"/>
  <c r="J2354" i="16"/>
  <c r="H2354" i="16"/>
  <c r="G2354" i="16"/>
  <c r="F2354" i="16"/>
  <c r="E2354" i="16"/>
  <c r="D2354" i="16"/>
  <c r="C2354" i="16"/>
  <c r="B2354" i="16"/>
  <c r="A2354" i="16"/>
  <c r="J2353" i="16"/>
  <c r="H2353" i="16"/>
  <c r="G2353" i="16"/>
  <c r="F2353" i="16"/>
  <c r="E2353" i="16"/>
  <c r="D2353" i="16"/>
  <c r="C2353" i="16"/>
  <c r="B2353" i="16"/>
  <c r="A2353" i="16"/>
  <c r="J2352" i="16"/>
  <c r="H2352" i="16"/>
  <c r="G2352" i="16"/>
  <c r="F2352" i="16"/>
  <c r="E2352" i="16"/>
  <c r="D2352" i="16"/>
  <c r="C2352" i="16"/>
  <c r="B2352" i="16"/>
  <c r="A2352" i="16"/>
  <c r="J2351" i="16"/>
  <c r="H2351" i="16"/>
  <c r="G2351" i="16"/>
  <c r="F2351" i="16"/>
  <c r="E2351" i="16"/>
  <c r="D2351" i="16"/>
  <c r="C2351" i="16"/>
  <c r="B2351" i="16"/>
  <c r="A2351" i="16"/>
  <c r="J2350" i="16"/>
  <c r="H2350" i="16"/>
  <c r="G2350" i="16"/>
  <c r="F2350" i="16"/>
  <c r="E2350" i="16"/>
  <c r="D2350" i="16"/>
  <c r="C2350" i="16"/>
  <c r="B2350" i="16"/>
  <c r="A2350" i="16"/>
  <c r="J2349" i="16"/>
  <c r="H2349" i="16"/>
  <c r="G2349" i="16"/>
  <c r="F2349" i="16"/>
  <c r="E2349" i="16"/>
  <c r="D2349" i="16"/>
  <c r="C2349" i="16"/>
  <c r="B2349" i="16"/>
  <c r="A2349" i="16"/>
  <c r="J2348" i="16"/>
  <c r="H2348" i="16"/>
  <c r="G2348" i="16"/>
  <c r="F2348" i="16"/>
  <c r="E2348" i="16"/>
  <c r="D2348" i="16"/>
  <c r="C2348" i="16"/>
  <c r="B2348" i="16"/>
  <c r="A2348" i="16"/>
  <c r="J2347" i="16"/>
  <c r="H2347" i="16"/>
  <c r="G2347" i="16"/>
  <c r="F2347" i="16"/>
  <c r="E2347" i="16"/>
  <c r="D2347" i="16"/>
  <c r="C2347" i="16"/>
  <c r="B2347" i="16"/>
  <c r="A2347" i="16"/>
  <c r="J2346" i="16"/>
  <c r="H2346" i="16"/>
  <c r="G2346" i="16"/>
  <c r="F2346" i="16"/>
  <c r="E2346" i="16"/>
  <c r="D2346" i="16"/>
  <c r="C2346" i="16"/>
  <c r="B2346" i="16"/>
  <c r="A2346" i="16"/>
  <c r="J2345" i="16"/>
  <c r="H2345" i="16"/>
  <c r="G2345" i="16"/>
  <c r="F2345" i="16"/>
  <c r="E2345" i="16"/>
  <c r="D2345" i="16"/>
  <c r="C2345" i="16"/>
  <c r="B2345" i="16"/>
  <c r="A2345" i="16"/>
  <c r="J2344" i="16"/>
  <c r="H2344" i="16"/>
  <c r="G2344" i="16"/>
  <c r="F2344" i="16"/>
  <c r="E2344" i="16"/>
  <c r="D2344" i="16"/>
  <c r="C2344" i="16"/>
  <c r="B2344" i="16"/>
  <c r="A2344" i="16"/>
  <c r="J2343" i="16"/>
  <c r="H2343" i="16"/>
  <c r="G2343" i="16"/>
  <c r="F2343" i="16"/>
  <c r="E2343" i="16"/>
  <c r="D2343" i="16"/>
  <c r="C2343" i="16"/>
  <c r="B2343" i="16"/>
  <c r="A2343" i="16"/>
  <c r="J2342" i="16"/>
  <c r="H2342" i="16"/>
  <c r="G2342" i="16"/>
  <c r="F2342" i="16"/>
  <c r="E2342" i="16"/>
  <c r="D2342" i="16"/>
  <c r="C2342" i="16"/>
  <c r="B2342" i="16"/>
  <c r="A2342" i="16"/>
  <c r="J2341" i="16"/>
  <c r="H2341" i="16"/>
  <c r="G2341" i="16"/>
  <c r="F2341" i="16"/>
  <c r="E2341" i="16"/>
  <c r="D2341" i="16"/>
  <c r="C2341" i="16"/>
  <c r="B2341" i="16"/>
  <c r="A2341" i="16"/>
  <c r="J2340" i="16"/>
  <c r="H2340" i="16"/>
  <c r="G2340" i="16"/>
  <c r="F2340" i="16"/>
  <c r="E2340" i="16"/>
  <c r="D2340" i="16"/>
  <c r="C2340" i="16"/>
  <c r="B2340" i="16"/>
  <c r="A2340" i="16"/>
  <c r="J2339" i="16"/>
  <c r="H2339" i="16"/>
  <c r="G2339" i="16"/>
  <c r="F2339" i="16"/>
  <c r="E2339" i="16"/>
  <c r="D2339" i="16"/>
  <c r="C2339" i="16"/>
  <c r="B2339" i="16"/>
  <c r="A2339" i="16"/>
  <c r="J2338" i="16"/>
  <c r="H2338" i="16"/>
  <c r="G2338" i="16"/>
  <c r="F2338" i="16"/>
  <c r="E2338" i="16"/>
  <c r="D2338" i="16"/>
  <c r="C2338" i="16"/>
  <c r="B2338" i="16"/>
  <c r="A2338" i="16"/>
  <c r="J2337" i="16"/>
  <c r="H2337" i="16"/>
  <c r="G2337" i="16"/>
  <c r="F2337" i="16"/>
  <c r="E2337" i="16"/>
  <c r="D2337" i="16"/>
  <c r="C2337" i="16"/>
  <c r="B2337" i="16"/>
  <c r="A2337" i="16"/>
  <c r="J2336" i="16"/>
  <c r="H2336" i="16"/>
  <c r="G2336" i="16"/>
  <c r="F2336" i="16"/>
  <c r="E2336" i="16"/>
  <c r="D2336" i="16"/>
  <c r="C2336" i="16"/>
  <c r="B2336" i="16"/>
  <c r="A2336" i="16"/>
  <c r="J2335" i="16"/>
  <c r="H2335" i="16"/>
  <c r="G2335" i="16"/>
  <c r="F2335" i="16"/>
  <c r="E2335" i="16"/>
  <c r="D2335" i="16"/>
  <c r="C2335" i="16"/>
  <c r="B2335" i="16"/>
  <c r="A2335" i="16"/>
  <c r="J2334" i="16"/>
  <c r="H2334" i="16"/>
  <c r="G2334" i="16"/>
  <c r="F2334" i="16"/>
  <c r="E2334" i="16"/>
  <c r="D2334" i="16"/>
  <c r="C2334" i="16"/>
  <c r="B2334" i="16"/>
  <c r="A2334" i="16"/>
  <c r="J2333" i="16"/>
  <c r="H2333" i="16"/>
  <c r="G2333" i="16"/>
  <c r="F2333" i="16"/>
  <c r="E2333" i="16"/>
  <c r="D2333" i="16"/>
  <c r="C2333" i="16"/>
  <c r="B2333" i="16"/>
  <c r="A2333" i="16"/>
  <c r="J2332" i="16"/>
  <c r="H2332" i="16"/>
  <c r="G2332" i="16"/>
  <c r="F2332" i="16"/>
  <c r="E2332" i="16"/>
  <c r="D2332" i="16"/>
  <c r="C2332" i="16"/>
  <c r="B2332" i="16"/>
  <c r="A2332" i="16"/>
  <c r="J2331" i="16"/>
  <c r="H2331" i="16"/>
  <c r="G2331" i="16"/>
  <c r="F2331" i="16"/>
  <c r="E2331" i="16"/>
  <c r="D2331" i="16"/>
  <c r="C2331" i="16"/>
  <c r="B2331" i="16"/>
  <c r="A2331" i="16"/>
  <c r="J2330" i="16"/>
  <c r="H2330" i="16"/>
  <c r="G2330" i="16"/>
  <c r="F2330" i="16"/>
  <c r="E2330" i="16"/>
  <c r="D2330" i="16"/>
  <c r="C2330" i="16"/>
  <c r="B2330" i="16"/>
  <c r="A2330" i="16"/>
  <c r="J2329" i="16"/>
  <c r="H2329" i="16"/>
  <c r="G2329" i="16"/>
  <c r="F2329" i="16"/>
  <c r="E2329" i="16"/>
  <c r="D2329" i="16"/>
  <c r="C2329" i="16"/>
  <c r="B2329" i="16"/>
  <c r="A2329" i="16"/>
  <c r="J2328" i="16"/>
  <c r="H2328" i="16"/>
  <c r="G2328" i="16"/>
  <c r="F2328" i="16"/>
  <c r="E2328" i="16"/>
  <c r="D2328" i="16"/>
  <c r="C2328" i="16"/>
  <c r="B2328" i="16"/>
  <c r="A2328" i="16"/>
  <c r="J2327" i="16"/>
  <c r="H2327" i="16"/>
  <c r="G2327" i="16"/>
  <c r="F2327" i="16"/>
  <c r="E2327" i="16"/>
  <c r="D2327" i="16"/>
  <c r="C2327" i="16"/>
  <c r="B2327" i="16"/>
  <c r="A2327" i="16"/>
  <c r="J2326" i="16"/>
  <c r="H2326" i="16"/>
  <c r="G2326" i="16"/>
  <c r="F2326" i="16"/>
  <c r="E2326" i="16"/>
  <c r="D2326" i="16"/>
  <c r="C2326" i="16"/>
  <c r="B2326" i="16"/>
  <c r="A2326" i="16"/>
  <c r="J2325" i="16"/>
  <c r="H2325" i="16"/>
  <c r="G2325" i="16"/>
  <c r="F2325" i="16"/>
  <c r="E2325" i="16"/>
  <c r="D2325" i="16"/>
  <c r="C2325" i="16"/>
  <c r="B2325" i="16"/>
  <c r="A2325" i="16"/>
  <c r="J2324" i="16"/>
  <c r="H2324" i="16"/>
  <c r="G2324" i="16"/>
  <c r="F2324" i="16"/>
  <c r="E2324" i="16"/>
  <c r="D2324" i="16"/>
  <c r="C2324" i="16"/>
  <c r="B2324" i="16"/>
  <c r="A2324" i="16"/>
  <c r="J2323" i="16"/>
  <c r="H2323" i="16"/>
  <c r="G2323" i="16"/>
  <c r="F2323" i="16"/>
  <c r="E2323" i="16"/>
  <c r="D2323" i="16"/>
  <c r="C2323" i="16"/>
  <c r="B2323" i="16"/>
  <c r="A2323" i="16"/>
  <c r="J2322" i="16"/>
  <c r="H2322" i="16"/>
  <c r="G2322" i="16"/>
  <c r="F2322" i="16"/>
  <c r="E2322" i="16"/>
  <c r="D2322" i="16"/>
  <c r="C2322" i="16"/>
  <c r="B2322" i="16"/>
  <c r="A2322" i="16"/>
  <c r="J2321" i="16"/>
  <c r="H2321" i="16"/>
  <c r="G2321" i="16"/>
  <c r="F2321" i="16"/>
  <c r="E2321" i="16"/>
  <c r="D2321" i="16"/>
  <c r="C2321" i="16"/>
  <c r="B2321" i="16"/>
  <c r="A2321" i="16"/>
  <c r="J2320" i="16"/>
  <c r="H2320" i="16"/>
  <c r="G2320" i="16"/>
  <c r="F2320" i="16"/>
  <c r="E2320" i="16"/>
  <c r="D2320" i="16"/>
  <c r="C2320" i="16"/>
  <c r="B2320" i="16"/>
  <c r="A2320" i="16"/>
  <c r="J2319" i="16"/>
  <c r="H2319" i="16"/>
  <c r="G2319" i="16"/>
  <c r="F2319" i="16"/>
  <c r="E2319" i="16"/>
  <c r="D2319" i="16"/>
  <c r="C2319" i="16"/>
  <c r="B2319" i="16"/>
  <c r="A2319" i="16"/>
  <c r="J2318" i="16"/>
  <c r="H2318" i="16"/>
  <c r="G2318" i="16"/>
  <c r="F2318" i="16"/>
  <c r="E2318" i="16"/>
  <c r="D2318" i="16"/>
  <c r="C2318" i="16"/>
  <c r="B2318" i="16"/>
  <c r="A2318" i="16"/>
  <c r="J2317" i="16"/>
  <c r="H2317" i="16"/>
  <c r="G2317" i="16"/>
  <c r="F2317" i="16"/>
  <c r="E2317" i="16"/>
  <c r="D2317" i="16"/>
  <c r="C2317" i="16"/>
  <c r="B2317" i="16"/>
  <c r="A2317" i="16"/>
  <c r="J2316" i="16"/>
  <c r="H2316" i="16"/>
  <c r="G2316" i="16"/>
  <c r="F2316" i="16"/>
  <c r="E2316" i="16"/>
  <c r="D2316" i="16"/>
  <c r="C2316" i="16"/>
  <c r="B2316" i="16"/>
  <c r="A2316" i="16"/>
  <c r="J2315" i="16"/>
  <c r="H2315" i="16"/>
  <c r="G2315" i="16"/>
  <c r="F2315" i="16"/>
  <c r="E2315" i="16"/>
  <c r="D2315" i="16"/>
  <c r="C2315" i="16"/>
  <c r="B2315" i="16"/>
  <c r="A2315" i="16"/>
  <c r="J2314" i="16"/>
  <c r="H2314" i="16"/>
  <c r="G2314" i="16"/>
  <c r="F2314" i="16"/>
  <c r="E2314" i="16"/>
  <c r="D2314" i="16"/>
  <c r="C2314" i="16"/>
  <c r="B2314" i="16"/>
  <c r="A2314" i="16"/>
  <c r="J2313" i="16"/>
  <c r="H2313" i="16"/>
  <c r="G2313" i="16"/>
  <c r="F2313" i="16"/>
  <c r="E2313" i="16"/>
  <c r="D2313" i="16"/>
  <c r="C2313" i="16"/>
  <c r="B2313" i="16"/>
  <c r="A2313" i="16"/>
  <c r="J2312" i="16"/>
  <c r="H2312" i="16"/>
  <c r="G2312" i="16"/>
  <c r="F2312" i="16"/>
  <c r="E2312" i="16"/>
  <c r="D2312" i="16"/>
  <c r="C2312" i="16"/>
  <c r="B2312" i="16"/>
  <c r="A2312" i="16"/>
  <c r="J2311" i="16"/>
  <c r="H2311" i="16"/>
  <c r="G2311" i="16"/>
  <c r="F2311" i="16"/>
  <c r="E2311" i="16"/>
  <c r="D2311" i="16"/>
  <c r="C2311" i="16"/>
  <c r="B2311" i="16"/>
  <c r="A2311" i="16"/>
  <c r="J2310" i="16"/>
  <c r="H2310" i="16"/>
  <c r="G2310" i="16"/>
  <c r="F2310" i="16"/>
  <c r="E2310" i="16"/>
  <c r="D2310" i="16"/>
  <c r="C2310" i="16"/>
  <c r="B2310" i="16"/>
  <c r="A2310" i="16"/>
  <c r="J2309" i="16"/>
  <c r="H2309" i="16"/>
  <c r="G2309" i="16"/>
  <c r="F2309" i="16"/>
  <c r="E2309" i="16"/>
  <c r="D2309" i="16"/>
  <c r="C2309" i="16"/>
  <c r="B2309" i="16"/>
  <c r="A2309" i="16"/>
  <c r="J2308" i="16"/>
  <c r="H2308" i="16"/>
  <c r="G2308" i="16"/>
  <c r="F2308" i="16"/>
  <c r="E2308" i="16"/>
  <c r="D2308" i="16"/>
  <c r="C2308" i="16"/>
  <c r="B2308" i="16"/>
  <c r="A2308" i="16"/>
  <c r="J2307" i="16"/>
  <c r="H2307" i="16"/>
  <c r="G2307" i="16"/>
  <c r="F2307" i="16"/>
  <c r="E2307" i="16"/>
  <c r="D2307" i="16"/>
  <c r="C2307" i="16"/>
  <c r="B2307" i="16"/>
  <c r="A2307" i="16"/>
  <c r="J2306" i="16"/>
  <c r="H2306" i="16"/>
  <c r="G2306" i="16"/>
  <c r="F2306" i="16"/>
  <c r="E2306" i="16"/>
  <c r="D2306" i="16"/>
  <c r="C2306" i="16"/>
  <c r="B2306" i="16"/>
  <c r="A2306" i="16"/>
  <c r="J2305" i="16"/>
  <c r="H2305" i="16"/>
  <c r="G2305" i="16"/>
  <c r="F2305" i="16"/>
  <c r="E2305" i="16"/>
  <c r="D2305" i="16"/>
  <c r="C2305" i="16"/>
  <c r="B2305" i="16"/>
  <c r="A2305" i="16"/>
  <c r="J2304" i="16"/>
  <c r="H2304" i="16"/>
  <c r="G2304" i="16"/>
  <c r="F2304" i="16"/>
  <c r="E2304" i="16"/>
  <c r="D2304" i="16"/>
  <c r="C2304" i="16"/>
  <c r="B2304" i="16"/>
  <c r="A2304" i="16"/>
  <c r="J2303" i="16"/>
  <c r="H2303" i="16"/>
  <c r="G2303" i="16"/>
  <c r="F2303" i="16"/>
  <c r="E2303" i="16"/>
  <c r="D2303" i="16"/>
  <c r="C2303" i="16"/>
  <c r="B2303" i="16"/>
  <c r="A2303" i="16"/>
  <c r="J2302" i="16"/>
  <c r="H2302" i="16"/>
  <c r="G2302" i="16"/>
  <c r="F2302" i="16"/>
  <c r="E2302" i="16"/>
  <c r="D2302" i="16"/>
  <c r="C2302" i="16"/>
  <c r="B2302" i="16"/>
  <c r="A2302" i="16"/>
  <c r="J2301" i="16"/>
  <c r="H2301" i="16"/>
  <c r="G2301" i="16"/>
  <c r="F2301" i="16"/>
  <c r="E2301" i="16"/>
  <c r="D2301" i="16"/>
  <c r="C2301" i="16"/>
  <c r="B2301" i="16"/>
  <c r="A2301" i="16"/>
  <c r="J2300" i="16"/>
  <c r="H2300" i="16"/>
  <c r="G2300" i="16"/>
  <c r="F2300" i="16"/>
  <c r="E2300" i="16"/>
  <c r="D2300" i="16"/>
  <c r="C2300" i="16"/>
  <c r="B2300" i="16"/>
  <c r="A2300" i="16"/>
  <c r="J2299" i="16"/>
  <c r="H2299" i="16"/>
  <c r="G2299" i="16"/>
  <c r="F2299" i="16"/>
  <c r="E2299" i="16"/>
  <c r="D2299" i="16"/>
  <c r="C2299" i="16"/>
  <c r="B2299" i="16"/>
  <c r="A2299" i="16"/>
  <c r="J2298" i="16"/>
  <c r="H2298" i="16"/>
  <c r="G2298" i="16"/>
  <c r="F2298" i="16"/>
  <c r="E2298" i="16"/>
  <c r="D2298" i="16"/>
  <c r="C2298" i="16"/>
  <c r="B2298" i="16"/>
  <c r="A2298" i="16"/>
  <c r="J2297" i="16"/>
  <c r="H2297" i="16"/>
  <c r="G2297" i="16"/>
  <c r="F2297" i="16"/>
  <c r="E2297" i="16"/>
  <c r="D2297" i="16"/>
  <c r="C2297" i="16"/>
  <c r="B2297" i="16"/>
  <c r="A2297" i="16"/>
  <c r="J2296" i="16"/>
  <c r="H2296" i="16"/>
  <c r="G2296" i="16"/>
  <c r="F2296" i="16"/>
  <c r="E2296" i="16"/>
  <c r="D2296" i="16"/>
  <c r="C2296" i="16"/>
  <c r="B2296" i="16"/>
  <c r="A2296" i="16"/>
  <c r="J2295" i="16"/>
  <c r="H2295" i="16"/>
  <c r="G2295" i="16"/>
  <c r="F2295" i="16"/>
  <c r="E2295" i="16"/>
  <c r="D2295" i="16"/>
  <c r="C2295" i="16"/>
  <c r="B2295" i="16"/>
  <c r="A2295" i="16"/>
  <c r="J2294" i="16"/>
  <c r="H2294" i="16"/>
  <c r="G2294" i="16"/>
  <c r="F2294" i="16"/>
  <c r="E2294" i="16"/>
  <c r="D2294" i="16"/>
  <c r="C2294" i="16"/>
  <c r="B2294" i="16"/>
  <c r="A2294" i="16"/>
  <c r="J2293" i="16"/>
  <c r="H2293" i="16"/>
  <c r="G2293" i="16"/>
  <c r="F2293" i="16"/>
  <c r="E2293" i="16"/>
  <c r="D2293" i="16"/>
  <c r="C2293" i="16"/>
  <c r="B2293" i="16"/>
  <c r="A2293" i="16"/>
  <c r="J2292" i="16"/>
  <c r="H2292" i="16"/>
  <c r="G2292" i="16"/>
  <c r="F2292" i="16"/>
  <c r="E2292" i="16"/>
  <c r="D2292" i="16"/>
  <c r="C2292" i="16"/>
  <c r="B2292" i="16"/>
  <c r="A2292" i="16"/>
  <c r="J2291" i="16"/>
  <c r="H2291" i="16"/>
  <c r="G2291" i="16"/>
  <c r="F2291" i="16"/>
  <c r="E2291" i="16"/>
  <c r="D2291" i="16"/>
  <c r="C2291" i="16"/>
  <c r="B2291" i="16"/>
  <c r="A2291" i="16"/>
  <c r="J2290" i="16"/>
  <c r="H2290" i="16"/>
  <c r="G2290" i="16"/>
  <c r="F2290" i="16"/>
  <c r="E2290" i="16"/>
  <c r="D2290" i="16"/>
  <c r="C2290" i="16"/>
  <c r="B2290" i="16"/>
  <c r="A2290" i="16"/>
  <c r="J2289" i="16"/>
  <c r="H2289" i="16"/>
  <c r="G2289" i="16"/>
  <c r="F2289" i="16"/>
  <c r="E2289" i="16"/>
  <c r="D2289" i="16"/>
  <c r="C2289" i="16"/>
  <c r="B2289" i="16"/>
  <c r="A2289" i="16"/>
  <c r="J2288" i="16"/>
  <c r="H2288" i="16"/>
  <c r="G2288" i="16"/>
  <c r="F2288" i="16"/>
  <c r="E2288" i="16"/>
  <c r="D2288" i="16"/>
  <c r="C2288" i="16"/>
  <c r="B2288" i="16"/>
  <c r="A2288" i="16"/>
  <c r="J2287" i="16"/>
  <c r="H2287" i="16"/>
  <c r="G2287" i="16"/>
  <c r="F2287" i="16"/>
  <c r="E2287" i="16"/>
  <c r="D2287" i="16"/>
  <c r="C2287" i="16"/>
  <c r="B2287" i="16"/>
  <c r="A2287" i="16"/>
  <c r="J2286" i="16"/>
  <c r="H2286" i="16"/>
  <c r="G2286" i="16"/>
  <c r="F2286" i="16"/>
  <c r="E2286" i="16"/>
  <c r="D2286" i="16"/>
  <c r="C2286" i="16"/>
  <c r="B2286" i="16"/>
  <c r="A2286" i="16"/>
  <c r="J2285" i="16"/>
  <c r="H2285" i="16"/>
  <c r="G2285" i="16"/>
  <c r="F2285" i="16"/>
  <c r="E2285" i="16"/>
  <c r="D2285" i="16"/>
  <c r="C2285" i="16"/>
  <c r="B2285" i="16"/>
  <c r="A2285" i="16"/>
  <c r="J2284" i="16"/>
  <c r="H2284" i="16"/>
  <c r="G2284" i="16"/>
  <c r="F2284" i="16"/>
  <c r="E2284" i="16"/>
  <c r="D2284" i="16"/>
  <c r="C2284" i="16"/>
  <c r="B2284" i="16"/>
  <c r="A2284" i="16"/>
  <c r="J2283" i="16"/>
  <c r="H2283" i="16"/>
  <c r="G2283" i="16"/>
  <c r="F2283" i="16"/>
  <c r="E2283" i="16"/>
  <c r="D2283" i="16"/>
  <c r="C2283" i="16"/>
  <c r="B2283" i="16"/>
  <c r="A2283" i="16"/>
  <c r="J2282" i="16"/>
  <c r="H2282" i="16"/>
  <c r="G2282" i="16"/>
  <c r="F2282" i="16"/>
  <c r="E2282" i="16"/>
  <c r="D2282" i="16"/>
  <c r="C2282" i="16"/>
  <c r="B2282" i="16"/>
  <c r="A2282" i="16"/>
  <c r="J2281" i="16"/>
  <c r="H2281" i="16"/>
  <c r="G2281" i="16"/>
  <c r="F2281" i="16"/>
  <c r="E2281" i="16"/>
  <c r="D2281" i="16"/>
  <c r="C2281" i="16"/>
  <c r="B2281" i="16"/>
  <c r="A2281" i="16"/>
  <c r="J2280" i="16"/>
  <c r="H2280" i="16"/>
  <c r="G2280" i="16"/>
  <c r="F2280" i="16"/>
  <c r="E2280" i="16"/>
  <c r="D2280" i="16"/>
  <c r="C2280" i="16"/>
  <c r="B2280" i="16"/>
  <c r="A2280" i="16"/>
  <c r="J2279" i="16"/>
  <c r="H2279" i="16"/>
  <c r="G2279" i="16"/>
  <c r="F2279" i="16"/>
  <c r="E2279" i="16"/>
  <c r="D2279" i="16"/>
  <c r="C2279" i="16"/>
  <c r="B2279" i="16"/>
  <c r="A2279" i="16"/>
  <c r="J2278" i="16"/>
  <c r="F2278" i="16"/>
  <c r="E2278" i="16"/>
  <c r="D2278" i="16"/>
  <c r="C2278" i="16"/>
  <c r="B2278" i="16"/>
  <c r="A2278" i="16"/>
  <c r="J2277" i="16"/>
  <c r="F2277" i="16"/>
  <c r="E2277" i="16"/>
  <c r="D2277" i="16"/>
  <c r="C2277" i="16"/>
  <c r="B2277" i="16"/>
  <c r="A2277" i="16"/>
  <c r="J2276" i="16"/>
  <c r="F2276" i="16"/>
  <c r="E2276" i="16"/>
  <c r="D2276" i="16"/>
  <c r="C2276" i="16"/>
  <c r="B2276" i="16"/>
  <c r="A2276" i="16"/>
  <c r="J2275" i="16"/>
  <c r="F2275" i="16"/>
  <c r="E2275" i="16"/>
  <c r="D2275" i="16"/>
  <c r="C2275" i="16"/>
  <c r="B2275" i="16"/>
  <c r="A2275" i="16"/>
  <c r="J2274" i="16"/>
  <c r="F2274" i="16"/>
  <c r="E2274" i="16"/>
  <c r="D2274" i="16"/>
  <c r="C2274" i="16"/>
  <c r="B2274" i="16"/>
  <c r="A2274" i="16"/>
  <c r="J2273" i="16"/>
  <c r="F2273" i="16"/>
  <c r="E2273" i="16"/>
  <c r="D2273" i="16"/>
  <c r="C2273" i="16"/>
  <c r="B2273" i="16"/>
  <c r="A2273" i="16"/>
  <c r="J2272" i="16"/>
  <c r="F2272" i="16"/>
  <c r="E2272" i="16"/>
  <c r="D2272" i="16"/>
  <c r="C2272" i="16"/>
  <c r="B2272" i="16"/>
  <c r="A2272" i="16"/>
  <c r="J2271" i="16"/>
  <c r="F2271" i="16"/>
  <c r="E2271" i="16"/>
  <c r="D2271" i="16"/>
  <c r="C2271" i="16"/>
  <c r="B2271" i="16"/>
  <c r="A2271" i="16"/>
  <c r="J2270" i="16"/>
  <c r="F2270" i="16"/>
  <c r="E2270" i="16"/>
  <c r="D2270" i="16"/>
  <c r="C2270" i="16"/>
  <c r="B2270" i="16"/>
  <c r="A2270" i="16"/>
  <c r="J2269" i="16"/>
  <c r="F2269" i="16"/>
  <c r="E2269" i="16"/>
  <c r="D2269" i="16"/>
  <c r="C2269" i="16"/>
  <c r="B2269" i="16"/>
  <c r="A2269" i="16"/>
  <c r="J2268" i="16"/>
  <c r="F2268" i="16"/>
  <c r="E2268" i="16"/>
  <c r="D2268" i="16"/>
  <c r="C2268" i="16"/>
  <c r="B2268" i="16"/>
  <c r="A2268" i="16"/>
  <c r="J2267" i="16"/>
  <c r="F2267" i="16"/>
  <c r="E2267" i="16"/>
  <c r="D2267" i="16"/>
  <c r="C2267" i="16"/>
  <c r="B2267" i="16"/>
  <c r="A2267" i="16"/>
  <c r="J2266" i="16"/>
  <c r="F2266" i="16"/>
  <c r="E2266" i="16"/>
  <c r="D2266" i="16"/>
  <c r="C2266" i="16"/>
  <c r="B2266" i="16"/>
  <c r="A2266" i="16"/>
  <c r="J2265" i="16"/>
  <c r="F2265" i="16"/>
  <c r="E2265" i="16"/>
  <c r="D2265" i="16"/>
  <c r="C2265" i="16"/>
  <c r="B2265" i="16"/>
  <c r="A2265" i="16"/>
  <c r="J2264" i="16"/>
  <c r="H2264" i="16"/>
  <c r="G2264" i="16"/>
  <c r="E2264" i="16"/>
  <c r="D2264" i="16"/>
  <c r="C2264" i="16"/>
  <c r="B2264" i="16"/>
  <c r="A2264" i="16"/>
  <c r="J2263" i="16"/>
  <c r="H2263" i="16"/>
  <c r="G2263" i="16"/>
  <c r="E2263" i="16"/>
  <c r="D2263" i="16"/>
  <c r="C2263" i="16"/>
  <c r="B2263" i="16"/>
  <c r="A2263" i="16"/>
  <c r="J2262" i="16"/>
  <c r="H2262" i="16"/>
  <c r="G2262" i="16"/>
  <c r="E2262" i="16"/>
  <c r="D2262" i="16"/>
  <c r="C2262" i="16"/>
  <c r="B2262" i="16"/>
  <c r="A2262" i="16"/>
  <c r="J2261" i="16"/>
  <c r="H2261" i="16"/>
  <c r="G2261" i="16"/>
  <c r="E2261" i="16"/>
  <c r="D2261" i="16"/>
  <c r="C2261" i="16"/>
  <c r="B2261" i="16"/>
  <c r="A2261" i="16"/>
  <c r="J2260" i="16"/>
  <c r="H2260" i="16"/>
  <c r="G2260" i="16"/>
  <c r="E2260" i="16"/>
  <c r="D2260" i="16"/>
  <c r="C2260" i="16"/>
  <c r="B2260" i="16"/>
  <c r="A2260" i="16"/>
  <c r="J2259" i="16"/>
  <c r="H2259" i="16"/>
  <c r="G2259" i="16"/>
  <c r="E2259" i="16"/>
  <c r="D2259" i="16"/>
  <c r="C2259" i="16"/>
  <c r="B2259" i="16"/>
  <c r="A2259" i="16"/>
  <c r="J2258" i="16"/>
  <c r="H2258" i="16"/>
  <c r="G2258" i="16"/>
  <c r="E2258" i="16"/>
  <c r="D2258" i="16"/>
  <c r="C2258" i="16"/>
  <c r="B2258" i="16"/>
  <c r="A2258" i="16"/>
  <c r="J2257" i="16"/>
  <c r="H2257" i="16"/>
  <c r="G2257" i="16"/>
  <c r="F2257" i="16"/>
  <c r="E2257" i="16"/>
  <c r="D2257" i="16"/>
  <c r="C2257" i="16"/>
  <c r="B2257" i="16"/>
  <c r="A2257" i="16"/>
  <c r="J2256" i="16"/>
  <c r="H2256" i="16"/>
  <c r="G2256" i="16"/>
  <c r="F2256" i="16"/>
  <c r="E2256" i="16"/>
  <c r="D2256" i="16"/>
  <c r="C2256" i="16"/>
  <c r="B2256" i="16"/>
  <c r="A2256" i="16"/>
  <c r="J2255" i="16"/>
  <c r="H2255" i="16"/>
  <c r="G2255" i="16"/>
  <c r="F2255" i="16"/>
  <c r="E2255" i="16"/>
  <c r="D2255" i="16"/>
  <c r="C2255" i="16"/>
  <c r="B2255" i="16"/>
  <c r="A2255" i="16"/>
  <c r="J2254" i="16"/>
  <c r="H2254" i="16"/>
  <c r="G2254" i="16"/>
  <c r="F2254" i="16"/>
  <c r="E2254" i="16"/>
  <c r="D2254" i="16"/>
  <c r="C2254" i="16"/>
  <c r="B2254" i="16"/>
  <c r="A2254" i="16"/>
  <c r="J2253" i="16"/>
  <c r="H2253" i="16"/>
  <c r="G2253" i="16"/>
  <c r="F2253" i="16"/>
  <c r="E2253" i="16"/>
  <c r="D2253" i="16"/>
  <c r="C2253" i="16"/>
  <c r="B2253" i="16"/>
  <c r="A2253" i="16"/>
  <c r="J2252" i="16"/>
  <c r="H2252" i="16"/>
  <c r="G2252" i="16"/>
  <c r="F2252" i="16"/>
  <c r="E2252" i="16"/>
  <c r="D2252" i="16"/>
  <c r="C2252" i="16"/>
  <c r="B2252" i="16"/>
  <c r="A2252" i="16"/>
  <c r="J2251" i="16"/>
  <c r="H2251" i="16"/>
  <c r="G2251" i="16"/>
  <c r="F2251" i="16"/>
  <c r="E2251" i="16"/>
  <c r="D2251" i="16"/>
  <c r="C2251" i="16"/>
  <c r="B2251" i="16"/>
  <c r="A2251" i="16"/>
  <c r="J2250" i="16"/>
  <c r="H2250" i="16"/>
  <c r="G2250" i="16"/>
  <c r="F2250" i="16"/>
  <c r="E2250" i="16"/>
  <c r="D2250" i="16"/>
  <c r="C2250" i="16"/>
  <c r="B2250" i="16"/>
  <c r="A2250" i="16"/>
  <c r="J2249" i="16"/>
  <c r="H2249" i="16"/>
  <c r="G2249" i="16"/>
  <c r="F2249" i="16"/>
  <c r="E2249" i="16"/>
  <c r="D2249" i="16"/>
  <c r="C2249" i="16"/>
  <c r="B2249" i="16"/>
  <c r="A2249" i="16"/>
  <c r="J2248" i="16"/>
  <c r="H2248" i="16"/>
  <c r="G2248" i="16"/>
  <c r="F2248" i="16"/>
  <c r="E2248" i="16"/>
  <c r="D2248" i="16"/>
  <c r="C2248" i="16"/>
  <c r="B2248" i="16"/>
  <c r="A2248" i="16"/>
  <c r="J2247" i="16"/>
  <c r="H2247" i="16"/>
  <c r="G2247" i="16"/>
  <c r="F2247" i="16"/>
  <c r="E2247" i="16"/>
  <c r="D2247" i="16"/>
  <c r="C2247" i="16"/>
  <c r="B2247" i="16"/>
  <c r="A2247" i="16"/>
  <c r="J2246" i="16"/>
  <c r="H2246" i="16"/>
  <c r="G2246" i="16"/>
  <c r="F2246" i="16"/>
  <c r="E2246" i="16"/>
  <c r="D2246" i="16"/>
  <c r="C2246" i="16"/>
  <c r="B2246" i="16"/>
  <c r="A2246" i="16"/>
  <c r="J2245" i="16"/>
  <c r="H2245" i="16"/>
  <c r="G2245" i="16"/>
  <c r="F2245" i="16"/>
  <c r="E2245" i="16"/>
  <c r="D2245" i="16"/>
  <c r="C2245" i="16"/>
  <c r="B2245" i="16"/>
  <c r="A2245" i="16"/>
  <c r="J2244" i="16"/>
  <c r="H2244" i="16"/>
  <c r="G2244" i="16"/>
  <c r="F2244" i="16"/>
  <c r="E2244" i="16"/>
  <c r="D2244" i="16"/>
  <c r="C2244" i="16"/>
  <c r="B2244" i="16"/>
  <c r="A2244" i="16"/>
  <c r="J2243" i="16"/>
  <c r="F2243" i="16"/>
  <c r="E2243" i="16"/>
  <c r="D2243" i="16"/>
  <c r="C2243" i="16"/>
  <c r="B2243" i="16"/>
  <c r="A2243" i="16"/>
  <c r="J2242" i="16"/>
  <c r="F2242" i="16"/>
  <c r="E2242" i="16"/>
  <c r="D2242" i="16"/>
  <c r="C2242" i="16"/>
  <c r="B2242" i="16"/>
  <c r="A2242" i="16"/>
  <c r="J2241" i="16"/>
  <c r="F2241" i="16"/>
  <c r="E2241" i="16"/>
  <c r="D2241" i="16"/>
  <c r="C2241" i="16"/>
  <c r="B2241" i="16"/>
  <c r="A2241" i="16"/>
  <c r="J2240" i="16"/>
  <c r="F2240" i="16"/>
  <c r="E2240" i="16"/>
  <c r="D2240" i="16"/>
  <c r="C2240" i="16"/>
  <c r="B2240" i="16"/>
  <c r="A2240" i="16"/>
  <c r="J2239" i="16"/>
  <c r="F2239" i="16"/>
  <c r="E2239" i="16"/>
  <c r="D2239" i="16"/>
  <c r="C2239" i="16"/>
  <c r="B2239" i="16"/>
  <c r="A2239" i="16"/>
  <c r="J2238" i="16"/>
  <c r="F2238" i="16"/>
  <c r="E2238" i="16"/>
  <c r="D2238" i="16"/>
  <c r="C2238" i="16"/>
  <c r="B2238" i="16"/>
  <c r="A2238" i="16"/>
  <c r="J2237" i="16"/>
  <c r="F2237" i="16"/>
  <c r="E2237" i="16"/>
  <c r="D2237" i="16"/>
  <c r="C2237" i="16"/>
  <c r="B2237" i="16"/>
  <c r="A2237" i="16"/>
  <c r="J2236" i="16"/>
  <c r="H2236" i="16"/>
  <c r="G2236" i="16"/>
  <c r="F2236" i="16"/>
  <c r="E2236" i="16"/>
  <c r="D2236" i="16"/>
  <c r="C2236" i="16"/>
  <c r="B2236" i="16"/>
  <c r="A2236" i="16"/>
  <c r="J2235" i="16"/>
  <c r="H2235" i="16"/>
  <c r="G2235" i="16"/>
  <c r="F2235" i="16"/>
  <c r="E2235" i="16"/>
  <c r="D2235" i="16"/>
  <c r="C2235" i="16"/>
  <c r="B2235" i="16"/>
  <c r="A2235" i="16"/>
  <c r="J2234" i="16"/>
  <c r="H2234" i="16"/>
  <c r="G2234" i="16"/>
  <c r="F2234" i="16"/>
  <c r="E2234" i="16"/>
  <c r="D2234" i="16"/>
  <c r="C2234" i="16"/>
  <c r="B2234" i="16"/>
  <c r="A2234" i="16"/>
  <c r="J2233" i="16"/>
  <c r="H2233" i="16"/>
  <c r="G2233" i="16"/>
  <c r="F2233" i="16"/>
  <c r="E2233" i="16"/>
  <c r="D2233" i="16"/>
  <c r="C2233" i="16"/>
  <c r="B2233" i="16"/>
  <c r="A2233" i="16"/>
  <c r="J2232" i="16"/>
  <c r="H2232" i="16"/>
  <c r="G2232" i="16"/>
  <c r="F2232" i="16"/>
  <c r="E2232" i="16"/>
  <c r="D2232" i="16"/>
  <c r="C2232" i="16"/>
  <c r="B2232" i="16"/>
  <c r="A2232" i="16"/>
  <c r="J2231" i="16"/>
  <c r="H2231" i="16"/>
  <c r="G2231" i="16"/>
  <c r="F2231" i="16"/>
  <c r="E2231" i="16"/>
  <c r="D2231" i="16"/>
  <c r="C2231" i="16"/>
  <c r="B2231" i="16"/>
  <c r="A2231" i="16"/>
  <c r="J2230" i="16"/>
  <c r="H2230" i="16"/>
  <c r="G2230" i="16"/>
  <c r="F2230" i="16"/>
  <c r="E2230" i="16"/>
  <c r="D2230" i="16"/>
  <c r="C2230" i="16"/>
  <c r="B2230" i="16"/>
  <c r="A2230" i="16"/>
  <c r="J2229" i="16"/>
  <c r="H2229" i="16"/>
  <c r="G2229" i="16"/>
  <c r="F2229" i="16"/>
  <c r="E2229" i="16"/>
  <c r="D2229" i="16"/>
  <c r="C2229" i="16"/>
  <c r="B2229" i="16"/>
  <c r="A2229" i="16"/>
  <c r="J2228" i="16"/>
  <c r="H2228" i="16"/>
  <c r="G2228" i="16"/>
  <c r="F2228" i="16"/>
  <c r="E2228" i="16"/>
  <c r="D2228" i="16"/>
  <c r="C2228" i="16"/>
  <c r="B2228" i="16"/>
  <c r="A2228" i="16"/>
  <c r="J2227" i="16"/>
  <c r="H2227" i="16"/>
  <c r="G2227" i="16"/>
  <c r="F2227" i="16"/>
  <c r="E2227" i="16"/>
  <c r="D2227" i="16"/>
  <c r="C2227" i="16"/>
  <c r="B2227" i="16"/>
  <c r="A2227" i="16"/>
  <c r="J2226" i="16"/>
  <c r="H2226" i="16"/>
  <c r="G2226" i="16"/>
  <c r="F2226" i="16"/>
  <c r="E2226" i="16"/>
  <c r="D2226" i="16"/>
  <c r="C2226" i="16"/>
  <c r="B2226" i="16"/>
  <c r="A2226" i="16"/>
  <c r="J2225" i="16"/>
  <c r="H2225" i="16"/>
  <c r="G2225" i="16"/>
  <c r="F2225" i="16"/>
  <c r="E2225" i="16"/>
  <c r="D2225" i="16"/>
  <c r="C2225" i="16"/>
  <c r="B2225" i="16"/>
  <c r="A2225" i="16"/>
  <c r="J2224" i="16"/>
  <c r="H2224" i="16"/>
  <c r="G2224" i="16"/>
  <c r="F2224" i="16"/>
  <c r="E2224" i="16"/>
  <c r="D2224" i="16"/>
  <c r="C2224" i="16"/>
  <c r="B2224" i="16"/>
  <c r="A2224" i="16"/>
  <c r="J2223" i="16"/>
  <c r="H2223" i="16"/>
  <c r="G2223" i="16"/>
  <c r="F2223" i="16"/>
  <c r="E2223" i="16"/>
  <c r="D2223" i="16"/>
  <c r="C2223" i="16"/>
  <c r="B2223" i="16"/>
  <c r="A2223" i="16"/>
  <c r="J2222" i="16"/>
  <c r="H2222" i="16"/>
  <c r="G2222" i="16"/>
  <c r="F2222" i="16"/>
  <c r="E2222" i="16"/>
  <c r="D2222" i="16"/>
  <c r="C2222" i="16"/>
  <c r="B2222" i="16"/>
  <c r="A2222" i="16"/>
  <c r="J2221" i="16"/>
  <c r="H2221" i="16"/>
  <c r="G2221" i="16"/>
  <c r="F2221" i="16"/>
  <c r="E2221" i="16"/>
  <c r="D2221" i="16"/>
  <c r="C2221" i="16"/>
  <c r="B2221" i="16"/>
  <c r="A2221" i="16"/>
  <c r="J2220" i="16"/>
  <c r="H2220" i="16"/>
  <c r="G2220" i="16"/>
  <c r="F2220" i="16"/>
  <c r="E2220" i="16"/>
  <c r="D2220" i="16"/>
  <c r="C2220" i="16"/>
  <c r="B2220" i="16"/>
  <c r="A2220" i="16"/>
  <c r="J2219" i="16"/>
  <c r="H2219" i="16"/>
  <c r="G2219" i="16"/>
  <c r="F2219" i="16"/>
  <c r="E2219" i="16"/>
  <c r="D2219" i="16"/>
  <c r="C2219" i="16"/>
  <c r="B2219" i="16"/>
  <c r="A2219" i="16"/>
  <c r="J2218" i="16"/>
  <c r="H2218" i="16"/>
  <c r="G2218" i="16"/>
  <c r="F2218" i="16"/>
  <c r="E2218" i="16"/>
  <c r="D2218" i="16"/>
  <c r="C2218" i="16"/>
  <c r="B2218" i="16"/>
  <c r="A2218" i="16"/>
  <c r="J2217" i="16"/>
  <c r="H2217" i="16"/>
  <c r="G2217" i="16"/>
  <c r="F2217" i="16"/>
  <c r="E2217" i="16"/>
  <c r="D2217" i="16"/>
  <c r="C2217" i="16"/>
  <c r="B2217" i="16"/>
  <c r="A2217" i="16"/>
  <c r="J2216" i="16"/>
  <c r="H2216" i="16"/>
  <c r="G2216" i="16"/>
  <c r="F2216" i="16"/>
  <c r="E2216" i="16"/>
  <c r="D2216" i="16"/>
  <c r="C2216" i="16"/>
  <c r="B2216" i="16"/>
  <c r="A2216" i="16"/>
  <c r="J2215" i="16"/>
  <c r="H2215" i="16"/>
  <c r="G2215" i="16"/>
  <c r="F2215" i="16"/>
  <c r="E2215" i="16"/>
  <c r="D2215" i="16"/>
  <c r="C2215" i="16"/>
  <c r="B2215" i="16"/>
  <c r="A2215" i="16"/>
  <c r="J2214" i="16"/>
  <c r="H2214" i="16"/>
  <c r="G2214" i="16"/>
  <c r="F2214" i="16"/>
  <c r="E2214" i="16"/>
  <c r="D2214" i="16"/>
  <c r="C2214" i="16"/>
  <c r="B2214" i="16"/>
  <c r="A2214" i="16"/>
  <c r="J2213" i="16"/>
  <c r="H2213" i="16"/>
  <c r="G2213" i="16"/>
  <c r="F2213" i="16"/>
  <c r="E2213" i="16"/>
  <c r="D2213" i="16"/>
  <c r="C2213" i="16"/>
  <c r="B2213" i="16"/>
  <c r="A2213" i="16"/>
  <c r="J2212" i="16"/>
  <c r="H2212" i="16"/>
  <c r="G2212" i="16"/>
  <c r="F2212" i="16"/>
  <c r="E2212" i="16"/>
  <c r="D2212" i="16"/>
  <c r="C2212" i="16"/>
  <c r="B2212" i="16"/>
  <c r="A2212" i="16"/>
  <c r="J2211" i="16"/>
  <c r="H2211" i="16"/>
  <c r="G2211" i="16"/>
  <c r="F2211" i="16"/>
  <c r="E2211" i="16"/>
  <c r="D2211" i="16"/>
  <c r="C2211" i="16"/>
  <c r="B2211" i="16"/>
  <c r="A2211" i="16"/>
  <c r="J2210" i="16"/>
  <c r="H2210" i="16"/>
  <c r="G2210" i="16"/>
  <c r="F2210" i="16"/>
  <c r="E2210" i="16"/>
  <c r="D2210" i="16"/>
  <c r="C2210" i="16"/>
  <c r="B2210" i="16"/>
  <c r="A2210" i="16"/>
  <c r="J2209" i="16"/>
  <c r="H2209" i="16"/>
  <c r="G2209" i="16"/>
  <c r="F2209" i="16"/>
  <c r="E2209" i="16"/>
  <c r="D2209" i="16"/>
  <c r="C2209" i="16"/>
  <c r="B2209" i="16"/>
  <c r="A2209" i="16"/>
  <c r="J2208" i="16"/>
  <c r="H2208" i="16"/>
  <c r="G2208" i="16"/>
  <c r="F2208" i="16"/>
  <c r="E2208" i="16"/>
  <c r="D2208" i="16"/>
  <c r="C2208" i="16"/>
  <c r="B2208" i="16"/>
  <c r="A2208" i="16"/>
  <c r="J2207" i="16"/>
  <c r="H2207" i="16"/>
  <c r="G2207" i="16"/>
  <c r="F2207" i="16"/>
  <c r="E2207" i="16"/>
  <c r="D2207" i="16"/>
  <c r="C2207" i="16"/>
  <c r="B2207" i="16"/>
  <c r="A2207" i="16"/>
  <c r="J2206" i="16"/>
  <c r="H2206" i="16"/>
  <c r="G2206" i="16"/>
  <c r="F2206" i="16"/>
  <c r="E2206" i="16"/>
  <c r="D2206" i="16"/>
  <c r="C2206" i="16"/>
  <c r="B2206" i="16"/>
  <c r="A2206" i="16"/>
  <c r="J2205" i="16"/>
  <c r="H2205" i="16"/>
  <c r="G2205" i="16"/>
  <c r="F2205" i="16"/>
  <c r="E2205" i="16"/>
  <c r="D2205" i="16"/>
  <c r="C2205" i="16"/>
  <c r="B2205" i="16"/>
  <c r="A2205" i="16"/>
  <c r="J2204" i="16"/>
  <c r="H2204" i="16"/>
  <c r="G2204" i="16"/>
  <c r="F2204" i="16"/>
  <c r="E2204" i="16"/>
  <c r="D2204" i="16"/>
  <c r="C2204" i="16"/>
  <c r="B2204" i="16"/>
  <c r="A2204" i="16"/>
  <c r="J2203" i="16"/>
  <c r="H2203" i="16"/>
  <c r="G2203" i="16"/>
  <c r="F2203" i="16"/>
  <c r="E2203" i="16"/>
  <c r="D2203" i="16"/>
  <c r="C2203" i="16"/>
  <c r="B2203" i="16"/>
  <c r="A2203" i="16"/>
  <c r="J2202" i="16"/>
  <c r="H2202" i="16"/>
  <c r="G2202" i="16"/>
  <c r="F2202" i="16"/>
  <c r="E2202" i="16"/>
  <c r="D2202" i="16"/>
  <c r="C2202" i="16"/>
  <c r="B2202" i="16"/>
  <c r="A2202" i="16"/>
  <c r="J2201" i="16"/>
  <c r="H2201" i="16"/>
  <c r="G2201" i="16"/>
  <c r="F2201" i="16"/>
  <c r="E2201" i="16"/>
  <c r="D2201" i="16"/>
  <c r="C2201" i="16"/>
  <c r="B2201" i="16"/>
  <c r="A2201" i="16"/>
  <c r="J2200" i="16"/>
  <c r="H2200" i="16"/>
  <c r="G2200" i="16"/>
  <c r="F2200" i="16"/>
  <c r="E2200" i="16"/>
  <c r="D2200" i="16"/>
  <c r="C2200" i="16"/>
  <c r="B2200" i="16"/>
  <c r="A2200" i="16"/>
  <c r="J2199" i="16"/>
  <c r="H2199" i="16"/>
  <c r="G2199" i="16"/>
  <c r="F2199" i="16"/>
  <c r="E2199" i="16"/>
  <c r="D2199" i="16"/>
  <c r="C2199" i="16"/>
  <c r="B2199" i="16"/>
  <c r="A2199" i="16"/>
  <c r="J2198" i="16"/>
  <c r="H2198" i="16"/>
  <c r="G2198" i="16"/>
  <c r="F2198" i="16"/>
  <c r="E2198" i="16"/>
  <c r="D2198" i="16"/>
  <c r="C2198" i="16"/>
  <c r="B2198" i="16"/>
  <c r="A2198" i="16"/>
  <c r="J2197" i="16"/>
  <c r="H2197" i="16"/>
  <c r="G2197" i="16"/>
  <c r="F2197" i="16"/>
  <c r="E2197" i="16"/>
  <c r="D2197" i="16"/>
  <c r="C2197" i="16"/>
  <c r="B2197" i="16"/>
  <c r="A2197" i="16"/>
  <c r="J2196" i="16"/>
  <c r="H2196" i="16"/>
  <c r="G2196" i="16"/>
  <c r="F2196" i="16"/>
  <c r="E2196" i="16"/>
  <c r="D2196" i="16"/>
  <c r="C2196" i="16"/>
  <c r="B2196" i="16"/>
  <c r="A2196" i="16"/>
  <c r="J2195" i="16"/>
  <c r="I2195" i="16"/>
  <c r="H2195" i="16"/>
  <c r="G2195" i="16"/>
  <c r="C2195" i="16"/>
  <c r="B2195" i="16"/>
  <c r="J2194" i="16"/>
  <c r="I2194" i="16"/>
  <c r="H2194" i="16"/>
  <c r="G2194" i="16"/>
  <c r="C2194" i="16"/>
  <c r="B2194" i="16"/>
  <c r="J2193" i="16"/>
  <c r="I2193" i="16"/>
  <c r="H2193" i="16"/>
  <c r="G2193" i="16"/>
  <c r="C2193" i="16"/>
  <c r="B2193" i="16"/>
  <c r="J2192" i="16"/>
  <c r="I2192" i="16"/>
  <c r="H2192" i="16"/>
  <c r="G2192" i="16"/>
  <c r="C2192" i="16"/>
  <c r="B2192" i="16"/>
  <c r="J2191" i="16"/>
  <c r="I2191" i="16"/>
  <c r="H2191" i="16"/>
  <c r="G2191" i="16"/>
  <c r="C2191" i="16"/>
  <c r="B2191" i="16"/>
  <c r="J2190" i="16"/>
  <c r="I2190" i="16"/>
  <c r="H2190" i="16"/>
  <c r="G2190" i="16"/>
  <c r="C2190" i="16"/>
  <c r="B2190" i="16"/>
  <c r="J2189" i="16"/>
  <c r="I2189" i="16"/>
  <c r="H2189" i="16"/>
  <c r="G2189" i="16"/>
  <c r="C2189" i="16"/>
  <c r="B2189" i="16"/>
  <c r="J2188" i="16"/>
  <c r="I2188" i="16"/>
  <c r="H2188" i="16"/>
  <c r="G2188" i="16"/>
  <c r="C2188" i="16"/>
  <c r="B2188" i="16"/>
  <c r="J2187" i="16"/>
  <c r="I2187" i="16"/>
  <c r="H2187" i="16"/>
  <c r="G2187" i="16"/>
  <c r="C2187" i="16"/>
  <c r="B2187" i="16"/>
  <c r="J2186" i="16"/>
  <c r="I2186" i="16"/>
  <c r="H2186" i="16"/>
  <c r="G2186" i="16"/>
  <c r="C2186" i="16"/>
  <c r="B2186" i="16"/>
  <c r="J2185" i="16"/>
  <c r="I2185" i="16"/>
  <c r="H2185" i="16"/>
  <c r="G2185" i="16"/>
  <c r="C2185" i="16"/>
  <c r="B2185" i="16"/>
  <c r="J2184" i="16"/>
  <c r="I2184" i="16"/>
  <c r="H2184" i="16"/>
  <c r="G2184" i="16"/>
  <c r="C2184" i="16"/>
  <c r="B2184" i="16"/>
  <c r="J2183" i="16"/>
  <c r="I2183" i="16"/>
  <c r="H2183" i="16"/>
  <c r="G2183" i="16"/>
  <c r="C2183" i="16"/>
  <c r="B2183" i="16"/>
  <c r="J2182" i="16"/>
  <c r="H2182" i="16"/>
  <c r="G2182" i="16"/>
  <c r="F2182" i="16"/>
  <c r="E2182" i="16"/>
  <c r="D2182" i="16"/>
  <c r="C2182" i="16"/>
  <c r="B2182" i="16"/>
  <c r="A2182" i="16"/>
  <c r="J2181" i="16"/>
  <c r="H2181" i="16"/>
  <c r="G2181" i="16"/>
  <c r="F2181" i="16"/>
  <c r="E2181" i="16"/>
  <c r="D2181" i="16"/>
  <c r="C2181" i="16"/>
  <c r="B2181" i="16"/>
  <c r="A2181" i="16"/>
  <c r="J2180" i="16"/>
  <c r="H2180" i="16"/>
  <c r="G2180" i="16"/>
  <c r="F2180" i="16"/>
  <c r="E2180" i="16"/>
  <c r="D2180" i="16"/>
  <c r="C2180" i="16"/>
  <c r="B2180" i="16"/>
  <c r="A2180" i="16"/>
  <c r="J2179" i="16"/>
  <c r="H2179" i="16"/>
  <c r="G2179" i="16"/>
  <c r="F2179" i="16"/>
  <c r="E2179" i="16"/>
  <c r="D2179" i="16"/>
  <c r="C2179" i="16"/>
  <c r="B2179" i="16"/>
  <c r="A2179" i="16"/>
  <c r="J2178" i="16"/>
  <c r="H2178" i="16"/>
  <c r="G2178" i="16"/>
  <c r="F2178" i="16"/>
  <c r="E2178" i="16"/>
  <c r="D2178" i="16"/>
  <c r="C2178" i="16"/>
  <c r="B2178" i="16"/>
  <c r="A2178" i="16"/>
  <c r="J2177" i="16"/>
  <c r="H2177" i="16"/>
  <c r="G2177" i="16"/>
  <c r="F2177" i="16"/>
  <c r="E2177" i="16"/>
  <c r="D2177" i="16"/>
  <c r="C2177" i="16"/>
  <c r="B2177" i="16"/>
  <c r="A2177" i="16"/>
  <c r="J2176" i="16"/>
  <c r="H2176" i="16"/>
  <c r="G2176" i="16"/>
  <c r="F2176" i="16"/>
  <c r="E2176" i="16"/>
  <c r="D2176" i="16"/>
  <c r="C2176" i="16"/>
  <c r="B2176" i="16"/>
  <c r="A2176" i="16"/>
  <c r="J2175" i="16"/>
  <c r="H2175" i="16"/>
  <c r="G2175" i="16"/>
  <c r="F2175" i="16"/>
  <c r="E2175" i="16"/>
  <c r="D2175" i="16"/>
  <c r="C2175" i="16"/>
  <c r="B2175" i="16"/>
  <c r="A2175" i="16"/>
  <c r="J2174" i="16"/>
  <c r="H2174" i="16"/>
  <c r="G2174" i="16"/>
  <c r="F2174" i="16"/>
  <c r="E2174" i="16"/>
  <c r="D2174" i="16"/>
  <c r="C2174" i="16"/>
  <c r="B2174" i="16"/>
  <c r="A2174" i="16"/>
  <c r="J2173" i="16"/>
  <c r="H2173" i="16"/>
  <c r="G2173" i="16"/>
  <c r="F2173" i="16"/>
  <c r="E2173" i="16"/>
  <c r="D2173" i="16"/>
  <c r="C2173" i="16"/>
  <c r="B2173" i="16"/>
  <c r="A2173" i="16"/>
  <c r="J2172" i="16"/>
  <c r="H2172" i="16"/>
  <c r="G2172" i="16"/>
  <c r="F2172" i="16"/>
  <c r="E2172" i="16"/>
  <c r="D2172" i="16"/>
  <c r="C2172" i="16"/>
  <c r="B2172" i="16"/>
  <c r="A2172" i="16"/>
  <c r="J2171" i="16"/>
  <c r="H2171" i="16"/>
  <c r="G2171" i="16"/>
  <c r="F2171" i="16"/>
  <c r="E2171" i="16"/>
  <c r="D2171" i="16"/>
  <c r="C2171" i="16"/>
  <c r="B2171" i="16"/>
  <c r="A2171" i="16"/>
  <c r="J2170" i="16"/>
  <c r="H2170" i="16"/>
  <c r="G2170" i="16"/>
  <c r="F2170" i="16"/>
  <c r="E2170" i="16"/>
  <c r="D2170" i="16"/>
  <c r="C2170" i="16"/>
  <c r="B2170" i="16"/>
  <c r="A2170" i="16"/>
  <c r="J2169" i="16"/>
  <c r="H2169" i="16"/>
  <c r="G2169" i="16"/>
  <c r="F2169" i="16"/>
  <c r="E2169" i="16"/>
  <c r="D2169" i="16"/>
  <c r="C2169" i="16"/>
  <c r="B2169" i="16"/>
  <c r="A2169" i="16"/>
  <c r="J2168" i="16"/>
  <c r="H2168" i="16"/>
  <c r="G2168" i="16"/>
  <c r="F2168" i="16"/>
  <c r="E2168" i="16"/>
  <c r="D2168" i="16"/>
  <c r="C2168" i="16"/>
  <c r="B2168" i="16"/>
  <c r="A2168" i="16"/>
  <c r="J2167" i="16"/>
  <c r="H2167" i="16"/>
  <c r="G2167" i="16"/>
  <c r="F2167" i="16"/>
  <c r="E2167" i="16"/>
  <c r="D2167" i="16"/>
  <c r="C2167" i="16"/>
  <c r="B2167" i="16"/>
  <c r="A2167" i="16"/>
  <c r="J2166" i="16"/>
  <c r="H2166" i="16"/>
  <c r="G2166" i="16"/>
  <c r="F2166" i="16"/>
  <c r="E2166" i="16"/>
  <c r="D2166" i="16"/>
  <c r="C2166" i="16"/>
  <c r="B2166" i="16"/>
  <c r="A2166" i="16"/>
  <c r="J2165" i="16"/>
  <c r="H2165" i="16"/>
  <c r="G2165" i="16"/>
  <c r="F2165" i="16"/>
  <c r="E2165" i="16"/>
  <c r="D2165" i="16"/>
  <c r="C2165" i="16"/>
  <c r="B2165" i="16"/>
  <c r="A2165" i="16"/>
  <c r="J2164" i="16"/>
  <c r="H2164" i="16"/>
  <c r="G2164" i="16"/>
  <c r="F2164" i="16"/>
  <c r="E2164" i="16"/>
  <c r="D2164" i="16"/>
  <c r="C2164" i="16"/>
  <c r="B2164" i="16"/>
  <c r="A2164" i="16"/>
  <c r="J2163" i="16"/>
  <c r="H2163" i="16"/>
  <c r="G2163" i="16"/>
  <c r="F2163" i="16"/>
  <c r="E2163" i="16"/>
  <c r="D2163" i="16"/>
  <c r="C2163" i="16"/>
  <c r="B2163" i="16"/>
  <c r="A2163" i="16"/>
  <c r="J2162" i="16"/>
  <c r="H2162" i="16"/>
  <c r="G2162" i="16"/>
  <c r="F2162" i="16"/>
  <c r="E2162" i="16"/>
  <c r="D2162" i="16"/>
  <c r="C2162" i="16"/>
  <c r="B2162" i="16"/>
  <c r="A2162" i="16"/>
  <c r="J2161" i="16"/>
  <c r="H2161" i="16"/>
  <c r="G2161" i="16"/>
  <c r="F2161" i="16"/>
  <c r="E2161" i="16"/>
  <c r="D2161" i="16"/>
  <c r="C2161" i="16"/>
  <c r="B2161" i="16"/>
  <c r="A2161" i="16"/>
  <c r="J2160" i="16"/>
  <c r="H2160" i="16"/>
  <c r="G2160" i="16"/>
  <c r="F2160" i="16"/>
  <c r="E2160" i="16"/>
  <c r="D2160" i="16"/>
  <c r="C2160" i="16"/>
  <c r="B2160" i="16"/>
  <c r="A2160" i="16"/>
  <c r="J2159" i="16"/>
  <c r="H2159" i="16"/>
  <c r="G2159" i="16"/>
  <c r="F2159" i="16"/>
  <c r="E2159" i="16"/>
  <c r="D2159" i="16"/>
  <c r="C2159" i="16"/>
  <c r="B2159" i="16"/>
  <c r="A2159" i="16"/>
  <c r="J2158" i="16"/>
  <c r="H2158" i="16"/>
  <c r="G2158" i="16"/>
  <c r="F2158" i="16"/>
  <c r="E2158" i="16"/>
  <c r="D2158" i="16"/>
  <c r="C2158" i="16"/>
  <c r="B2158" i="16"/>
  <c r="A2158" i="16"/>
  <c r="J2157" i="16"/>
  <c r="H2157" i="16"/>
  <c r="G2157" i="16"/>
  <c r="F2157" i="16"/>
  <c r="E2157" i="16"/>
  <c r="D2157" i="16"/>
  <c r="C2157" i="16"/>
  <c r="B2157" i="16"/>
  <c r="A2157" i="16"/>
  <c r="J2156" i="16"/>
  <c r="H2156" i="16"/>
  <c r="G2156" i="16"/>
  <c r="F2156" i="16"/>
  <c r="E2156" i="16"/>
  <c r="D2156" i="16"/>
  <c r="C2156" i="16"/>
  <c r="B2156" i="16"/>
  <c r="A2156" i="16"/>
  <c r="J2155" i="16"/>
  <c r="H2155" i="16"/>
  <c r="G2155" i="16"/>
  <c r="F2155" i="16"/>
  <c r="E2155" i="16"/>
  <c r="D2155" i="16"/>
  <c r="C2155" i="16"/>
  <c r="B2155" i="16"/>
  <c r="A2155" i="16"/>
  <c r="J2154" i="16"/>
  <c r="H2154" i="16"/>
  <c r="G2154" i="16"/>
  <c r="F2154" i="16"/>
  <c r="E2154" i="16"/>
  <c r="D2154" i="16"/>
  <c r="C2154" i="16"/>
  <c r="B2154" i="16"/>
  <c r="A2154" i="16"/>
  <c r="J2153" i="16"/>
  <c r="H2153" i="16"/>
  <c r="G2153" i="16"/>
  <c r="F2153" i="16"/>
  <c r="E2153" i="16"/>
  <c r="D2153" i="16"/>
  <c r="C2153" i="16"/>
  <c r="B2153" i="16"/>
  <c r="A2153" i="16"/>
  <c r="J2152" i="16"/>
  <c r="H2152" i="16"/>
  <c r="G2152" i="16"/>
  <c r="F2152" i="16"/>
  <c r="E2152" i="16"/>
  <c r="D2152" i="16"/>
  <c r="C2152" i="16"/>
  <c r="B2152" i="16"/>
  <c r="A2152" i="16"/>
  <c r="J2151" i="16"/>
  <c r="H2151" i="16"/>
  <c r="G2151" i="16"/>
  <c r="F2151" i="16"/>
  <c r="E2151" i="16"/>
  <c r="D2151" i="16"/>
  <c r="C2151" i="16"/>
  <c r="B2151" i="16"/>
  <c r="A2151" i="16"/>
  <c r="J2150" i="16"/>
  <c r="H2150" i="16"/>
  <c r="G2150" i="16"/>
  <c r="F2150" i="16"/>
  <c r="E2150" i="16"/>
  <c r="D2150" i="16"/>
  <c r="C2150" i="16"/>
  <c r="B2150" i="16"/>
  <c r="A2150" i="16"/>
  <c r="J2149" i="16"/>
  <c r="H2149" i="16"/>
  <c r="G2149" i="16"/>
  <c r="F2149" i="16"/>
  <c r="E2149" i="16"/>
  <c r="D2149" i="16"/>
  <c r="C2149" i="16"/>
  <c r="B2149" i="16"/>
  <c r="A2149" i="16"/>
  <c r="J2148" i="16"/>
  <c r="H2148" i="16"/>
  <c r="G2148" i="16"/>
  <c r="F2148" i="16"/>
  <c r="E2148" i="16"/>
  <c r="D2148" i="16"/>
  <c r="C2148" i="16"/>
  <c r="B2148" i="16"/>
  <c r="A2148" i="16"/>
  <c r="J2147" i="16"/>
  <c r="H2147" i="16"/>
  <c r="G2147" i="16"/>
  <c r="F2147" i="16"/>
  <c r="E2147" i="16"/>
  <c r="D2147" i="16"/>
  <c r="C2147" i="16"/>
  <c r="B2147" i="16"/>
  <c r="A2147" i="16"/>
  <c r="J2146" i="16"/>
  <c r="H2146" i="16"/>
  <c r="G2146" i="16"/>
  <c r="F2146" i="16"/>
  <c r="E2146" i="16"/>
  <c r="D2146" i="16"/>
  <c r="C2146" i="16"/>
  <c r="B2146" i="16"/>
  <c r="A2146" i="16"/>
  <c r="J2145" i="16"/>
  <c r="H2145" i="16"/>
  <c r="G2145" i="16"/>
  <c r="F2145" i="16"/>
  <c r="E2145" i="16"/>
  <c r="D2145" i="16"/>
  <c r="C2145" i="16"/>
  <c r="B2145" i="16"/>
  <c r="A2145" i="16"/>
  <c r="J2144" i="16"/>
  <c r="H2144" i="16"/>
  <c r="G2144" i="16"/>
  <c r="F2144" i="16"/>
  <c r="E2144" i="16"/>
  <c r="D2144" i="16"/>
  <c r="C2144" i="16"/>
  <c r="B2144" i="16"/>
  <c r="A2144" i="16"/>
  <c r="J2143" i="16"/>
  <c r="H2143" i="16"/>
  <c r="G2143" i="16"/>
  <c r="F2143" i="16"/>
  <c r="E2143" i="16"/>
  <c r="D2143" i="16"/>
  <c r="C2143" i="16"/>
  <c r="B2143" i="16"/>
  <c r="A2143" i="16"/>
  <c r="J2142" i="16"/>
  <c r="H2142" i="16"/>
  <c r="G2142" i="16"/>
  <c r="F2142" i="16"/>
  <c r="E2142" i="16"/>
  <c r="D2142" i="16"/>
  <c r="C2142" i="16"/>
  <c r="B2142" i="16"/>
  <c r="A2142" i="16"/>
  <c r="J2141" i="16"/>
  <c r="H2141" i="16"/>
  <c r="G2141" i="16"/>
  <c r="F2141" i="16"/>
  <c r="E2141" i="16"/>
  <c r="D2141" i="16"/>
  <c r="C2141" i="16"/>
  <c r="B2141" i="16"/>
  <c r="A2141" i="16"/>
  <c r="J2140" i="16"/>
  <c r="H2140" i="16"/>
  <c r="G2140" i="16"/>
  <c r="F2140" i="16"/>
  <c r="E2140" i="16"/>
  <c r="D2140" i="16"/>
  <c r="C2140" i="16"/>
  <c r="B2140" i="16"/>
  <c r="A2140" i="16"/>
  <c r="J2139" i="16"/>
  <c r="H2139" i="16"/>
  <c r="G2139" i="16"/>
  <c r="F2139" i="16"/>
  <c r="E2139" i="16"/>
  <c r="D2139" i="16"/>
  <c r="C2139" i="16"/>
  <c r="B2139" i="16"/>
  <c r="A2139" i="16"/>
  <c r="J2138" i="16"/>
  <c r="H2138" i="16"/>
  <c r="G2138" i="16"/>
  <c r="F2138" i="16"/>
  <c r="E2138" i="16"/>
  <c r="D2138" i="16"/>
  <c r="C2138" i="16"/>
  <c r="B2138" i="16"/>
  <c r="A2138" i="16"/>
  <c r="J2137" i="16"/>
  <c r="H2137" i="16"/>
  <c r="G2137" i="16"/>
  <c r="F2137" i="16"/>
  <c r="E2137" i="16"/>
  <c r="D2137" i="16"/>
  <c r="C2137" i="16"/>
  <c r="B2137" i="16"/>
  <c r="A2137" i="16"/>
  <c r="J2136" i="16"/>
  <c r="H2136" i="16"/>
  <c r="G2136" i="16"/>
  <c r="F2136" i="16"/>
  <c r="E2136" i="16"/>
  <c r="D2136" i="16"/>
  <c r="C2136" i="16"/>
  <c r="B2136" i="16"/>
  <c r="A2136" i="16"/>
  <c r="J2135" i="16"/>
  <c r="H2135" i="16"/>
  <c r="G2135" i="16"/>
  <c r="F2135" i="16"/>
  <c r="E2135" i="16"/>
  <c r="D2135" i="16"/>
  <c r="C2135" i="16"/>
  <c r="B2135" i="16"/>
  <c r="A2135" i="16"/>
  <c r="J2134" i="16"/>
  <c r="H2134" i="16"/>
  <c r="G2134" i="16"/>
  <c r="F2134" i="16"/>
  <c r="E2134" i="16"/>
  <c r="D2134" i="16"/>
  <c r="C2134" i="16"/>
  <c r="B2134" i="16"/>
  <c r="A2134" i="16"/>
  <c r="J2133" i="16"/>
  <c r="H2133" i="16"/>
  <c r="G2133" i="16"/>
  <c r="F2133" i="16"/>
  <c r="E2133" i="16"/>
  <c r="D2133" i="16"/>
  <c r="C2133" i="16"/>
  <c r="B2133" i="16"/>
  <c r="A2133" i="16"/>
  <c r="J2132" i="16"/>
  <c r="H2132" i="16"/>
  <c r="G2132" i="16"/>
  <c r="F2132" i="16"/>
  <c r="E2132" i="16"/>
  <c r="D2132" i="16"/>
  <c r="C2132" i="16"/>
  <c r="B2132" i="16"/>
  <c r="A2132" i="16"/>
  <c r="J2131" i="16"/>
  <c r="H2131" i="16"/>
  <c r="G2131" i="16"/>
  <c r="F2131" i="16"/>
  <c r="E2131" i="16"/>
  <c r="D2131" i="16"/>
  <c r="C2131" i="16"/>
  <c r="B2131" i="16"/>
  <c r="A2131" i="16"/>
  <c r="J2130" i="16"/>
  <c r="H2130" i="16"/>
  <c r="G2130" i="16"/>
  <c r="F2130" i="16"/>
  <c r="E2130" i="16"/>
  <c r="D2130" i="16"/>
  <c r="C2130" i="16"/>
  <c r="B2130" i="16"/>
  <c r="A2130" i="16"/>
  <c r="J2129" i="16"/>
  <c r="H2129" i="16"/>
  <c r="G2129" i="16"/>
  <c r="F2129" i="16"/>
  <c r="E2129" i="16"/>
  <c r="D2129" i="16"/>
  <c r="C2129" i="16"/>
  <c r="B2129" i="16"/>
  <c r="A2129" i="16"/>
  <c r="J2128" i="16"/>
  <c r="H2128" i="16"/>
  <c r="G2128" i="16"/>
  <c r="F2128" i="16"/>
  <c r="E2128" i="16"/>
  <c r="D2128" i="16"/>
  <c r="C2128" i="16"/>
  <c r="B2128" i="16"/>
  <c r="A2128" i="16"/>
  <c r="J2127" i="16"/>
  <c r="H2127" i="16"/>
  <c r="G2127" i="16"/>
  <c r="F2127" i="16"/>
  <c r="E2127" i="16"/>
  <c r="D2127" i="16"/>
  <c r="C2127" i="16"/>
  <c r="B2127" i="16"/>
  <c r="A2127" i="16"/>
  <c r="J2126" i="16"/>
  <c r="H2126" i="16"/>
  <c r="G2126" i="16"/>
  <c r="F2126" i="16"/>
  <c r="E2126" i="16"/>
  <c r="D2126" i="16"/>
  <c r="C2126" i="16"/>
  <c r="B2126" i="16"/>
  <c r="A2126" i="16"/>
  <c r="J2125" i="16"/>
  <c r="H2125" i="16"/>
  <c r="G2125" i="16"/>
  <c r="F2125" i="16"/>
  <c r="E2125" i="16"/>
  <c r="D2125" i="16"/>
  <c r="C2125" i="16"/>
  <c r="B2125" i="16"/>
  <c r="A2125" i="16"/>
  <c r="J2124" i="16"/>
  <c r="H2124" i="16"/>
  <c r="G2124" i="16"/>
  <c r="F2124" i="16"/>
  <c r="E2124" i="16"/>
  <c r="D2124" i="16"/>
  <c r="C2124" i="16"/>
  <c r="B2124" i="16"/>
  <c r="A2124" i="16"/>
  <c r="J2123" i="16"/>
  <c r="H2123" i="16"/>
  <c r="G2123" i="16"/>
  <c r="F2123" i="16"/>
  <c r="E2123" i="16"/>
  <c r="D2123" i="16"/>
  <c r="C2123" i="16"/>
  <c r="B2123" i="16"/>
  <c r="A2123" i="16"/>
  <c r="J2122" i="16"/>
  <c r="H2122" i="16"/>
  <c r="G2122" i="16"/>
  <c r="F2122" i="16"/>
  <c r="E2122" i="16"/>
  <c r="D2122" i="16"/>
  <c r="C2122" i="16"/>
  <c r="B2122" i="16"/>
  <c r="A2122" i="16"/>
  <c r="J2121" i="16"/>
  <c r="H2121" i="16"/>
  <c r="G2121" i="16"/>
  <c r="F2121" i="16"/>
  <c r="E2121" i="16"/>
  <c r="D2121" i="16"/>
  <c r="C2121" i="16"/>
  <c r="B2121" i="16"/>
  <c r="A2121" i="16"/>
  <c r="J2120" i="16"/>
  <c r="H2120" i="16"/>
  <c r="G2120" i="16"/>
  <c r="F2120" i="16"/>
  <c r="E2120" i="16"/>
  <c r="D2120" i="16"/>
  <c r="C2120" i="16"/>
  <c r="B2120" i="16"/>
  <c r="A2120" i="16"/>
  <c r="J2119" i="16"/>
  <c r="H2119" i="16"/>
  <c r="G2119" i="16"/>
  <c r="F2119" i="16"/>
  <c r="E2119" i="16"/>
  <c r="D2119" i="16"/>
  <c r="C2119" i="16"/>
  <c r="B2119" i="16"/>
  <c r="A2119" i="16"/>
  <c r="J2118" i="16"/>
  <c r="H2118" i="16"/>
  <c r="G2118" i="16"/>
  <c r="F2118" i="16"/>
  <c r="E2118" i="16"/>
  <c r="D2118" i="16"/>
  <c r="C2118" i="16"/>
  <c r="B2118" i="16"/>
  <c r="A2118" i="16"/>
  <c r="J2117" i="16"/>
  <c r="H2117" i="16"/>
  <c r="G2117" i="16"/>
  <c r="F2117" i="16"/>
  <c r="E2117" i="16"/>
  <c r="D2117" i="16"/>
  <c r="C2117" i="16"/>
  <c r="B2117" i="16"/>
  <c r="A2117" i="16"/>
  <c r="J2116" i="16"/>
  <c r="H2116" i="16"/>
  <c r="G2116" i="16"/>
  <c r="F2116" i="16"/>
  <c r="E2116" i="16"/>
  <c r="D2116" i="16"/>
  <c r="C2116" i="16"/>
  <c r="B2116" i="16"/>
  <c r="A2116" i="16"/>
  <c r="J2115" i="16"/>
  <c r="H2115" i="16"/>
  <c r="G2115" i="16"/>
  <c r="F2115" i="16"/>
  <c r="E2115" i="16"/>
  <c r="D2115" i="16"/>
  <c r="C2115" i="16"/>
  <c r="B2115" i="16"/>
  <c r="A2115" i="16"/>
  <c r="J2114" i="16"/>
  <c r="H2114" i="16"/>
  <c r="G2114" i="16"/>
  <c r="F2114" i="16"/>
  <c r="E2114" i="16"/>
  <c r="D2114" i="16"/>
  <c r="C2114" i="16"/>
  <c r="B2114" i="16"/>
  <c r="A2114" i="16"/>
  <c r="J2113" i="16"/>
  <c r="H2113" i="16"/>
  <c r="G2113" i="16"/>
  <c r="F2113" i="16"/>
  <c r="E2113" i="16"/>
  <c r="D2113" i="16"/>
  <c r="C2113" i="16"/>
  <c r="B2113" i="16"/>
  <c r="A2113" i="16"/>
  <c r="J2112" i="16"/>
  <c r="H2112" i="16"/>
  <c r="G2112" i="16"/>
  <c r="F2112" i="16"/>
  <c r="E2112" i="16"/>
  <c r="D2112" i="16"/>
  <c r="C2112" i="16"/>
  <c r="B2112" i="16"/>
  <c r="A2112" i="16"/>
  <c r="J2111" i="16"/>
  <c r="H2111" i="16"/>
  <c r="G2111" i="16"/>
  <c r="F2111" i="16"/>
  <c r="E2111" i="16"/>
  <c r="D2111" i="16"/>
  <c r="C2111" i="16"/>
  <c r="B2111" i="16"/>
  <c r="A2111" i="16"/>
  <c r="J2110" i="16"/>
  <c r="H2110" i="16"/>
  <c r="G2110" i="16"/>
  <c r="F2110" i="16"/>
  <c r="E2110" i="16"/>
  <c r="D2110" i="16"/>
  <c r="C2110" i="16"/>
  <c r="B2110" i="16"/>
  <c r="A2110" i="16"/>
  <c r="J2109" i="16"/>
  <c r="H2109" i="16"/>
  <c r="G2109" i="16"/>
  <c r="F2109" i="16"/>
  <c r="E2109" i="16"/>
  <c r="D2109" i="16"/>
  <c r="C2109" i="16"/>
  <c r="B2109" i="16"/>
  <c r="A2109" i="16"/>
  <c r="J2108" i="16"/>
  <c r="H2108" i="16"/>
  <c r="G2108" i="16"/>
  <c r="F2108" i="16"/>
  <c r="E2108" i="16"/>
  <c r="D2108" i="16"/>
  <c r="C2108" i="16"/>
  <c r="B2108" i="16"/>
  <c r="A2108" i="16"/>
  <c r="J2107" i="16"/>
  <c r="H2107" i="16"/>
  <c r="G2107" i="16"/>
  <c r="F2107" i="16"/>
  <c r="E2107" i="16"/>
  <c r="D2107" i="16"/>
  <c r="C2107" i="16"/>
  <c r="B2107" i="16"/>
  <c r="A2107" i="16"/>
  <c r="J2106" i="16"/>
  <c r="F2106" i="16"/>
  <c r="E2106" i="16"/>
  <c r="D2106" i="16"/>
  <c r="C2106" i="16"/>
  <c r="B2106" i="16"/>
  <c r="A2106" i="16"/>
  <c r="J2105" i="16"/>
  <c r="F2105" i="16"/>
  <c r="E2105" i="16"/>
  <c r="D2105" i="16"/>
  <c r="C2105" i="16"/>
  <c r="B2105" i="16"/>
  <c r="A2105" i="16"/>
  <c r="J2104" i="16"/>
  <c r="F2104" i="16"/>
  <c r="E2104" i="16"/>
  <c r="D2104" i="16"/>
  <c r="C2104" i="16"/>
  <c r="B2104" i="16"/>
  <c r="A2104" i="16"/>
  <c r="J2103" i="16"/>
  <c r="F2103" i="16"/>
  <c r="E2103" i="16"/>
  <c r="D2103" i="16"/>
  <c r="C2103" i="16"/>
  <c r="B2103" i="16"/>
  <c r="A2103" i="16"/>
  <c r="J2102" i="16"/>
  <c r="F2102" i="16"/>
  <c r="E2102" i="16"/>
  <c r="D2102" i="16"/>
  <c r="C2102" i="16"/>
  <c r="B2102" i="16"/>
  <c r="A2102" i="16"/>
  <c r="J2101" i="16"/>
  <c r="F2101" i="16"/>
  <c r="E2101" i="16"/>
  <c r="D2101" i="16"/>
  <c r="C2101" i="16"/>
  <c r="B2101" i="16"/>
  <c r="A2101" i="16"/>
  <c r="J2100" i="16"/>
  <c r="F2100" i="16"/>
  <c r="E2100" i="16"/>
  <c r="D2100" i="16"/>
  <c r="C2100" i="16"/>
  <c r="B2100" i="16"/>
  <c r="A2100" i="16"/>
  <c r="J2099" i="16"/>
  <c r="H2099" i="16"/>
  <c r="G2099" i="16"/>
  <c r="F2099" i="16"/>
  <c r="E2099" i="16"/>
  <c r="D2099" i="16"/>
  <c r="C2099" i="16"/>
  <c r="B2099" i="16"/>
  <c r="A2099" i="16"/>
  <c r="J2098" i="16"/>
  <c r="H2098" i="16"/>
  <c r="G2098" i="16"/>
  <c r="F2098" i="16"/>
  <c r="E2098" i="16"/>
  <c r="D2098" i="16"/>
  <c r="C2098" i="16"/>
  <c r="B2098" i="16"/>
  <c r="A2098" i="16"/>
  <c r="J2097" i="16"/>
  <c r="H2097" i="16"/>
  <c r="G2097" i="16"/>
  <c r="F2097" i="16"/>
  <c r="E2097" i="16"/>
  <c r="D2097" i="16"/>
  <c r="C2097" i="16"/>
  <c r="B2097" i="16"/>
  <c r="A2097" i="16"/>
  <c r="J2096" i="16"/>
  <c r="H2096" i="16"/>
  <c r="G2096" i="16"/>
  <c r="F2096" i="16"/>
  <c r="E2096" i="16"/>
  <c r="D2096" i="16"/>
  <c r="C2096" i="16"/>
  <c r="B2096" i="16"/>
  <c r="A2096" i="16"/>
  <c r="J2095" i="16"/>
  <c r="H2095" i="16"/>
  <c r="G2095" i="16"/>
  <c r="F2095" i="16"/>
  <c r="E2095" i="16"/>
  <c r="D2095" i="16"/>
  <c r="C2095" i="16"/>
  <c r="B2095" i="16"/>
  <c r="A2095" i="16"/>
  <c r="J2094" i="16"/>
  <c r="H2094" i="16"/>
  <c r="G2094" i="16"/>
  <c r="F2094" i="16"/>
  <c r="E2094" i="16"/>
  <c r="D2094" i="16"/>
  <c r="C2094" i="16"/>
  <c r="B2094" i="16"/>
  <c r="A2094" i="16"/>
  <c r="J2093" i="16"/>
  <c r="H2093" i="16"/>
  <c r="G2093" i="16"/>
  <c r="F2093" i="16"/>
  <c r="E2093" i="16"/>
  <c r="D2093" i="16"/>
  <c r="C2093" i="16"/>
  <c r="B2093" i="16"/>
  <c r="A2093" i="16"/>
  <c r="J2092" i="16"/>
  <c r="H2092" i="16"/>
  <c r="G2092" i="16"/>
  <c r="F2092" i="16"/>
  <c r="E2092" i="16"/>
  <c r="D2092" i="16"/>
  <c r="C2092" i="16"/>
  <c r="B2092" i="16"/>
  <c r="A2092" i="16"/>
  <c r="J2091" i="16"/>
  <c r="H2091" i="16"/>
  <c r="G2091" i="16"/>
  <c r="F2091" i="16"/>
  <c r="E2091" i="16"/>
  <c r="D2091" i="16"/>
  <c r="C2091" i="16"/>
  <c r="B2091" i="16"/>
  <c r="A2091" i="16"/>
  <c r="J2090" i="16"/>
  <c r="H2090" i="16"/>
  <c r="G2090" i="16"/>
  <c r="F2090" i="16"/>
  <c r="E2090" i="16"/>
  <c r="D2090" i="16"/>
  <c r="C2090" i="16"/>
  <c r="B2090" i="16"/>
  <c r="A2090" i="16"/>
  <c r="J2089" i="16"/>
  <c r="H2089" i="16"/>
  <c r="G2089" i="16"/>
  <c r="F2089" i="16"/>
  <c r="E2089" i="16"/>
  <c r="D2089" i="16"/>
  <c r="C2089" i="16"/>
  <c r="B2089" i="16"/>
  <c r="A2089" i="16"/>
  <c r="J2088" i="16"/>
  <c r="H2088" i="16"/>
  <c r="G2088" i="16"/>
  <c r="F2088" i="16"/>
  <c r="E2088" i="16"/>
  <c r="D2088" i="16"/>
  <c r="C2088" i="16"/>
  <c r="B2088" i="16"/>
  <c r="A2088" i="16"/>
  <c r="J2087" i="16"/>
  <c r="F2087" i="16"/>
  <c r="E2087" i="16"/>
  <c r="D2087" i="16"/>
  <c r="C2087" i="16"/>
  <c r="B2087" i="16"/>
  <c r="A2087" i="16"/>
  <c r="J2086" i="16"/>
  <c r="H2086" i="16"/>
  <c r="G2086" i="16"/>
  <c r="F2086" i="16"/>
  <c r="E2086" i="16"/>
  <c r="D2086" i="16"/>
  <c r="C2086" i="16"/>
  <c r="B2086" i="16"/>
  <c r="A2086" i="16"/>
  <c r="J2085" i="16"/>
  <c r="H2085" i="16"/>
  <c r="G2085" i="16"/>
  <c r="F2085" i="16"/>
  <c r="E2085" i="16"/>
  <c r="D2085" i="16"/>
  <c r="C2085" i="16"/>
  <c r="B2085" i="16"/>
  <c r="A2085" i="16"/>
  <c r="J2084" i="16"/>
  <c r="H2084" i="16"/>
  <c r="G2084" i="16"/>
  <c r="F2084" i="16"/>
  <c r="E2084" i="16"/>
  <c r="D2084" i="16"/>
  <c r="C2084" i="16"/>
  <c r="B2084" i="16"/>
  <c r="A2084" i="16"/>
  <c r="J2083" i="16"/>
  <c r="H2083" i="16"/>
  <c r="G2083" i="16"/>
  <c r="F2083" i="16"/>
  <c r="E2083" i="16"/>
  <c r="D2083" i="16"/>
  <c r="C2083" i="16"/>
  <c r="B2083" i="16"/>
  <c r="A2083" i="16"/>
  <c r="J2082" i="16"/>
  <c r="H2082" i="16"/>
  <c r="G2082" i="16"/>
  <c r="F2082" i="16"/>
  <c r="E2082" i="16"/>
  <c r="D2082" i="16"/>
  <c r="C2082" i="16"/>
  <c r="B2082" i="16"/>
  <c r="A2082" i="16"/>
  <c r="J2081" i="16"/>
  <c r="H2081" i="16"/>
  <c r="G2081" i="16"/>
  <c r="F2081" i="16"/>
  <c r="E2081" i="16"/>
  <c r="D2081" i="16"/>
  <c r="C2081" i="16"/>
  <c r="B2081" i="16"/>
  <c r="A2081" i="16"/>
  <c r="J2080" i="16"/>
  <c r="H2080" i="16"/>
  <c r="G2080" i="16"/>
  <c r="F2080" i="16"/>
  <c r="E2080" i="16"/>
  <c r="D2080" i="16"/>
  <c r="C2080" i="16"/>
  <c r="B2080" i="16"/>
  <c r="A2080" i="16"/>
  <c r="J2079" i="16"/>
  <c r="H2079" i="16"/>
  <c r="G2079" i="16"/>
  <c r="F2079" i="16"/>
  <c r="E2079" i="16"/>
  <c r="D2079" i="16"/>
  <c r="C2079" i="16"/>
  <c r="B2079" i="16"/>
  <c r="A2079" i="16"/>
  <c r="J2078" i="16"/>
  <c r="H2078" i="16"/>
  <c r="G2078" i="16"/>
  <c r="F2078" i="16"/>
  <c r="E2078" i="16"/>
  <c r="D2078" i="16"/>
  <c r="C2078" i="16"/>
  <c r="B2078" i="16"/>
  <c r="A2078" i="16"/>
  <c r="J2077" i="16"/>
  <c r="H2077" i="16"/>
  <c r="G2077" i="16"/>
  <c r="F2077" i="16"/>
  <c r="E2077" i="16"/>
  <c r="D2077" i="16"/>
  <c r="C2077" i="16"/>
  <c r="B2077" i="16"/>
  <c r="A2077" i="16"/>
  <c r="J2076" i="16"/>
  <c r="H2076" i="16"/>
  <c r="G2076" i="16"/>
  <c r="F2076" i="16"/>
  <c r="E2076" i="16"/>
  <c r="D2076" i="16"/>
  <c r="C2076" i="16"/>
  <c r="B2076" i="16"/>
  <c r="A2076" i="16"/>
  <c r="J2075" i="16"/>
  <c r="H2075" i="16"/>
  <c r="G2075" i="16"/>
  <c r="F2075" i="16"/>
  <c r="E2075" i="16"/>
  <c r="D2075" i="16"/>
  <c r="C2075" i="16"/>
  <c r="B2075" i="16"/>
  <c r="A2075" i="16"/>
  <c r="J2074" i="16"/>
  <c r="H2074" i="16"/>
  <c r="G2074" i="16"/>
  <c r="F2074" i="16"/>
  <c r="E2074" i="16"/>
  <c r="D2074" i="16"/>
  <c r="C2074" i="16"/>
  <c r="B2074" i="16"/>
  <c r="A2074" i="16"/>
  <c r="J2073" i="16"/>
  <c r="H2073" i="16"/>
  <c r="G2073" i="16"/>
  <c r="F2073" i="16"/>
  <c r="E2073" i="16"/>
  <c r="D2073" i="16"/>
  <c r="C2073" i="16"/>
  <c r="B2073" i="16"/>
  <c r="A2073" i="16"/>
  <c r="J2072" i="16"/>
  <c r="H2072" i="16"/>
  <c r="G2072" i="16"/>
  <c r="F2072" i="16"/>
  <c r="E2072" i="16"/>
  <c r="D2072" i="16"/>
  <c r="C2072" i="16"/>
  <c r="B2072" i="16"/>
  <c r="A2072" i="16"/>
  <c r="J2071" i="16"/>
  <c r="H2071" i="16"/>
  <c r="G2071" i="16"/>
  <c r="F2071" i="16"/>
  <c r="E2071" i="16"/>
  <c r="D2071" i="16"/>
  <c r="C2071" i="16"/>
  <c r="B2071" i="16"/>
  <c r="A2071" i="16"/>
  <c r="J2070" i="16"/>
  <c r="H2070" i="16"/>
  <c r="G2070" i="16"/>
  <c r="F2070" i="16"/>
  <c r="E2070" i="16"/>
  <c r="D2070" i="16"/>
  <c r="C2070" i="16"/>
  <c r="B2070" i="16"/>
  <c r="A2070" i="16"/>
  <c r="J2069" i="16"/>
  <c r="H2069" i="16"/>
  <c r="G2069" i="16"/>
  <c r="F2069" i="16"/>
  <c r="E2069" i="16"/>
  <c r="D2069" i="16"/>
  <c r="C2069" i="16"/>
  <c r="B2069" i="16"/>
  <c r="A2069" i="16"/>
  <c r="J2068" i="16"/>
  <c r="H2068" i="16"/>
  <c r="G2068" i="16"/>
  <c r="F2068" i="16"/>
  <c r="E2068" i="16"/>
  <c r="D2068" i="16"/>
  <c r="C2068" i="16"/>
  <c r="B2068" i="16"/>
  <c r="A2068" i="16"/>
  <c r="J2067" i="16"/>
  <c r="H2067" i="16"/>
  <c r="G2067" i="16"/>
  <c r="F2067" i="16"/>
  <c r="E2067" i="16"/>
  <c r="D2067" i="16"/>
  <c r="C2067" i="16"/>
  <c r="B2067" i="16"/>
  <c r="A2067" i="16"/>
  <c r="J2066" i="16"/>
  <c r="H2066" i="16"/>
  <c r="G2066" i="16"/>
  <c r="F2066" i="16"/>
  <c r="E2066" i="16"/>
  <c r="D2066" i="16"/>
  <c r="C2066" i="16"/>
  <c r="B2066" i="16"/>
  <c r="A2066" i="16"/>
  <c r="J2065" i="16"/>
  <c r="H2065" i="16"/>
  <c r="G2065" i="16"/>
  <c r="F2065" i="16"/>
  <c r="E2065" i="16"/>
  <c r="D2065" i="16"/>
  <c r="C2065" i="16"/>
  <c r="B2065" i="16"/>
  <c r="A2065" i="16"/>
  <c r="J2064" i="16"/>
  <c r="H2064" i="16"/>
  <c r="G2064" i="16"/>
  <c r="F2064" i="16"/>
  <c r="E2064" i="16"/>
  <c r="D2064" i="16"/>
  <c r="C2064" i="16"/>
  <c r="B2064" i="16"/>
  <c r="A2064" i="16"/>
  <c r="J2063" i="16"/>
  <c r="H2063" i="16"/>
  <c r="G2063" i="16"/>
  <c r="F2063" i="16"/>
  <c r="E2063" i="16"/>
  <c r="D2063" i="16"/>
  <c r="C2063" i="16"/>
  <c r="B2063" i="16"/>
  <c r="A2063" i="16"/>
  <c r="J2062" i="16"/>
  <c r="H2062" i="16"/>
  <c r="G2062" i="16"/>
  <c r="F2062" i="16"/>
  <c r="E2062" i="16"/>
  <c r="D2062" i="16"/>
  <c r="C2062" i="16"/>
  <c r="B2062" i="16"/>
  <c r="A2062" i="16"/>
  <c r="J2061" i="16"/>
  <c r="H2061" i="16"/>
  <c r="G2061" i="16"/>
  <c r="F2061" i="16"/>
  <c r="E2061" i="16"/>
  <c r="D2061" i="16"/>
  <c r="C2061" i="16"/>
  <c r="B2061" i="16"/>
  <c r="A2061" i="16"/>
  <c r="J2060" i="16"/>
  <c r="H2060" i="16"/>
  <c r="G2060" i="16"/>
  <c r="F2060" i="16"/>
  <c r="E2060" i="16"/>
  <c r="D2060" i="16"/>
  <c r="C2060" i="16"/>
  <c r="B2060" i="16"/>
  <c r="A2060" i="16"/>
  <c r="J2059" i="16"/>
  <c r="H2059" i="16"/>
  <c r="G2059" i="16"/>
  <c r="F2059" i="16"/>
  <c r="E2059" i="16"/>
  <c r="D2059" i="16"/>
  <c r="C2059" i="16"/>
  <c r="B2059" i="16"/>
  <c r="A2059" i="16"/>
  <c r="J2058" i="16"/>
  <c r="H2058" i="16"/>
  <c r="G2058" i="16"/>
  <c r="F2058" i="16"/>
  <c r="E2058" i="16"/>
  <c r="D2058" i="16"/>
  <c r="C2058" i="16"/>
  <c r="B2058" i="16"/>
  <c r="A2058" i="16"/>
  <c r="J2057" i="16"/>
  <c r="H2057" i="16"/>
  <c r="G2057" i="16"/>
  <c r="F2057" i="16"/>
  <c r="E2057" i="16"/>
  <c r="D2057" i="16"/>
  <c r="C2057" i="16"/>
  <c r="B2057" i="16"/>
  <c r="A2057" i="16"/>
  <c r="J2056" i="16"/>
  <c r="H2056" i="16"/>
  <c r="G2056" i="16"/>
  <c r="F2056" i="16"/>
  <c r="E2056" i="16"/>
  <c r="D2056" i="16"/>
  <c r="C2056" i="16"/>
  <c r="B2056" i="16"/>
  <c r="A2056" i="16"/>
  <c r="J2055" i="16"/>
  <c r="H2055" i="16"/>
  <c r="G2055" i="16"/>
  <c r="F2055" i="16"/>
  <c r="E2055" i="16"/>
  <c r="D2055" i="16"/>
  <c r="C2055" i="16"/>
  <c r="B2055" i="16"/>
  <c r="A2055" i="16"/>
  <c r="J2054" i="16"/>
  <c r="H2054" i="16"/>
  <c r="G2054" i="16"/>
  <c r="F2054" i="16"/>
  <c r="E2054" i="16"/>
  <c r="D2054" i="16"/>
  <c r="C2054" i="16"/>
  <c r="B2054" i="16"/>
  <c r="A2054" i="16"/>
  <c r="J2053" i="16"/>
  <c r="H2053" i="16"/>
  <c r="G2053" i="16"/>
  <c r="F2053" i="16"/>
  <c r="E2053" i="16"/>
  <c r="D2053" i="16"/>
  <c r="C2053" i="16"/>
  <c r="B2053" i="16"/>
  <c r="A2053" i="16"/>
  <c r="J2052" i="16"/>
  <c r="H2052" i="16"/>
  <c r="G2052" i="16"/>
  <c r="F2052" i="16"/>
  <c r="E2052" i="16"/>
  <c r="D2052" i="16"/>
  <c r="C2052" i="16"/>
  <c r="B2052" i="16"/>
  <c r="A2052" i="16"/>
  <c r="J2051" i="16"/>
  <c r="H2051" i="16"/>
  <c r="G2051" i="16"/>
  <c r="F2051" i="16"/>
  <c r="E2051" i="16"/>
  <c r="D2051" i="16"/>
  <c r="C2051" i="16"/>
  <c r="B2051" i="16"/>
  <c r="A2051" i="16"/>
  <c r="J2050" i="16"/>
  <c r="H2050" i="16"/>
  <c r="G2050" i="16"/>
  <c r="F2050" i="16"/>
  <c r="E2050" i="16"/>
  <c r="D2050" i="16"/>
  <c r="C2050" i="16"/>
  <c r="B2050" i="16"/>
  <c r="A2050" i="16"/>
  <c r="J2049" i="16"/>
  <c r="H2049" i="16"/>
  <c r="G2049" i="16"/>
  <c r="F2049" i="16"/>
  <c r="E2049" i="16"/>
  <c r="D2049" i="16"/>
  <c r="C2049" i="16"/>
  <c r="B2049" i="16"/>
  <c r="A2049" i="16"/>
  <c r="J2048" i="16"/>
  <c r="H2048" i="16"/>
  <c r="G2048" i="16"/>
  <c r="F2048" i="16"/>
  <c r="E2048" i="16"/>
  <c r="D2048" i="16"/>
  <c r="C2048" i="16"/>
  <c r="B2048" i="16"/>
  <c r="A2048" i="16"/>
  <c r="J2047" i="16"/>
  <c r="H2047" i="16"/>
  <c r="G2047" i="16"/>
  <c r="F2047" i="16"/>
  <c r="E2047" i="16"/>
  <c r="D2047" i="16"/>
  <c r="C2047" i="16"/>
  <c r="B2047" i="16"/>
  <c r="A2047" i="16"/>
  <c r="J2046" i="16"/>
  <c r="H2046" i="16"/>
  <c r="G2046" i="16"/>
  <c r="F2046" i="16"/>
  <c r="E2046" i="16"/>
  <c r="D2046" i="16"/>
  <c r="C2046" i="16"/>
  <c r="B2046" i="16"/>
  <c r="A2046" i="16"/>
  <c r="J2045" i="16"/>
  <c r="H2045" i="16"/>
  <c r="G2045" i="16"/>
  <c r="F2045" i="16"/>
  <c r="E2045" i="16"/>
  <c r="D2045" i="16"/>
  <c r="C2045" i="16"/>
  <c r="B2045" i="16"/>
  <c r="A2045" i="16"/>
  <c r="J2044" i="16"/>
  <c r="H2044" i="16"/>
  <c r="G2044" i="16"/>
  <c r="F2044" i="16"/>
  <c r="E2044" i="16"/>
  <c r="D2044" i="16"/>
  <c r="C2044" i="16"/>
  <c r="B2044" i="16"/>
  <c r="A2044" i="16"/>
  <c r="J2043" i="16"/>
  <c r="H2043" i="16"/>
  <c r="G2043" i="16"/>
  <c r="F2043" i="16"/>
  <c r="E2043" i="16"/>
  <c r="D2043" i="16"/>
  <c r="C2043" i="16"/>
  <c r="B2043" i="16"/>
  <c r="A2043" i="16"/>
  <c r="J2042" i="16"/>
  <c r="H2042" i="16"/>
  <c r="G2042" i="16"/>
  <c r="F2042" i="16"/>
  <c r="E2042" i="16"/>
  <c r="D2042" i="16"/>
  <c r="C2042" i="16"/>
  <c r="B2042" i="16"/>
  <c r="A2042" i="16"/>
  <c r="J2041" i="16"/>
  <c r="H2041" i="16"/>
  <c r="G2041" i="16"/>
  <c r="F2041" i="16"/>
  <c r="E2041" i="16"/>
  <c r="D2041" i="16"/>
  <c r="C2041" i="16"/>
  <c r="B2041" i="16"/>
  <c r="A2041" i="16"/>
  <c r="J2040" i="16"/>
  <c r="H2040" i="16"/>
  <c r="G2040" i="16"/>
  <c r="F2040" i="16"/>
  <c r="E2040" i="16"/>
  <c r="D2040" i="16"/>
  <c r="C2040" i="16"/>
  <c r="B2040" i="16"/>
  <c r="A2040" i="16"/>
  <c r="J2039" i="16"/>
  <c r="H2039" i="16"/>
  <c r="G2039" i="16"/>
  <c r="F2039" i="16"/>
  <c r="E2039" i="16"/>
  <c r="D2039" i="16"/>
  <c r="C2039" i="16"/>
  <c r="B2039" i="16"/>
  <c r="A2039" i="16"/>
  <c r="J2038" i="16"/>
  <c r="H2038" i="16"/>
  <c r="G2038" i="16"/>
  <c r="F2038" i="16"/>
  <c r="E2038" i="16"/>
  <c r="D2038" i="16"/>
  <c r="C2038" i="16"/>
  <c r="B2038" i="16"/>
  <c r="A2038" i="16"/>
  <c r="J2037" i="16"/>
  <c r="H2037" i="16"/>
  <c r="G2037" i="16"/>
  <c r="F2037" i="16"/>
  <c r="E2037" i="16"/>
  <c r="D2037" i="16"/>
  <c r="C2037" i="16"/>
  <c r="B2037" i="16"/>
  <c r="A2037" i="16"/>
  <c r="J2036" i="16"/>
  <c r="H2036" i="16"/>
  <c r="G2036" i="16"/>
  <c r="F2036" i="16"/>
  <c r="E2036" i="16"/>
  <c r="D2036" i="16"/>
  <c r="C2036" i="16"/>
  <c r="B2036" i="16"/>
  <c r="A2036" i="16"/>
  <c r="J2035" i="16"/>
  <c r="H2035" i="16"/>
  <c r="G2035" i="16"/>
  <c r="F2035" i="16"/>
  <c r="E2035" i="16"/>
  <c r="D2035" i="16"/>
  <c r="C2035" i="16"/>
  <c r="B2035" i="16"/>
  <c r="A2035" i="16"/>
  <c r="J2034" i="16"/>
  <c r="H2034" i="16"/>
  <c r="G2034" i="16"/>
  <c r="F2034" i="16"/>
  <c r="E2034" i="16"/>
  <c r="D2034" i="16"/>
  <c r="C2034" i="16"/>
  <c r="B2034" i="16"/>
  <c r="A2034" i="16"/>
  <c r="J2033" i="16"/>
  <c r="H2033" i="16"/>
  <c r="G2033" i="16"/>
  <c r="F2033" i="16"/>
  <c r="E2033" i="16"/>
  <c r="D2033" i="16"/>
  <c r="C2033" i="16"/>
  <c r="B2033" i="16"/>
  <c r="A2033" i="16"/>
  <c r="J2032" i="16"/>
  <c r="H2032" i="16"/>
  <c r="G2032" i="16"/>
  <c r="F2032" i="16"/>
  <c r="E2032" i="16"/>
  <c r="D2032" i="16"/>
  <c r="C2032" i="16"/>
  <c r="B2032" i="16"/>
  <c r="A2032" i="16"/>
  <c r="J2031" i="16"/>
  <c r="H2031" i="16"/>
  <c r="G2031" i="16"/>
  <c r="F2031" i="16"/>
  <c r="E2031" i="16"/>
  <c r="D2031" i="16"/>
  <c r="C2031" i="16"/>
  <c r="B2031" i="16"/>
  <c r="A2031" i="16"/>
  <c r="J2030" i="16"/>
  <c r="H2030" i="16"/>
  <c r="G2030" i="16"/>
  <c r="F2030" i="16"/>
  <c r="E2030" i="16"/>
  <c r="D2030" i="16"/>
  <c r="C2030" i="16"/>
  <c r="B2030" i="16"/>
  <c r="A2030" i="16"/>
  <c r="J2029" i="16"/>
  <c r="H2029" i="16"/>
  <c r="G2029" i="16"/>
  <c r="F2029" i="16"/>
  <c r="E2029" i="16"/>
  <c r="D2029" i="16"/>
  <c r="C2029" i="16"/>
  <c r="B2029" i="16"/>
  <c r="A2029" i="16"/>
  <c r="J2028" i="16"/>
  <c r="H2028" i="16"/>
  <c r="G2028" i="16"/>
  <c r="F2028" i="16"/>
  <c r="E2028" i="16"/>
  <c r="D2028" i="16"/>
  <c r="C2028" i="16"/>
  <c r="B2028" i="16"/>
  <c r="A2028" i="16"/>
  <c r="J2027" i="16"/>
  <c r="H2027" i="16"/>
  <c r="G2027" i="16"/>
  <c r="F2027" i="16"/>
  <c r="E2027" i="16"/>
  <c r="D2027" i="16"/>
  <c r="C2027" i="16"/>
  <c r="B2027" i="16"/>
  <c r="A2027" i="16"/>
  <c r="J2026" i="16"/>
  <c r="H2026" i="16"/>
  <c r="G2026" i="16"/>
  <c r="F2026" i="16"/>
  <c r="E2026" i="16"/>
  <c r="D2026" i="16"/>
  <c r="C2026" i="16"/>
  <c r="B2026" i="16"/>
  <c r="A2026" i="16"/>
  <c r="J2025" i="16"/>
  <c r="H2025" i="16"/>
  <c r="G2025" i="16"/>
  <c r="F2025" i="16"/>
  <c r="E2025" i="16"/>
  <c r="D2025" i="16"/>
  <c r="C2025" i="16"/>
  <c r="B2025" i="16"/>
  <c r="A2025" i="16"/>
  <c r="J2024" i="16"/>
  <c r="H2024" i="16"/>
  <c r="G2024" i="16"/>
  <c r="F2024" i="16"/>
  <c r="E2024" i="16"/>
  <c r="D2024" i="16"/>
  <c r="C2024" i="16"/>
  <c r="B2024" i="16"/>
  <c r="A2024" i="16"/>
  <c r="J2023" i="16"/>
  <c r="H2023" i="16"/>
  <c r="G2023" i="16"/>
  <c r="F2023" i="16"/>
  <c r="E2023" i="16"/>
  <c r="D2023" i="16"/>
  <c r="C2023" i="16"/>
  <c r="B2023" i="16"/>
  <c r="A2023" i="16"/>
  <c r="J2022" i="16"/>
  <c r="H2022" i="16"/>
  <c r="G2022" i="16"/>
  <c r="F2022" i="16"/>
  <c r="E2022" i="16"/>
  <c r="D2022" i="16"/>
  <c r="C2022" i="16"/>
  <c r="B2022" i="16"/>
  <c r="A2022" i="16"/>
  <c r="J2021" i="16"/>
  <c r="H2021" i="16"/>
  <c r="G2021" i="16"/>
  <c r="F2021" i="16"/>
  <c r="E2021" i="16"/>
  <c r="D2021" i="16"/>
  <c r="C2021" i="16"/>
  <c r="B2021" i="16"/>
  <c r="A2021" i="16"/>
  <c r="J2020" i="16"/>
  <c r="H2020" i="16"/>
  <c r="G2020" i="16"/>
  <c r="F2020" i="16"/>
  <c r="E2020" i="16"/>
  <c r="D2020" i="16"/>
  <c r="C2020" i="16"/>
  <c r="B2020" i="16"/>
  <c r="A2020" i="16"/>
  <c r="J2019" i="16"/>
  <c r="H2019" i="16"/>
  <c r="G2019" i="16"/>
  <c r="F2019" i="16"/>
  <c r="E2019" i="16"/>
  <c r="D2019" i="16"/>
  <c r="C2019" i="16"/>
  <c r="B2019" i="16"/>
  <c r="A2019" i="16"/>
  <c r="J2018" i="16"/>
  <c r="H2018" i="16"/>
  <c r="G2018" i="16"/>
  <c r="F2018" i="16"/>
  <c r="E2018" i="16"/>
  <c r="D2018" i="16"/>
  <c r="C2018" i="16"/>
  <c r="B2018" i="16"/>
  <c r="A2018" i="16"/>
  <c r="J2017" i="16"/>
  <c r="H2017" i="16"/>
  <c r="G2017" i="16"/>
  <c r="F2017" i="16"/>
  <c r="E2017" i="16"/>
  <c r="D2017" i="16"/>
  <c r="C2017" i="16"/>
  <c r="B2017" i="16"/>
  <c r="A2017" i="16"/>
  <c r="J2016" i="16"/>
  <c r="H2016" i="16"/>
  <c r="G2016" i="16"/>
  <c r="F2016" i="16"/>
  <c r="E2016" i="16"/>
  <c r="D2016" i="16"/>
  <c r="C2016" i="16"/>
  <c r="B2016" i="16"/>
  <c r="A2016" i="16"/>
  <c r="J2015" i="16"/>
  <c r="H2015" i="16"/>
  <c r="G2015" i="16"/>
  <c r="F2015" i="16"/>
  <c r="E2015" i="16"/>
  <c r="D2015" i="16"/>
  <c r="C2015" i="16"/>
  <c r="B2015" i="16"/>
  <c r="A2015" i="16"/>
  <c r="J2014" i="16"/>
  <c r="H2014" i="16"/>
  <c r="G2014" i="16"/>
  <c r="F2014" i="16"/>
  <c r="E2014" i="16"/>
  <c r="D2014" i="16"/>
  <c r="C2014" i="16"/>
  <c r="B2014" i="16"/>
  <c r="A2014" i="16"/>
  <c r="J2013" i="16"/>
  <c r="H2013" i="16"/>
  <c r="G2013" i="16"/>
  <c r="F2013" i="16"/>
  <c r="E2013" i="16"/>
  <c r="D2013" i="16"/>
  <c r="C2013" i="16"/>
  <c r="B2013" i="16"/>
  <c r="A2013" i="16"/>
  <c r="J2012" i="16"/>
  <c r="H2012" i="16"/>
  <c r="G2012" i="16"/>
  <c r="F2012" i="16"/>
  <c r="E2012" i="16"/>
  <c r="D2012" i="16"/>
  <c r="C2012" i="16"/>
  <c r="B2012" i="16"/>
  <c r="A2012" i="16"/>
  <c r="J2011" i="16"/>
  <c r="H2011" i="16"/>
  <c r="G2011" i="16"/>
  <c r="F2011" i="16"/>
  <c r="E2011" i="16"/>
  <c r="D2011" i="16"/>
  <c r="C2011" i="16"/>
  <c r="B2011" i="16"/>
  <c r="A2011" i="16"/>
  <c r="J2010" i="16"/>
  <c r="H2010" i="16"/>
  <c r="G2010" i="16"/>
  <c r="F2010" i="16"/>
  <c r="E2010" i="16"/>
  <c r="D2010" i="16"/>
  <c r="C2010" i="16"/>
  <c r="B2010" i="16"/>
  <c r="A2010" i="16"/>
  <c r="J2009" i="16"/>
  <c r="H2009" i="16"/>
  <c r="G2009" i="16"/>
  <c r="F2009" i="16"/>
  <c r="E2009" i="16"/>
  <c r="D2009" i="16"/>
  <c r="C2009" i="16"/>
  <c r="B2009" i="16"/>
  <c r="A2009" i="16"/>
  <c r="J2008" i="16"/>
  <c r="H2008" i="16"/>
  <c r="G2008" i="16"/>
  <c r="F2008" i="16"/>
  <c r="E2008" i="16"/>
  <c r="D2008" i="16"/>
  <c r="C2008" i="16"/>
  <c r="B2008" i="16"/>
  <c r="A2008" i="16"/>
  <c r="J2007" i="16"/>
  <c r="H2007" i="16"/>
  <c r="G2007" i="16"/>
  <c r="F2007" i="16"/>
  <c r="E2007" i="16"/>
  <c r="D2007" i="16"/>
  <c r="C2007" i="16"/>
  <c r="B2007" i="16"/>
  <c r="A2007" i="16"/>
  <c r="J2006" i="16"/>
  <c r="H2006" i="16"/>
  <c r="G2006" i="16"/>
  <c r="F2006" i="16"/>
  <c r="E2006" i="16"/>
  <c r="D2006" i="16"/>
  <c r="C2006" i="16"/>
  <c r="B2006" i="16"/>
  <c r="A2006" i="16"/>
  <c r="J2005" i="16"/>
  <c r="H2005" i="16"/>
  <c r="G2005" i="16"/>
  <c r="F2005" i="16"/>
  <c r="E2005" i="16"/>
  <c r="D2005" i="16"/>
  <c r="C2005" i="16"/>
  <c r="B2005" i="16"/>
  <c r="A2005" i="16"/>
  <c r="J2004" i="16"/>
  <c r="F2004" i="16"/>
  <c r="E2004" i="16"/>
  <c r="D2004" i="16"/>
  <c r="C2004" i="16"/>
  <c r="B2004" i="16"/>
  <c r="A2004" i="16"/>
  <c r="J2003" i="16"/>
  <c r="F2003" i="16"/>
  <c r="E2003" i="16"/>
  <c r="D2003" i="16"/>
  <c r="C2003" i="16"/>
  <c r="B2003" i="16"/>
  <c r="A2003" i="16"/>
  <c r="J2002" i="16"/>
  <c r="F2002" i="16"/>
  <c r="E2002" i="16"/>
  <c r="D2002" i="16"/>
  <c r="C2002" i="16"/>
  <c r="B2002" i="16"/>
  <c r="A2002" i="16"/>
  <c r="J2001" i="16"/>
  <c r="F2001" i="16"/>
  <c r="E2001" i="16"/>
  <c r="D2001" i="16"/>
  <c r="C2001" i="16"/>
  <c r="B2001" i="16"/>
  <c r="A2001" i="16"/>
  <c r="J2000" i="16"/>
  <c r="F2000" i="16"/>
  <c r="E2000" i="16"/>
  <c r="D2000" i="16"/>
  <c r="C2000" i="16"/>
  <c r="B2000" i="16"/>
  <c r="A2000" i="16"/>
  <c r="J1999" i="16"/>
  <c r="F1999" i="16"/>
  <c r="E1999" i="16"/>
  <c r="D1999" i="16"/>
  <c r="C1999" i="16"/>
  <c r="B1999" i="16"/>
  <c r="A1999" i="16"/>
  <c r="J1998" i="16"/>
  <c r="F1998" i="16"/>
  <c r="E1998" i="16"/>
  <c r="D1998" i="16"/>
  <c r="C1998" i="16"/>
  <c r="B1998" i="16"/>
  <c r="A1998" i="16"/>
  <c r="J1997" i="16"/>
  <c r="H1997" i="16"/>
  <c r="G1997" i="16"/>
  <c r="F1997" i="16"/>
  <c r="E1997" i="16"/>
  <c r="D1997" i="16"/>
  <c r="C1997" i="16"/>
  <c r="B1997" i="16"/>
  <c r="A1997" i="16"/>
  <c r="J1996" i="16"/>
  <c r="H1996" i="16"/>
  <c r="G1996" i="16"/>
  <c r="F1996" i="16"/>
  <c r="E1996" i="16"/>
  <c r="D1996" i="16"/>
  <c r="C1996" i="16"/>
  <c r="B1996" i="16"/>
  <c r="A1996" i="16"/>
  <c r="J1995" i="16"/>
  <c r="H1995" i="16"/>
  <c r="G1995" i="16"/>
  <c r="F1995" i="16"/>
  <c r="E1995" i="16"/>
  <c r="D1995" i="16"/>
  <c r="C1995" i="16"/>
  <c r="B1995" i="16"/>
  <c r="A1995" i="16"/>
  <c r="J1994" i="16"/>
  <c r="H1994" i="16"/>
  <c r="G1994" i="16"/>
  <c r="F1994" i="16"/>
  <c r="E1994" i="16"/>
  <c r="D1994" i="16"/>
  <c r="C1994" i="16"/>
  <c r="B1994" i="16"/>
  <c r="A1994" i="16"/>
  <c r="J1993" i="16"/>
  <c r="H1993" i="16"/>
  <c r="G1993" i="16"/>
  <c r="F1993" i="16"/>
  <c r="E1993" i="16"/>
  <c r="D1993" i="16"/>
  <c r="C1993" i="16"/>
  <c r="B1993" i="16"/>
  <c r="A1993" i="16"/>
  <c r="J1992" i="16"/>
  <c r="H1992" i="16"/>
  <c r="G1992" i="16"/>
  <c r="F1992" i="16"/>
  <c r="E1992" i="16"/>
  <c r="D1992" i="16"/>
  <c r="C1992" i="16"/>
  <c r="B1992" i="16"/>
  <c r="A1992" i="16"/>
  <c r="J1991" i="16"/>
  <c r="H1991" i="16"/>
  <c r="G1991" i="16"/>
  <c r="F1991" i="16"/>
  <c r="E1991" i="16"/>
  <c r="D1991" i="16"/>
  <c r="C1991" i="16"/>
  <c r="B1991" i="16"/>
  <c r="A1991" i="16"/>
  <c r="J1990" i="16"/>
  <c r="H1990" i="16"/>
  <c r="G1990" i="16"/>
  <c r="F1990" i="16"/>
  <c r="E1990" i="16"/>
  <c r="D1990" i="16"/>
  <c r="C1990" i="16"/>
  <c r="B1990" i="16"/>
  <c r="A1990" i="16"/>
  <c r="J1989" i="16"/>
  <c r="H1989" i="16"/>
  <c r="G1989" i="16"/>
  <c r="F1989" i="16"/>
  <c r="E1989" i="16"/>
  <c r="D1989" i="16"/>
  <c r="C1989" i="16"/>
  <c r="B1989" i="16"/>
  <c r="A1989" i="16"/>
  <c r="J1988" i="16"/>
  <c r="H1988" i="16"/>
  <c r="G1988" i="16"/>
  <c r="F1988" i="16"/>
  <c r="E1988" i="16"/>
  <c r="D1988" i="16"/>
  <c r="C1988" i="16"/>
  <c r="B1988" i="16"/>
  <c r="A1988" i="16"/>
  <c r="J1987" i="16"/>
  <c r="H1987" i="16"/>
  <c r="G1987" i="16"/>
  <c r="F1987" i="16"/>
  <c r="E1987" i="16"/>
  <c r="D1987" i="16"/>
  <c r="C1987" i="16"/>
  <c r="B1987" i="16"/>
  <c r="A1987" i="16"/>
  <c r="J1986" i="16"/>
  <c r="H1986" i="16"/>
  <c r="G1986" i="16"/>
  <c r="F1986" i="16"/>
  <c r="E1986" i="16"/>
  <c r="D1986" i="16"/>
  <c r="C1986" i="16"/>
  <c r="B1986" i="16"/>
  <c r="A1986" i="16"/>
  <c r="J1985" i="16"/>
  <c r="H1985" i="16"/>
  <c r="G1985" i="16"/>
  <c r="F1985" i="16"/>
  <c r="E1985" i="16"/>
  <c r="D1985" i="16"/>
  <c r="C1985" i="16"/>
  <c r="B1985" i="16"/>
  <c r="A1985" i="16"/>
  <c r="J1984" i="16"/>
  <c r="H1984" i="16"/>
  <c r="G1984" i="16"/>
  <c r="F1984" i="16"/>
  <c r="E1984" i="16"/>
  <c r="D1984" i="16"/>
  <c r="C1984" i="16"/>
  <c r="B1984" i="16"/>
  <c r="A1984" i="16"/>
  <c r="J1983" i="16"/>
  <c r="H1983" i="16"/>
  <c r="G1983" i="16"/>
  <c r="F1983" i="16"/>
  <c r="E1983" i="16"/>
  <c r="D1983" i="16"/>
  <c r="C1983" i="16"/>
  <c r="B1983" i="16"/>
  <c r="A1983" i="16"/>
  <c r="J1982" i="16"/>
  <c r="H1982" i="16"/>
  <c r="G1982" i="16"/>
  <c r="F1982" i="16"/>
  <c r="E1982" i="16"/>
  <c r="D1982" i="16"/>
  <c r="C1982" i="16"/>
  <c r="B1982" i="16"/>
  <c r="A1982" i="16"/>
  <c r="J1981" i="16"/>
  <c r="H1981" i="16"/>
  <c r="G1981" i="16"/>
  <c r="F1981" i="16"/>
  <c r="E1981" i="16"/>
  <c r="D1981" i="16"/>
  <c r="C1981" i="16"/>
  <c r="B1981" i="16"/>
  <c r="A1981" i="16"/>
  <c r="J1980" i="16"/>
  <c r="H1980" i="16"/>
  <c r="G1980" i="16"/>
  <c r="F1980" i="16"/>
  <c r="E1980" i="16"/>
  <c r="D1980" i="16"/>
  <c r="C1980" i="16"/>
  <c r="B1980" i="16"/>
  <c r="A1980" i="16"/>
  <c r="J1979" i="16"/>
  <c r="H1979" i="16"/>
  <c r="G1979" i="16"/>
  <c r="F1979" i="16"/>
  <c r="E1979" i="16"/>
  <c r="D1979" i="16"/>
  <c r="C1979" i="16"/>
  <c r="B1979" i="16"/>
  <c r="A1979" i="16"/>
  <c r="J1978" i="16"/>
  <c r="H1978" i="16"/>
  <c r="G1978" i="16"/>
  <c r="F1978" i="16"/>
  <c r="E1978" i="16"/>
  <c r="D1978" i="16"/>
  <c r="C1978" i="16"/>
  <c r="B1978" i="16"/>
  <c r="A1978" i="16"/>
  <c r="J1977" i="16"/>
  <c r="H1977" i="16"/>
  <c r="G1977" i="16"/>
  <c r="F1977" i="16"/>
  <c r="E1977" i="16"/>
  <c r="D1977" i="16"/>
  <c r="C1977" i="16"/>
  <c r="B1977" i="16"/>
  <c r="A1977" i="16"/>
  <c r="J1976" i="16"/>
  <c r="H1976" i="16"/>
  <c r="G1976" i="16"/>
  <c r="F1976" i="16"/>
  <c r="E1976" i="16"/>
  <c r="D1976" i="16"/>
  <c r="C1976" i="16"/>
  <c r="B1976" i="16"/>
  <c r="A1976" i="16"/>
  <c r="J1975" i="16"/>
  <c r="H1975" i="16"/>
  <c r="G1975" i="16"/>
  <c r="F1975" i="16"/>
  <c r="E1975" i="16"/>
  <c r="D1975" i="16"/>
  <c r="C1975" i="16"/>
  <c r="B1975" i="16"/>
  <c r="A1975" i="16"/>
  <c r="J1974" i="16"/>
  <c r="H1974" i="16"/>
  <c r="G1974" i="16"/>
  <c r="F1974" i="16"/>
  <c r="E1974" i="16"/>
  <c r="D1974" i="16"/>
  <c r="C1974" i="16"/>
  <c r="B1974" i="16"/>
  <c r="A1974" i="16"/>
  <c r="J1973" i="16"/>
  <c r="H1973" i="16"/>
  <c r="G1973" i="16"/>
  <c r="F1973" i="16"/>
  <c r="E1973" i="16"/>
  <c r="D1973" i="16"/>
  <c r="C1973" i="16"/>
  <c r="B1973" i="16"/>
  <c r="A1973" i="16"/>
  <c r="J1972" i="16"/>
  <c r="F1972" i="16"/>
  <c r="E1972" i="16"/>
  <c r="D1972" i="16"/>
  <c r="C1972" i="16"/>
  <c r="B1972" i="16"/>
  <c r="A1972" i="16"/>
  <c r="J1971" i="16"/>
  <c r="F1971" i="16"/>
  <c r="E1971" i="16"/>
  <c r="D1971" i="16"/>
  <c r="C1971" i="16"/>
  <c r="B1971" i="16"/>
  <c r="A1971" i="16"/>
  <c r="J1970" i="16"/>
  <c r="F1970" i="16"/>
  <c r="E1970" i="16"/>
  <c r="D1970" i="16"/>
  <c r="C1970" i="16"/>
  <c r="B1970" i="16"/>
  <c r="A1970" i="16"/>
  <c r="J1969" i="16"/>
  <c r="F1969" i="16"/>
  <c r="E1969" i="16"/>
  <c r="D1969" i="16"/>
  <c r="C1969" i="16"/>
  <c r="B1969" i="16"/>
  <c r="A1969" i="16"/>
  <c r="J1968" i="16"/>
  <c r="F1968" i="16"/>
  <c r="E1968" i="16"/>
  <c r="D1968" i="16"/>
  <c r="C1968" i="16"/>
  <c r="B1968" i="16"/>
  <c r="A1968" i="16"/>
  <c r="J1967" i="16"/>
  <c r="F1967" i="16"/>
  <c r="E1967" i="16"/>
  <c r="D1967" i="16"/>
  <c r="C1967" i="16"/>
  <c r="B1967" i="16"/>
  <c r="A1967" i="16"/>
  <c r="J1966" i="16"/>
  <c r="F1966" i="16"/>
  <c r="E1966" i="16"/>
  <c r="D1966" i="16"/>
  <c r="C1966" i="16"/>
  <c r="B1966" i="16"/>
  <c r="A1966" i="16"/>
  <c r="J1965" i="16"/>
  <c r="H1965" i="16"/>
  <c r="G1965" i="16"/>
  <c r="F1965" i="16"/>
  <c r="E1965" i="16"/>
  <c r="D1965" i="16"/>
  <c r="C1965" i="16"/>
  <c r="B1965" i="16"/>
  <c r="A1965" i="16"/>
  <c r="J1964" i="16"/>
  <c r="H1964" i="16"/>
  <c r="G1964" i="16"/>
  <c r="F1964" i="16"/>
  <c r="E1964" i="16"/>
  <c r="D1964" i="16"/>
  <c r="C1964" i="16"/>
  <c r="B1964" i="16"/>
  <c r="A1964" i="16"/>
  <c r="J1963" i="16"/>
  <c r="H1963" i="16"/>
  <c r="G1963" i="16"/>
  <c r="F1963" i="16"/>
  <c r="E1963" i="16"/>
  <c r="D1963" i="16"/>
  <c r="C1963" i="16"/>
  <c r="B1963" i="16"/>
  <c r="A1963" i="16"/>
  <c r="J1962" i="16"/>
  <c r="H1962" i="16"/>
  <c r="G1962" i="16"/>
  <c r="F1962" i="16"/>
  <c r="E1962" i="16"/>
  <c r="D1962" i="16"/>
  <c r="C1962" i="16"/>
  <c r="B1962" i="16"/>
  <c r="A1962" i="16"/>
  <c r="J1961" i="16"/>
  <c r="H1961" i="16"/>
  <c r="G1961" i="16"/>
  <c r="F1961" i="16"/>
  <c r="E1961" i="16"/>
  <c r="D1961" i="16"/>
  <c r="C1961" i="16"/>
  <c r="B1961" i="16"/>
  <c r="A1961" i="16"/>
  <c r="J1960" i="16"/>
  <c r="H1960" i="16"/>
  <c r="G1960" i="16"/>
  <c r="F1960" i="16"/>
  <c r="E1960" i="16"/>
  <c r="D1960" i="16"/>
  <c r="C1960" i="16"/>
  <c r="B1960" i="16"/>
  <c r="A1960" i="16"/>
  <c r="J1959" i="16"/>
  <c r="H1959" i="16"/>
  <c r="G1959" i="16"/>
  <c r="F1959" i="16"/>
  <c r="E1959" i="16"/>
  <c r="D1959" i="16"/>
  <c r="C1959" i="16"/>
  <c r="B1959" i="16"/>
  <c r="A1959" i="16"/>
  <c r="J1958" i="16"/>
  <c r="H1958" i="16"/>
  <c r="G1958" i="16"/>
  <c r="F1958" i="16"/>
  <c r="E1958" i="16"/>
  <c r="D1958" i="16"/>
  <c r="C1958" i="16"/>
  <c r="B1958" i="16"/>
  <c r="A1958" i="16"/>
  <c r="J1957" i="16"/>
  <c r="H1957" i="16"/>
  <c r="G1957" i="16"/>
  <c r="F1957" i="16"/>
  <c r="E1957" i="16"/>
  <c r="D1957" i="16"/>
  <c r="C1957" i="16"/>
  <c r="B1957" i="16"/>
  <c r="A1957" i="16"/>
  <c r="J1956" i="16"/>
  <c r="H1956" i="16"/>
  <c r="G1956" i="16"/>
  <c r="F1956" i="16"/>
  <c r="E1956" i="16"/>
  <c r="D1956" i="16"/>
  <c r="C1956" i="16"/>
  <c r="B1956" i="16"/>
  <c r="A1956" i="16"/>
  <c r="J1955" i="16"/>
  <c r="H1955" i="16"/>
  <c r="G1955" i="16"/>
  <c r="F1955" i="16"/>
  <c r="E1955" i="16"/>
  <c r="D1955" i="16"/>
  <c r="C1955" i="16"/>
  <c r="B1955" i="16"/>
  <c r="A1955" i="16"/>
  <c r="J1954" i="16"/>
  <c r="H1954" i="16"/>
  <c r="G1954" i="16"/>
  <c r="F1954" i="16"/>
  <c r="E1954" i="16"/>
  <c r="D1954" i="16"/>
  <c r="C1954" i="16"/>
  <c r="B1954" i="16"/>
  <c r="A1954" i="16"/>
  <c r="J1953" i="16"/>
  <c r="H1953" i="16"/>
  <c r="G1953" i="16"/>
  <c r="F1953" i="16"/>
  <c r="E1953" i="16"/>
  <c r="D1953" i="16"/>
  <c r="C1953" i="16"/>
  <c r="B1953" i="16"/>
  <c r="A1953" i="16"/>
  <c r="J1952" i="16"/>
  <c r="H1952" i="16"/>
  <c r="G1952" i="16"/>
  <c r="F1952" i="16"/>
  <c r="E1952" i="16"/>
  <c r="D1952" i="16"/>
  <c r="C1952" i="16"/>
  <c r="B1952" i="16"/>
  <c r="A1952" i="16"/>
  <c r="J1951" i="16"/>
  <c r="H1951" i="16"/>
  <c r="G1951" i="16"/>
  <c r="F1951" i="16"/>
  <c r="E1951" i="16"/>
  <c r="D1951" i="16"/>
  <c r="C1951" i="16"/>
  <c r="B1951" i="16"/>
  <c r="A1951" i="16"/>
  <c r="J1950" i="16"/>
  <c r="H1950" i="16"/>
  <c r="G1950" i="16"/>
  <c r="F1950" i="16"/>
  <c r="E1950" i="16"/>
  <c r="D1950" i="16"/>
  <c r="C1950" i="16"/>
  <c r="B1950" i="16"/>
  <c r="A1950" i="16"/>
  <c r="J1949" i="16"/>
  <c r="H1949" i="16"/>
  <c r="G1949" i="16"/>
  <c r="F1949" i="16"/>
  <c r="E1949" i="16"/>
  <c r="D1949" i="16"/>
  <c r="C1949" i="16"/>
  <c r="B1949" i="16"/>
  <c r="A1949" i="16"/>
  <c r="J1948" i="16"/>
  <c r="H1948" i="16"/>
  <c r="G1948" i="16"/>
  <c r="F1948" i="16"/>
  <c r="E1948" i="16"/>
  <c r="D1948" i="16"/>
  <c r="C1948" i="16"/>
  <c r="B1948" i="16"/>
  <c r="A1948" i="16"/>
  <c r="J1947" i="16"/>
  <c r="H1947" i="16"/>
  <c r="G1947" i="16"/>
  <c r="F1947" i="16"/>
  <c r="E1947" i="16"/>
  <c r="D1947" i="16"/>
  <c r="C1947" i="16"/>
  <c r="B1947" i="16"/>
  <c r="A1947" i="16"/>
  <c r="J1946" i="16"/>
  <c r="H1946" i="16"/>
  <c r="G1946" i="16"/>
  <c r="F1946" i="16"/>
  <c r="E1946" i="16"/>
  <c r="D1946" i="16"/>
  <c r="C1946" i="16"/>
  <c r="B1946" i="16"/>
  <c r="A1946" i="16"/>
  <c r="J1945" i="16"/>
  <c r="H1945" i="16"/>
  <c r="G1945" i="16"/>
  <c r="F1945" i="16"/>
  <c r="E1945" i="16"/>
  <c r="D1945" i="16"/>
  <c r="C1945" i="16"/>
  <c r="B1945" i="16"/>
  <c r="A1945" i="16"/>
  <c r="J1944" i="16"/>
  <c r="H1944" i="16"/>
  <c r="G1944" i="16"/>
  <c r="F1944" i="16"/>
  <c r="E1944" i="16"/>
  <c r="D1944" i="16"/>
  <c r="C1944" i="16"/>
  <c r="B1944" i="16"/>
  <c r="A1944" i="16"/>
  <c r="J1943" i="16"/>
  <c r="H1943" i="16"/>
  <c r="G1943" i="16"/>
  <c r="F1943" i="16"/>
  <c r="E1943" i="16"/>
  <c r="D1943" i="16"/>
  <c r="C1943" i="16"/>
  <c r="B1943" i="16"/>
  <c r="A1943" i="16"/>
  <c r="J1942" i="16"/>
  <c r="H1942" i="16"/>
  <c r="G1942" i="16"/>
  <c r="F1942" i="16"/>
  <c r="E1942" i="16"/>
  <c r="D1942" i="16"/>
  <c r="C1942" i="16"/>
  <c r="B1942" i="16"/>
  <c r="A1942" i="16"/>
  <c r="J1941" i="16"/>
  <c r="H1941" i="16"/>
  <c r="G1941" i="16"/>
  <c r="F1941" i="16"/>
  <c r="E1941" i="16"/>
  <c r="D1941" i="16"/>
  <c r="C1941" i="16"/>
  <c r="B1941" i="16"/>
  <c r="A1941" i="16"/>
  <c r="J1940" i="16"/>
  <c r="H1940" i="16"/>
  <c r="G1940" i="16"/>
  <c r="F1940" i="16"/>
  <c r="E1940" i="16"/>
  <c r="D1940" i="16"/>
  <c r="C1940" i="16"/>
  <c r="B1940" i="16"/>
  <c r="A1940" i="16"/>
  <c r="J1939" i="16"/>
  <c r="H1939" i="16"/>
  <c r="G1939" i="16"/>
  <c r="F1939" i="16"/>
  <c r="E1939" i="16"/>
  <c r="D1939" i="16"/>
  <c r="C1939" i="16"/>
  <c r="B1939" i="16"/>
  <c r="A1939" i="16"/>
  <c r="J1938" i="16"/>
  <c r="H1938" i="16"/>
  <c r="G1938" i="16"/>
  <c r="F1938" i="16"/>
  <c r="E1938" i="16"/>
  <c r="D1938" i="16"/>
  <c r="C1938" i="16"/>
  <c r="B1938" i="16"/>
  <c r="A1938" i="16"/>
  <c r="J1937" i="16"/>
  <c r="H1937" i="16"/>
  <c r="G1937" i="16"/>
  <c r="F1937" i="16"/>
  <c r="E1937" i="16"/>
  <c r="D1937" i="16"/>
  <c r="C1937" i="16"/>
  <c r="B1937" i="16"/>
  <c r="A1937" i="16"/>
  <c r="J1936" i="16"/>
  <c r="H1936" i="16"/>
  <c r="G1936" i="16"/>
  <c r="F1936" i="16"/>
  <c r="E1936" i="16"/>
  <c r="D1936" i="16"/>
  <c r="C1936" i="16"/>
  <c r="B1936" i="16"/>
  <c r="A1936" i="16"/>
  <c r="J1935" i="16"/>
  <c r="H1935" i="16"/>
  <c r="G1935" i="16"/>
  <c r="F1935" i="16"/>
  <c r="E1935" i="16"/>
  <c r="D1935" i="16"/>
  <c r="C1935" i="16"/>
  <c r="B1935" i="16"/>
  <c r="A1935" i="16"/>
  <c r="J1934" i="16"/>
  <c r="H1934" i="16"/>
  <c r="G1934" i="16"/>
  <c r="F1934" i="16"/>
  <c r="E1934" i="16"/>
  <c r="D1934" i="16"/>
  <c r="C1934" i="16"/>
  <c r="B1934" i="16"/>
  <c r="A1934" i="16"/>
  <c r="J1933" i="16"/>
  <c r="H1933" i="16"/>
  <c r="G1933" i="16"/>
  <c r="F1933" i="16"/>
  <c r="E1933" i="16"/>
  <c r="D1933" i="16"/>
  <c r="C1933" i="16"/>
  <c r="B1933" i="16"/>
  <c r="A1933" i="16"/>
  <c r="J1932" i="16"/>
  <c r="H1932" i="16"/>
  <c r="G1932" i="16"/>
  <c r="F1932" i="16"/>
  <c r="E1932" i="16"/>
  <c r="D1932" i="16"/>
  <c r="C1932" i="16"/>
  <c r="B1932" i="16"/>
  <c r="A1932" i="16"/>
  <c r="J1931" i="16"/>
  <c r="H1931" i="16"/>
  <c r="G1931" i="16"/>
  <c r="F1931" i="16"/>
  <c r="E1931" i="16"/>
  <c r="D1931" i="16"/>
  <c r="C1931" i="16"/>
  <c r="B1931" i="16"/>
  <c r="A1931" i="16"/>
  <c r="J1930" i="16"/>
  <c r="H1930" i="16"/>
  <c r="G1930" i="16"/>
  <c r="F1930" i="16"/>
  <c r="E1930" i="16"/>
  <c r="D1930" i="16"/>
  <c r="C1930" i="16"/>
  <c r="B1930" i="16"/>
  <c r="A1930" i="16"/>
  <c r="J1929" i="16"/>
  <c r="F1929" i="16"/>
  <c r="E1929" i="16"/>
  <c r="D1929" i="16"/>
  <c r="C1929" i="16"/>
  <c r="B1929" i="16"/>
  <c r="A1929" i="16"/>
  <c r="J1928" i="16"/>
  <c r="F1928" i="16"/>
  <c r="E1928" i="16"/>
  <c r="D1928" i="16"/>
  <c r="C1928" i="16"/>
  <c r="B1928" i="16"/>
  <c r="A1928" i="16"/>
  <c r="J1927" i="16"/>
  <c r="F1927" i="16"/>
  <c r="E1927" i="16"/>
  <c r="D1927" i="16"/>
  <c r="C1927" i="16"/>
  <c r="B1927" i="16"/>
  <c r="A1927" i="16"/>
  <c r="J1926" i="16"/>
  <c r="F1926" i="16"/>
  <c r="E1926" i="16"/>
  <c r="D1926" i="16"/>
  <c r="C1926" i="16"/>
  <c r="B1926" i="16"/>
  <c r="A1926" i="16"/>
  <c r="J1925" i="16"/>
  <c r="F1925" i="16"/>
  <c r="E1925" i="16"/>
  <c r="D1925" i="16"/>
  <c r="C1925" i="16"/>
  <c r="B1925" i="16"/>
  <c r="A1925" i="16"/>
  <c r="J1924" i="16"/>
  <c r="F1924" i="16"/>
  <c r="E1924" i="16"/>
  <c r="D1924" i="16"/>
  <c r="C1924" i="16"/>
  <c r="B1924" i="16"/>
  <c r="A1924" i="16"/>
  <c r="J1923" i="16"/>
  <c r="F1923" i="16"/>
  <c r="E1923" i="16"/>
  <c r="D1923" i="16"/>
  <c r="C1923" i="16"/>
  <c r="B1923" i="16"/>
  <c r="A1923" i="16"/>
  <c r="J1922" i="16"/>
  <c r="H1922" i="16"/>
  <c r="G1922" i="16"/>
  <c r="F1922" i="16"/>
  <c r="E1922" i="16"/>
  <c r="D1922" i="16"/>
  <c r="C1922" i="16"/>
  <c r="B1922" i="16"/>
  <c r="A1922" i="16"/>
  <c r="J1921" i="16"/>
  <c r="H1921" i="16"/>
  <c r="G1921" i="16"/>
  <c r="F1921" i="16"/>
  <c r="E1921" i="16"/>
  <c r="D1921" i="16"/>
  <c r="C1921" i="16"/>
  <c r="B1921" i="16"/>
  <c r="A1921" i="16"/>
  <c r="J1920" i="16"/>
  <c r="H1920" i="16"/>
  <c r="G1920" i="16"/>
  <c r="F1920" i="16"/>
  <c r="E1920" i="16"/>
  <c r="D1920" i="16"/>
  <c r="C1920" i="16"/>
  <c r="B1920" i="16"/>
  <c r="A1920" i="16"/>
  <c r="J1919" i="16"/>
  <c r="H1919" i="16"/>
  <c r="G1919" i="16"/>
  <c r="F1919" i="16"/>
  <c r="E1919" i="16"/>
  <c r="D1919" i="16"/>
  <c r="C1919" i="16"/>
  <c r="B1919" i="16"/>
  <c r="A1919" i="16"/>
  <c r="J1918" i="16"/>
  <c r="H1918" i="16"/>
  <c r="G1918" i="16"/>
  <c r="F1918" i="16"/>
  <c r="E1918" i="16"/>
  <c r="D1918" i="16"/>
  <c r="C1918" i="16"/>
  <c r="B1918" i="16"/>
  <c r="A1918" i="16"/>
  <c r="J1917" i="16"/>
  <c r="H1917" i="16"/>
  <c r="G1917" i="16"/>
  <c r="F1917" i="16"/>
  <c r="E1917" i="16"/>
  <c r="D1917" i="16"/>
  <c r="C1917" i="16"/>
  <c r="B1917" i="16"/>
  <c r="A1917" i="16"/>
  <c r="J1916" i="16"/>
  <c r="H1916" i="16"/>
  <c r="G1916" i="16"/>
  <c r="F1916" i="16"/>
  <c r="E1916" i="16"/>
  <c r="D1916" i="16"/>
  <c r="C1916" i="16"/>
  <c r="B1916" i="16"/>
  <c r="A1916" i="16"/>
  <c r="J1915" i="16"/>
  <c r="H1915" i="16"/>
  <c r="G1915" i="16"/>
  <c r="F1915" i="16"/>
  <c r="E1915" i="16"/>
  <c r="D1915" i="16"/>
  <c r="C1915" i="16"/>
  <c r="B1915" i="16"/>
  <c r="A1915" i="16"/>
  <c r="J1914" i="16"/>
  <c r="H1914" i="16"/>
  <c r="G1914" i="16"/>
  <c r="F1914" i="16"/>
  <c r="E1914" i="16"/>
  <c r="D1914" i="16"/>
  <c r="C1914" i="16"/>
  <c r="B1914" i="16"/>
  <c r="A1914" i="16"/>
  <c r="J1913" i="16"/>
  <c r="H1913" i="16"/>
  <c r="G1913" i="16"/>
  <c r="F1913" i="16"/>
  <c r="E1913" i="16"/>
  <c r="D1913" i="16"/>
  <c r="C1913" i="16"/>
  <c r="B1913" i="16"/>
  <c r="A1913" i="16"/>
  <c r="J1912" i="16"/>
  <c r="H1912" i="16"/>
  <c r="G1912" i="16"/>
  <c r="F1912" i="16"/>
  <c r="E1912" i="16"/>
  <c r="D1912" i="16"/>
  <c r="C1912" i="16"/>
  <c r="B1912" i="16"/>
  <c r="A1912" i="16"/>
  <c r="J1911" i="16"/>
  <c r="H1911" i="16"/>
  <c r="G1911" i="16"/>
  <c r="F1911" i="16"/>
  <c r="E1911" i="16"/>
  <c r="D1911" i="16"/>
  <c r="C1911" i="16"/>
  <c r="B1911" i="16"/>
  <c r="A1911" i="16"/>
  <c r="J1910" i="16"/>
  <c r="F1910" i="16"/>
  <c r="E1910" i="16"/>
  <c r="D1910" i="16"/>
  <c r="C1910" i="16"/>
  <c r="B1910" i="16"/>
  <c r="A1910" i="16"/>
  <c r="J1909" i="16"/>
  <c r="F1909" i="16"/>
  <c r="E1909" i="16"/>
  <c r="D1909" i="16"/>
  <c r="C1909" i="16"/>
  <c r="B1909" i="16"/>
  <c r="A1909" i="16"/>
  <c r="J1908" i="16"/>
  <c r="F1908" i="16"/>
  <c r="E1908" i="16"/>
  <c r="D1908" i="16"/>
  <c r="C1908" i="16"/>
  <c r="B1908" i="16"/>
  <c r="A1908" i="16"/>
  <c r="J1907" i="16"/>
  <c r="F1907" i="16"/>
  <c r="E1907" i="16"/>
  <c r="D1907" i="16"/>
  <c r="C1907" i="16"/>
  <c r="B1907" i="16"/>
  <c r="A1907" i="16"/>
  <c r="J1906" i="16"/>
  <c r="F1906" i="16"/>
  <c r="E1906" i="16"/>
  <c r="D1906" i="16"/>
  <c r="C1906" i="16"/>
  <c r="B1906" i="16"/>
  <c r="A1906" i="16"/>
  <c r="J1905" i="16"/>
  <c r="F1905" i="16"/>
  <c r="E1905" i="16"/>
  <c r="D1905" i="16"/>
  <c r="C1905" i="16"/>
  <c r="B1905" i="16"/>
  <c r="A1905" i="16"/>
  <c r="J1904" i="16"/>
  <c r="F1904" i="16"/>
  <c r="E1904" i="16"/>
  <c r="D1904" i="16"/>
  <c r="C1904" i="16"/>
  <c r="B1904" i="16"/>
  <c r="A1904" i="16"/>
  <c r="J1903" i="16"/>
  <c r="H1903" i="16"/>
  <c r="G1903" i="16"/>
  <c r="F1903" i="16"/>
  <c r="E1903" i="16"/>
  <c r="D1903" i="16"/>
  <c r="C1903" i="16"/>
  <c r="B1903" i="16"/>
  <c r="A1903" i="16"/>
  <c r="J1902" i="16"/>
  <c r="H1902" i="16"/>
  <c r="G1902" i="16"/>
  <c r="F1902" i="16"/>
  <c r="E1902" i="16"/>
  <c r="D1902" i="16"/>
  <c r="C1902" i="16"/>
  <c r="B1902" i="16"/>
  <c r="A1902" i="16"/>
  <c r="J1901" i="16"/>
  <c r="H1901" i="16"/>
  <c r="G1901" i="16"/>
  <c r="F1901" i="16"/>
  <c r="E1901" i="16"/>
  <c r="D1901" i="16"/>
  <c r="C1901" i="16"/>
  <c r="B1901" i="16"/>
  <c r="A1901" i="16"/>
  <c r="J1900" i="16"/>
  <c r="H1900" i="16"/>
  <c r="G1900" i="16"/>
  <c r="F1900" i="16"/>
  <c r="E1900" i="16"/>
  <c r="D1900" i="16"/>
  <c r="C1900" i="16"/>
  <c r="B1900" i="16"/>
  <c r="A1900" i="16"/>
  <c r="J1899" i="16"/>
  <c r="H1899" i="16"/>
  <c r="G1899" i="16"/>
  <c r="F1899" i="16"/>
  <c r="E1899" i="16"/>
  <c r="D1899" i="16"/>
  <c r="C1899" i="16"/>
  <c r="B1899" i="16"/>
  <c r="A1899" i="16"/>
  <c r="J1898" i="16"/>
  <c r="H1898" i="16"/>
  <c r="G1898" i="16"/>
  <c r="F1898" i="16"/>
  <c r="E1898" i="16"/>
  <c r="D1898" i="16"/>
  <c r="C1898" i="16"/>
  <c r="B1898" i="16"/>
  <c r="A1898" i="16"/>
  <c r="J1897" i="16"/>
  <c r="H1897" i="16"/>
  <c r="G1897" i="16"/>
  <c r="F1897" i="16"/>
  <c r="E1897" i="16"/>
  <c r="D1897" i="16"/>
  <c r="C1897" i="16"/>
  <c r="B1897" i="16"/>
  <c r="A1897" i="16"/>
  <c r="J1896" i="16"/>
  <c r="H1896" i="16"/>
  <c r="G1896" i="16"/>
  <c r="F1896" i="16"/>
  <c r="E1896" i="16"/>
  <c r="D1896" i="16"/>
  <c r="C1896" i="16"/>
  <c r="B1896" i="16"/>
  <c r="A1896" i="16"/>
  <c r="J1895" i="16"/>
  <c r="H1895" i="16"/>
  <c r="G1895" i="16"/>
  <c r="F1895" i="16"/>
  <c r="E1895" i="16"/>
  <c r="D1895" i="16"/>
  <c r="C1895" i="16"/>
  <c r="B1895" i="16"/>
  <c r="A1895" i="16"/>
  <c r="J1894" i="16"/>
  <c r="H1894" i="16"/>
  <c r="G1894" i="16"/>
  <c r="F1894" i="16"/>
  <c r="E1894" i="16"/>
  <c r="D1894" i="16"/>
  <c r="C1894" i="16"/>
  <c r="B1894" i="16"/>
  <c r="A1894" i="16"/>
  <c r="J1893" i="16"/>
  <c r="H1893" i="16"/>
  <c r="G1893" i="16"/>
  <c r="F1893" i="16"/>
  <c r="E1893" i="16"/>
  <c r="D1893" i="16"/>
  <c r="C1893" i="16"/>
  <c r="B1893" i="16"/>
  <c r="A1893" i="16"/>
  <c r="J1892" i="16"/>
  <c r="H1892" i="16"/>
  <c r="G1892" i="16"/>
  <c r="F1892" i="16"/>
  <c r="E1892" i="16"/>
  <c r="D1892" i="16"/>
  <c r="C1892" i="16"/>
  <c r="B1892" i="16"/>
  <c r="A1892" i="16"/>
  <c r="J1891" i="16"/>
  <c r="H1891" i="16"/>
  <c r="G1891" i="16"/>
  <c r="F1891" i="16"/>
  <c r="E1891" i="16"/>
  <c r="D1891" i="16"/>
  <c r="C1891" i="16"/>
  <c r="B1891" i="16"/>
  <c r="A1891" i="16"/>
  <c r="J1890" i="16"/>
  <c r="H1890" i="16"/>
  <c r="G1890" i="16"/>
  <c r="F1890" i="16"/>
  <c r="E1890" i="16"/>
  <c r="D1890" i="16"/>
  <c r="C1890" i="16"/>
  <c r="B1890" i="16"/>
  <c r="A1890" i="16"/>
  <c r="J1889" i="16"/>
  <c r="H1889" i="16"/>
  <c r="G1889" i="16"/>
  <c r="F1889" i="16"/>
  <c r="E1889" i="16"/>
  <c r="D1889" i="16"/>
  <c r="C1889" i="16"/>
  <c r="B1889" i="16"/>
  <c r="A1889" i="16"/>
  <c r="J1888" i="16"/>
  <c r="H1888" i="16"/>
  <c r="G1888" i="16"/>
  <c r="F1888" i="16"/>
  <c r="E1888" i="16"/>
  <c r="D1888" i="16"/>
  <c r="C1888" i="16"/>
  <c r="B1888" i="16"/>
  <c r="A1888" i="16"/>
  <c r="J1887" i="16"/>
  <c r="H1887" i="16"/>
  <c r="G1887" i="16"/>
  <c r="F1887" i="16"/>
  <c r="E1887" i="16"/>
  <c r="D1887" i="16"/>
  <c r="C1887" i="16"/>
  <c r="B1887" i="16"/>
  <c r="A1887" i="16"/>
  <c r="J1886" i="16"/>
  <c r="H1886" i="16"/>
  <c r="G1886" i="16"/>
  <c r="F1886" i="16"/>
  <c r="E1886" i="16"/>
  <c r="D1886" i="16"/>
  <c r="C1886" i="16"/>
  <c r="B1886" i="16"/>
  <c r="A1886" i="16"/>
  <c r="J1885" i="16"/>
  <c r="H1885" i="16"/>
  <c r="G1885" i="16"/>
  <c r="F1885" i="16"/>
  <c r="E1885" i="16"/>
  <c r="D1885" i="16"/>
  <c r="C1885" i="16"/>
  <c r="B1885" i="16"/>
  <c r="A1885" i="16"/>
  <c r="J1884" i="16"/>
  <c r="H1884" i="16"/>
  <c r="G1884" i="16"/>
  <c r="F1884" i="16"/>
  <c r="E1884" i="16"/>
  <c r="D1884" i="16"/>
  <c r="C1884" i="16"/>
  <c r="B1884" i="16"/>
  <c r="A1884" i="16"/>
  <c r="J1883" i="16"/>
  <c r="H1883" i="16"/>
  <c r="G1883" i="16"/>
  <c r="F1883" i="16"/>
  <c r="E1883" i="16"/>
  <c r="D1883" i="16"/>
  <c r="C1883" i="16"/>
  <c r="B1883" i="16"/>
  <c r="A1883" i="16"/>
  <c r="J1882" i="16"/>
  <c r="H1882" i="16"/>
  <c r="G1882" i="16"/>
  <c r="F1882" i="16"/>
  <c r="E1882" i="16"/>
  <c r="D1882" i="16"/>
  <c r="C1882" i="16"/>
  <c r="B1882" i="16"/>
  <c r="A1882" i="16"/>
  <c r="J1881" i="16"/>
  <c r="H1881" i="16"/>
  <c r="G1881" i="16"/>
  <c r="F1881" i="16"/>
  <c r="E1881" i="16"/>
  <c r="D1881" i="16"/>
  <c r="C1881" i="16"/>
  <c r="B1881" i="16"/>
  <c r="A1881" i="16"/>
  <c r="J1880" i="16"/>
  <c r="H1880" i="16"/>
  <c r="G1880" i="16"/>
  <c r="F1880" i="16"/>
  <c r="E1880" i="16"/>
  <c r="D1880" i="16"/>
  <c r="C1880" i="16"/>
  <c r="B1880" i="16"/>
  <c r="A1880" i="16"/>
  <c r="J1879" i="16"/>
  <c r="H1879" i="16"/>
  <c r="G1879" i="16"/>
  <c r="F1879" i="16"/>
  <c r="E1879" i="16"/>
  <c r="D1879" i="16"/>
  <c r="C1879" i="16"/>
  <c r="B1879" i="16"/>
  <c r="A1879" i="16"/>
  <c r="J1878" i="16"/>
  <c r="H1878" i="16"/>
  <c r="G1878" i="16"/>
  <c r="F1878" i="16"/>
  <c r="E1878" i="16"/>
  <c r="D1878" i="16"/>
  <c r="C1878" i="16"/>
  <c r="B1878" i="16"/>
  <c r="A1878" i="16"/>
  <c r="J1877" i="16"/>
  <c r="H1877" i="16"/>
  <c r="G1877" i="16"/>
  <c r="F1877" i="16"/>
  <c r="E1877" i="16"/>
  <c r="D1877" i="16"/>
  <c r="C1877" i="16"/>
  <c r="B1877" i="16"/>
  <c r="A1877" i="16"/>
  <c r="J1876" i="16"/>
  <c r="H1876" i="16"/>
  <c r="G1876" i="16"/>
  <c r="F1876" i="16"/>
  <c r="E1876" i="16"/>
  <c r="D1876" i="16"/>
  <c r="C1876" i="16"/>
  <c r="B1876" i="16"/>
  <c r="A1876" i="16"/>
  <c r="J1875" i="16"/>
  <c r="H1875" i="16"/>
  <c r="G1875" i="16"/>
  <c r="F1875" i="16"/>
  <c r="E1875" i="16"/>
  <c r="D1875" i="16"/>
  <c r="C1875" i="16"/>
  <c r="B1875" i="16"/>
  <c r="A1875" i="16"/>
  <c r="J1874" i="16"/>
  <c r="H1874" i="16"/>
  <c r="G1874" i="16"/>
  <c r="F1874" i="16"/>
  <c r="E1874" i="16"/>
  <c r="D1874" i="16"/>
  <c r="C1874" i="16"/>
  <c r="B1874" i="16"/>
  <c r="A1874" i="16"/>
  <c r="J1873" i="16"/>
  <c r="H1873" i="16"/>
  <c r="G1873" i="16"/>
  <c r="F1873" i="16"/>
  <c r="E1873" i="16"/>
  <c r="D1873" i="16"/>
  <c r="C1873" i="16"/>
  <c r="B1873" i="16"/>
  <c r="A1873" i="16"/>
  <c r="J1872" i="16"/>
  <c r="H1872" i="16"/>
  <c r="G1872" i="16"/>
  <c r="F1872" i="16"/>
  <c r="E1872" i="16"/>
  <c r="D1872" i="16"/>
  <c r="C1872" i="16"/>
  <c r="B1872" i="16"/>
  <c r="A1872" i="16"/>
  <c r="J1871" i="16"/>
  <c r="H1871" i="16"/>
  <c r="G1871" i="16"/>
  <c r="F1871" i="16"/>
  <c r="E1871" i="16"/>
  <c r="D1871" i="16"/>
  <c r="C1871" i="16"/>
  <c r="B1871" i="16"/>
  <c r="A1871" i="16"/>
  <c r="J1870" i="16"/>
  <c r="H1870" i="16"/>
  <c r="G1870" i="16"/>
  <c r="F1870" i="16"/>
  <c r="E1870" i="16"/>
  <c r="D1870" i="16"/>
  <c r="C1870" i="16"/>
  <c r="B1870" i="16"/>
  <c r="A1870" i="16"/>
  <c r="J1869" i="16"/>
  <c r="H1869" i="16"/>
  <c r="G1869" i="16"/>
  <c r="F1869" i="16"/>
  <c r="E1869" i="16"/>
  <c r="D1869" i="16"/>
  <c r="C1869" i="16"/>
  <c r="B1869" i="16"/>
  <c r="A1869" i="16"/>
  <c r="J1868" i="16"/>
  <c r="H1868" i="16"/>
  <c r="G1868" i="16"/>
  <c r="F1868" i="16"/>
  <c r="E1868" i="16"/>
  <c r="D1868" i="16"/>
  <c r="C1868" i="16"/>
  <c r="B1868" i="16"/>
  <c r="A1868" i="16"/>
  <c r="J1867" i="16"/>
  <c r="H1867" i="16"/>
  <c r="G1867" i="16"/>
  <c r="F1867" i="16"/>
  <c r="E1867" i="16"/>
  <c r="D1867" i="16"/>
  <c r="C1867" i="16"/>
  <c r="B1867" i="16"/>
  <c r="A1867" i="16"/>
  <c r="J1866" i="16"/>
  <c r="H1866" i="16"/>
  <c r="G1866" i="16"/>
  <c r="F1866" i="16"/>
  <c r="E1866" i="16"/>
  <c r="D1866" i="16"/>
  <c r="C1866" i="16"/>
  <c r="B1866" i="16"/>
  <c r="A1866" i="16"/>
  <c r="J1865" i="16"/>
  <c r="H1865" i="16"/>
  <c r="G1865" i="16"/>
  <c r="F1865" i="16"/>
  <c r="E1865" i="16"/>
  <c r="D1865" i="16"/>
  <c r="C1865" i="16"/>
  <c r="B1865" i="16"/>
  <c r="A1865" i="16"/>
  <c r="J1864" i="16"/>
  <c r="H1864" i="16"/>
  <c r="G1864" i="16"/>
  <c r="F1864" i="16"/>
  <c r="E1864" i="16"/>
  <c r="D1864" i="16"/>
  <c r="C1864" i="16"/>
  <c r="B1864" i="16"/>
  <c r="A1864" i="16"/>
  <c r="J1863" i="16"/>
  <c r="H1863" i="16"/>
  <c r="G1863" i="16"/>
  <c r="F1863" i="16"/>
  <c r="E1863" i="16"/>
  <c r="D1863" i="16"/>
  <c r="C1863" i="16"/>
  <c r="B1863" i="16"/>
  <c r="A1863" i="16"/>
  <c r="J1862" i="16"/>
  <c r="H1862" i="16"/>
  <c r="G1862" i="16"/>
  <c r="F1862" i="16"/>
  <c r="E1862" i="16"/>
  <c r="D1862" i="16"/>
  <c r="C1862" i="16"/>
  <c r="B1862" i="16"/>
  <c r="A1862" i="16"/>
  <c r="J1861" i="16"/>
  <c r="H1861" i="16"/>
  <c r="G1861" i="16"/>
  <c r="F1861" i="16"/>
  <c r="E1861" i="16"/>
  <c r="D1861" i="16"/>
  <c r="C1861" i="16"/>
  <c r="B1861" i="16"/>
  <c r="A1861" i="16"/>
  <c r="J1860" i="16"/>
  <c r="H1860" i="16"/>
  <c r="G1860" i="16"/>
  <c r="F1860" i="16"/>
  <c r="E1860" i="16"/>
  <c r="D1860" i="16"/>
  <c r="C1860" i="16"/>
  <c r="B1860" i="16"/>
  <c r="A1860" i="16"/>
  <c r="J1859" i="16"/>
  <c r="H1859" i="16"/>
  <c r="G1859" i="16"/>
  <c r="F1859" i="16"/>
  <c r="E1859" i="16"/>
  <c r="D1859" i="16"/>
  <c r="C1859" i="16"/>
  <c r="B1859" i="16"/>
  <c r="A1859" i="16"/>
  <c r="J1858" i="16"/>
  <c r="H1858" i="16"/>
  <c r="G1858" i="16"/>
  <c r="F1858" i="16"/>
  <c r="E1858" i="16"/>
  <c r="D1858" i="16"/>
  <c r="C1858" i="16"/>
  <c r="B1858" i="16"/>
  <c r="A1858" i="16"/>
  <c r="J1857" i="16"/>
  <c r="H1857" i="16"/>
  <c r="G1857" i="16"/>
  <c r="F1857" i="16"/>
  <c r="E1857" i="16"/>
  <c r="D1857" i="16"/>
  <c r="C1857" i="16"/>
  <c r="B1857" i="16"/>
  <c r="A1857" i="16"/>
  <c r="J1856" i="16"/>
  <c r="H1856" i="16"/>
  <c r="G1856" i="16"/>
  <c r="F1856" i="16"/>
  <c r="E1856" i="16"/>
  <c r="D1856" i="16"/>
  <c r="C1856" i="16"/>
  <c r="B1856" i="16"/>
  <c r="A1856" i="16"/>
  <c r="J1855" i="16"/>
  <c r="H1855" i="16"/>
  <c r="G1855" i="16"/>
  <c r="F1855" i="16"/>
  <c r="E1855" i="16"/>
  <c r="D1855" i="16"/>
  <c r="C1855" i="16"/>
  <c r="B1855" i="16"/>
  <c r="A1855" i="16"/>
  <c r="J1854" i="16"/>
  <c r="F1854" i="16"/>
  <c r="E1854" i="16"/>
  <c r="D1854" i="16"/>
  <c r="C1854" i="16"/>
  <c r="B1854" i="16"/>
  <c r="A1854" i="16"/>
  <c r="J1853" i="16"/>
  <c r="F1853" i="16"/>
  <c r="E1853" i="16"/>
  <c r="D1853" i="16"/>
  <c r="C1853" i="16"/>
  <c r="B1853" i="16"/>
  <c r="A1853" i="16"/>
  <c r="J1852" i="16"/>
  <c r="F1852" i="16"/>
  <c r="E1852" i="16"/>
  <c r="D1852" i="16"/>
  <c r="C1852" i="16"/>
  <c r="B1852" i="16"/>
  <c r="A1852" i="16"/>
  <c r="J1851" i="16"/>
  <c r="F1851" i="16"/>
  <c r="E1851" i="16"/>
  <c r="D1851" i="16"/>
  <c r="C1851" i="16"/>
  <c r="B1851" i="16"/>
  <c r="A1851" i="16"/>
  <c r="J1850" i="16"/>
  <c r="F1850" i="16"/>
  <c r="E1850" i="16"/>
  <c r="D1850" i="16"/>
  <c r="C1850" i="16"/>
  <c r="B1850" i="16"/>
  <c r="A1850" i="16"/>
  <c r="J1849" i="16"/>
  <c r="F1849" i="16"/>
  <c r="E1849" i="16"/>
  <c r="D1849" i="16"/>
  <c r="C1849" i="16"/>
  <c r="B1849" i="16"/>
  <c r="A1849" i="16"/>
  <c r="J1848" i="16"/>
  <c r="F1848" i="16"/>
  <c r="E1848" i="16"/>
  <c r="D1848" i="16"/>
  <c r="C1848" i="16"/>
  <c r="B1848" i="16"/>
  <c r="A1848" i="16"/>
  <c r="J1847" i="16"/>
  <c r="H1847" i="16"/>
  <c r="G1847" i="16"/>
  <c r="F1847" i="16"/>
  <c r="E1847" i="16"/>
  <c r="D1847" i="16"/>
  <c r="C1847" i="16"/>
  <c r="B1847" i="16"/>
  <c r="A1847" i="16"/>
  <c r="J1846" i="16"/>
  <c r="H1846" i="16"/>
  <c r="G1846" i="16"/>
  <c r="F1846" i="16"/>
  <c r="E1846" i="16"/>
  <c r="D1846" i="16"/>
  <c r="C1846" i="16"/>
  <c r="B1846" i="16"/>
  <c r="A1846" i="16"/>
  <c r="J1845" i="16"/>
  <c r="H1845" i="16"/>
  <c r="G1845" i="16"/>
  <c r="F1845" i="16"/>
  <c r="E1845" i="16"/>
  <c r="D1845" i="16"/>
  <c r="C1845" i="16"/>
  <c r="B1845" i="16"/>
  <c r="A1845" i="16"/>
  <c r="J1844" i="16"/>
  <c r="H1844" i="16"/>
  <c r="G1844" i="16"/>
  <c r="F1844" i="16"/>
  <c r="E1844" i="16"/>
  <c r="D1844" i="16"/>
  <c r="C1844" i="16"/>
  <c r="B1844" i="16"/>
  <c r="A1844" i="16"/>
  <c r="J1843" i="16"/>
  <c r="H1843" i="16"/>
  <c r="G1843" i="16"/>
  <c r="F1843" i="16"/>
  <c r="E1843" i="16"/>
  <c r="D1843" i="16"/>
  <c r="C1843" i="16"/>
  <c r="B1843" i="16"/>
  <c r="A1843" i="16"/>
  <c r="J1842" i="16"/>
  <c r="H1842" i="16"/>
  <c r="G1842" i="16"/>
  <c r="F1842" i="16"/>
  <c r="E1842" i="16"/>
  <c r="D1842" i="16"/>
  <c r="C1842" i="16"/>
  <c r="B1842" i="16"/>
  <c r="A1842" i="16"/>
  <c r="J1841" i="16"/>
  <c r="H1841" i="16"/>
  <c r="G1841" i="16"/>
  <c r="F1841" i="16"/>
  <c r="E1841" i="16"/>
  <c r="D1841" i="16"/>
  <c r="C1841" i="16"/>
  <c r="B1841" i="16"/>
  <c r="A1841" i="16"/>
  <c r="J1840" i="16"/>
  <c r="H1840" i="16"/>
  <c r="G1840" i="16"/>
  <c r="F1840" i="16"/>
  <c r="E1840" i="16"/>
  <c r="D1840" i="16"/>
  <c r="C1840" i="16"/>
  <c r="B1840" i="16"/>
  <c r="A1840" i="16"/>
  <c r="J1839" i="16"/>
  <c r="H1839" i="16"/>
  <c r="G1839" i="16"/>
  <c r="F1839" i="16"/>
  <c r="E1839" i="16"/>
  <c r="D1839" i="16"/>
  <c r="C1839" i="16"/>
  <c r="B1839" i="16"/>
  <c r="A1839" i="16"/>
  <c r="J1838" i="16"/>
  <c r="H1838" i="16"/>
  <c r="G1838" i="16"/>
  <c r="F1838" i="16"/>
  <c r="E1838" i="16"/>
  <c r="D1838" i="16"/>
  <c r="C1838" i="16"/>
  <c r="B1838" i="16"/>
  <c r="A1838" i="16"/>
  <c r="J1837" i="16"/>
  <c r="H1837" i="16"/>
  <c r="G1837" i="16"/>
  <c r="F1837" i="16"/>
  <c r="E1837" i="16"/>
  <c r="D1837" i="16"/>
  <c r="C1837" i="16"/>
  <c r="B1837" i="16"/>
  <c r="A1837" i="16"/>
  <c r="J1836" i="16"/>
  <c r="H1836" i="16"/>
  <c r="G1836" i="16"/>
  <c r="F1836" i="16"/>
  <c r="E1836" i="16"/>
  <c r="D1836" i="16"/>
  <c r="C1836" i="16"/>
  <c r="B1836" i="16"/>
  <c r="A1836" i="16"/>
  <c r="J1835" i="16"/>
  <c r="H1835" i="16"/>
  <c r="G1835" i="16"/>
  <c r="F1835" i="16"/>
  <c r="E1835" i="16"/>
  <c r="D1835" i="16"/>
  <c r="C1835" i="16"/>
  <c r="B1835" i="16"/>
  <c r="A1835" i="16"/>
  <c r="J1834" i="16"/>
  <c r="H1834" i="16"/>
  <c r="G1834" i="16"/>
  <c r="F1834" i="16"/>
  <c r="E1834" i="16"/>
  <c r="D1834" i="16"/>
  <c r="C1834" i="16"/>
  <c r="B1834" i="16"/>
  <c r="A1834" i="16"/>
  <c r="J1833" i="16"/>
  <c r="H1833" i="16"/>
  <c r="G1833" i="16"/>
  <c r="F1833" i="16"/>
  <c r="E1833" i="16"/>
  <c r="D1833" i="16"/>
  <c r="C1833" i="16"/>
  <c r="B1833" i="16"/>
  <c r="A1833" i="16"/>
  <c r="J1832" i="16"/>
  <c r="H1832" i="16"/>
  <c r="G1832" i="16"/>
  <c r="F1832" i="16"/>
  <c r="E1832" i="16"/>
  <c r="D1832" i="16"/>
  <c r="C1832" i="16"/>
  <c r="B1832" i="16"/>
  <c r="A1832" i="16"/>
  <c r="J1831" i="16"/>
  <c r="H1831" i="16"/>
  <c r="G1831" i="16"/>
  <c r="F1831" i="16"/>
  <c r="E1831" i="16"/>
  <c r="D1831" i="16"/>
  <c r="C1831" i="16"/>
  <c r="B1831" i="16"/>
  <c r="A1831" i="16"/>
  <c r="J1830" i="16"/>
  <c r="H1830" i="16"/>
  <c r="G1830" i="16"/>
  <c r="F1830" i="16"/>
  <c r="E1830" i="16"/>
  <c r="D1830" i="16"/>
  <c r="C1830" i="16"/>
  <c r="B1830" i="16"/>
  <c r="A1830" i="16"/>
  <c r="J1829" i="16"/>
  <c r="H1829" i="16"/>
  <c r="G1829" i="16"/>
  <c r="F1829" i="16"/>
  <c r="E1829" i="16"/>
  <c r="D1829" i="16"/>
  <c r="C1829" i="16"/>
  <c r="B1829" i="16"/>
  <c r="A1829" i="16"/>
  <c r="J1828" i="16"/>
  <c r="H1828" i="16"/>
  <c r="G1828" i="16"/>
  <c r="F1828" i="16"/>
  <c r="E1828" i="16"/>
  <c r="D1828" i="16"/>
  <c r="C1828" i="16"/>
  <c r="B1828" i="16"/>
  <c r="A1828" i="16"/>
  <c r="J1827" i="16"/>
  <c r="H1827" i="16"/>
  <c r="G1827" i="16"/>
  <c r="F1827" i="16"/>
  <c r="E1827" i="16"/>
  <c r="D1827" i="16"/>
  <c r="C1827" i="16"/>
  <c r="B1827" i="16"/>
  <c r="A1827" i="16"/>
  <c r="J1826" i="16"/>
  <c r="H1826" i="16"/>
  <c r="G1826" i="16"/>
  <c r="F1826" i="16"/>
  <c r="E1826" i="16"/>
  <c r="D1826" i="16"/>
  <c r="C1826" i="16"/>
  <c r="B1826" i="16"/>
  <c r="A1826" i="16"/>
  <c r="J1825" i="16"/>
  <c r="H1825" i="16"/>
  <c r="G1825" i="16"/>
  <c r="F1825" i="16"/>
  <c r="E1825" i="16"/>
  <c r="D1825" i="16"/>
  <c r="C1825" i="16"/>
  <c r="B1825" i="16"/>
  <c r="A1825" i="16"/>
  <c r="J1824" i="16"/>
  <c r="H1824" i="16"/>
  <c r="G1824" i="16"/>
  <c r="F1824" i="16"/>
  <c r="E1824" i="16"/>
  <c r="D1824" i="16"/>
  <c r="C1824" i="16"/>
  <c r="B1824" i="16"/>
  <c r="A1824" i="16"/>
  <c r="J1823" i="16"/>
  <c r="H1823" i="16"/>
  <c r="G1823" i="16"/>
  <c r="F1823" i="16"/>
  <c r="E1823" i="16"/>
  <c r="D1823" i="16"/>
  <c r="C1823" i="16"/>
  <c r="B1823" i="16"/>
  <c r="A1823" i="16"/>
  <c r="J1822" i="16"/>
  <c r="H1822" i="16"/>
  <c r="G1822" i="16"/>
  <c r="F1822" i="16"/>
  <c r="E1822" i="16"/>
  <c r="D1822" i="16"/>
  <c r="C1822" i="16"/>
  <c r="B1822" i="16"/>
  <c r="A1822" i="16"/>
  <c r="J1821" i="16"/>
  <c r="H1821" i="16"/>
  <c r="G1821" i="16"/>
  <c r="F1821" i="16"/>
  <c r="E1821" i="16"/>
  <c r="D1821" i="16"/>
  <c r="C1821" i="16"/>
  <c r="B1821" i="16"/>
  <c r="A1821" i="16"/>
  <c r="J1820" i="16"/>
  <c r="F1820" i="16"/>
  <c r="E1820" i="16"/>
  <c r="D1820" i="16"/>
  <c r="C1820" i="16"/>
  <c r="B1820" i="16"/>
  <c r="A1820" i="16"/>
  <c r="J1819" i="16"/>
  <c r="F1819" i="16"/>
  <c r="E1819" i="16"/>
  <c r="D1819" i="16"/>
  <c r="C1819" i="16"/>
  <c r="B1819" i="16"/>
  <c r="A1819" i="16"/>
  <c r="J1818" i="16"/>
  <c r="F1818" i="16"/>
  <c r="E1818" i="16"/>
  <c r="D1818" i="16"/>
  <c r="C1818" i="16"/>
  <c r="B1818" i="16"/>
  <c r="A1818" i="16"/>
  <c r="J1817" i="16"/>
  <c r="F1817" i="16"/>
  <c r="E1817" i="16"/>
  <c r="D1817" i="16"/>
  <c r="C1817" i="16"/>
  <c r="B1817" i="16"/>
  <c r="A1817" i="16"/>
  <c r="J1816" i="16"/>
  <c r="F1816" i="16"/>
  <c r="E1816" i="16"/>
  <c r="D1816" i="16"/>
  <c r="C1816" i="16"/>
  <c r="B1816" i="16"/>
  <c r="A1816" i="16"/>
  <c r="J1815" i="16"/>
  <c r="F1815" i="16"/>
  <c r="E1815" i="16"/>
  <c r="D1815" i="16"/>
  <c r="C1815" i="16"/>
  <c r="B1815" i="16"/>
  <c r="A1815" i="16"/>
  <c r="J1814" i="16"/>
  <c r="F1814" i="16"/>
  <c r="E1814" i="16"/>
  <c r="D1814" i="16"/>
  <c r="C1814" i="16"/>
  <c r="B1814" i="16"/>
  <c r="A1814" i="16"/>
  <c r="J1813" i="16"/>
  <c r="H1813" i="16"/>
  <c r="G1813" i="16"/>
  <c r="F1813" i="16"/>
  <c r="E1813" i="16"/>
  <c r="D1813" i="16"/>
  <c r="C1813" i="16"/>
  <c r="B1813" i="16"/>
  <c r="A1813" i="16"/>
  <c r="J1812" i="16"/>
  <c r="H1812" i="16"/>
  <c r="G1812" i="16"/>
  <c r="F1812" i="16"/>
  <c r="E1812" i="16"/>
  <c r="D1812" i="16"/>
  <c r="C1812" i="16"/>
  <c r="B1812" i="16"/>
  <c r="A1812" i="16"/>
  <c r="J1811" i="16"/>
  <c r="H1811" i="16"/>
  <c r="G1811" i="16"/>
  <c r="F1811" i="16"/>
  <c r="E1811" i="16"/>
  <c r="D1811" i="16"/>
  <c r="C1811" i="16"/>
  <c r="B1811" i="16"/>
  <c r="A1811" i="16"/>
  <c r="J1810" i="16"/>
  <c r="H1810" i="16"/>
  <c r="G1810" i="16"/>
  <c r="F1810" i="16"/>
  <c r="E1810" i="16"/>
  <c r="D1810" i="16"/>
  <c r="C1810" i="16"/>
  <c r="B1810" i="16"/>
  <c r="A1810" i="16"/>
  <c r="J1809" i="16"/>
  <c r="H1809" i="16"/>
  <c r="G1809" i="16"/>
  <c r="F1809" i="16"/>
  <c r="E1809" i="16"/>
  <c r="D1809" i="16"/>
  <c r="C1809" i="16"/>
  <c r="B1809" i="16"/>
  <c r="A1809" i="16"/>
  <c r="J1808" i="16"/>
  <c r="H1808" i="16"/>
  <c r="G1808" i="16"/>
  <c r="F1808" i="16"/>
  <c r="E1808" i="16"/>
  <c r="D1808" i="16"/>
  <c r="C1808" i="16"/>
  <c r="B1808" i="16"/>
  <c r="A1808" i="16"/>
  <c r="J1807" i="16"/>
  <c r="H1807" i="16"/>
  <c r="G1807" i="16"/>
  <c r="F1807" i="16"/>
  <c r="E1807" i="16"/>
  <c r="D1807" i="16"/>
  <c r="C1807" i="16"/>
  <c r="B1807" i="16"/>
  <c r="A1807" i="16"/>
  <c r="J1806" i="16"/>
  <c r="H1806" i="16"/>
  <c r="G1806" i="16"/>
  <c r="F1806" i="16"/>
  <c r="E1806" i="16"/>
  <c r="D1806" i="16"/>
  <c r="C1806" i="16"/>
  <c r="B1806" i="16"/>
  <c r="A1806" i="16"/>
  <c r="J1805" i="16"/>
  <c r="H1805" i="16"/>
  <c r="G1805" i="16"/>
  <c r="F1805" i="16"/>
  <c r="E1805" i="16"/>
  <c r="D1805" i="16"/>
  <c r="C1805" i="16"/>
  <c r="B1805" i="16"/>
  <c r="A1805" i="16"/>
  <c r="J1804" i="16"/>
  <c r="H1804" i="16"/>
  <c r="G1804" i="16"/>
  <c r="F1804" i="16"/>
  <c r="E1804" i="16"/>
  <c r="D1804" i="16"/>
  <c r="C1804" i="16"/>
  <c r="B1804" i="16"/>
  <c r="A1804" i="16"/>
  <c r="J1803" i="16"/>
  <c r="H1803" i="16"/>
  <c r="G1803" i="16"/>
  <c r="F1803" i="16"/>
  <c r="E1803" i="16"/>
  <c r="D1803" i="16"/>
  <c r="C1803" i="16"/>
  <c r="B1803" i="16"/>
  <c r="A1803" i="16"/>
  <c r="J1802" i="16"/>
  <c r="H1802" i="16"/>
  <c r="G1802" i="16"/>
  <c r="F1802" i="16"/>
  <c r="E1802" i="16"/>
  <c r="D1802" i="16"/>
  <c r="C1802" i="16"/>
  <c r="B1802" i="16"/>
  <c r="A1802" i="16"/>
  <c r="J1801" i="16"/>
  <c r="H1801" i="16"/>
  <c r="G1801" i="16"/>
  <c r="F1801" i="16"/>
  <c r="E1801" i="16"/>
  <c r="D1801" i="16"/>
  <c r="C1801" i="16"/>
  <c r="B1801" i="16"/>
  <c r="A1801" i="16"/>
  <c r="J1800" i="16"/>
  <c r="H1800" i="16"/>
  <c r="G1800" i="16"/>
  <c r="F1800" i="16"/>
  <c r="E1800" i="16"/>
  <c r="D1800" i="16"/>
  <c r="C1800" i="16"/>
  <c r="B1800" i="16"/>
  <c r="A1800" i="16"/>
  <c r="J1799" i="16"/>
  <c r="H1799" i="16"/>
  <c r="G1799" i="16"/>
  <c r="F1799" i="16"/>
  <c r="E1799" i="16"/>
  <c r="D1799" i="16"/>
  <c r="C1799" i="16"/>
  <c r="B1799" i="16"/>
  <c r="A1799" i="16"/>
  <c r="J1798" i="16"/>
  <c r="H1798" i="16"/>
  <c r="G1798" i="16"/>
  <c r="F1798" i="16"/>
  <c r="E1798" i="16"/>
  <c r="D1798" i="16"/>
  <c r="C1798" i="16"/>
  <c r="B1798" i="16"/>
  <c r="A1798" i="16"/>
  <c r="J1797" i="16"/>
  <c r="H1797" i="16"/>
  <c r="G1797" i="16"/>
  <c r="F1797" i="16"/>
  <c r="E1797" i="16"/>
  <c r="D1797" i="16"/>
  <c r="C1797" i="16"/>
  <c r="B1797" i="16"/>
  <c r="A1797" i="16"/>
  <c r="J1796" i="16"/>
  <c r="H1796" i="16"/>
  <c r="G1796" i="16"/>
  <c r="F1796" i="16"/>
  <c r="E1796" i="16"/>
  <c r="D1796" i="16"/>
  <c r="C1796" i="16"/>
  <c r="B1796" i="16"/>
  <c r="A1796" i="16"/>
  <c r="J1795" i="16"/>
  <c r="H1795" i="16"/>
  <c r="G1795" i="16"/>
  <c r="F1795" i="16"/>
  <c r="E1795" i="16"/>
  <c r="D1795" i="16"/>
  <c r="C1795" i="16"/>
  <c r="B1795" i="16"/>
  <c r="A1795" i="16"/>
  <c r="J1794" i="16"/>
  <c r="H1794" i="16"/>
  <c r="G1794" i="16"/>
  <c r="F1794" i="16"/>
  <c r="E1794" i="16"/>
  <c r="D1794" i="16"/>
  <c r="C1794" i="16"/>
  <c r="B1794" i="16"/>
  <c r="A1794" i="16"/>
  <c r="J1793" i="16"/>
  <c r="H1793" i="16"/>
  <c r="G1793" i="16"/>
  <c r="F1793" i="16"/>
  <c r="E1793" i="16"/>
  <c r="D1793" i="16"/>
  <c r="C1793" i="16"/>
  <c r="B1793" i="16"/>
  <c r="A1793" i="16"/>
  <c r="J1792" i="16"/>
  <c r="H1792" i="16"/>
  <c r="G1792" i="16"/>
  <c r="F1792" i="16"/>
  <c r="E1792" i="16"/>
  <c r="D1792" i="16"/>
  <c r="C1792" i="16"/>
  <c r="B1792" i="16"/>
  <c r="A1792" i="16"/>
  <c r="J1791" i="16"/>
  <c r="H1791" i="16"/>
  <c r="G1791" i="16"/>
  <c r="F1791" i="16"/>
  <c r="E1791" i="16"/>
  <c r="D1791" i="16"/>
  <c r="C1791" i="16"/>
  <c r="B1791" i="16"/>
  <c r="A1791" i="16"/>
  <c r="J1790" i="16"/>
  <c r="H1790" i="16"/>
  <c r="G1790" i="16"/>
  <c r="F1790" i="16"/>
  <c r="E1790" i="16"/>
  <c r="D1790" i="16"/>
  <c r="C1790" i="16"/>
  <c r="B1790" i="16"/>
  <c r="A1790" i="16"/>
  <c r="J1789" i="16"/>
  <c r="H1789" i="16"/>
  <c r="G1789" i="16"/>
  <c r="F1789" i="16"/>
  <c r="E1789" i="16"/>
  <c r="D1789" i="16"/>
  <c r="C1789" i="16"/>
  <c r="B1789" i="16"/>
  <c r="A1789" i="16"/>
  <c r="J1788" i="16"/>
  <c r="H1788" i="16"/>
  <c r="G1788" i="16"/>
  <c r="F1788" i="16"/>
  <c r="E1788" i="16"/>
  <c r="D1788" i="16"/>
  <c r="C1788" i="16"/>
  <c r="B1788" i="16"/>
  <c r="A1788" i="16"/>
  <c r="J1787" i="16"/>
  <c r="H1787" i="16"/>
  <c r="G1787" i="16"/>
  <c r="F1787" i="16"/>
  <c r="E1787" i="16"/>
  <c r="D1787" i="16"/>
  <c r="C1787" i="16"/>
  <c r="B1787" i="16"/>
  <c r="A1787" i="16"/>
  <c r="J1786" i="16"/>
  <c r="H1786" i="16"/>
  <c r="G1786" i="16"/>
  <c r="F1786" i="16"/>
  <c r="E1786" i="16"/>
  <c r="D1786" i="16"/>
  <c r="C1786" i="16"/>
  <c r="B1786" i="16"/>
  <c r="A1786" i="16"/>
  <c r="J1785" i="16"/>
  <c r="H1785" i="16"/>
  <c r="G1785" i="16"/>
  <c r="F1785" i="16"/>
  <c r="E1785" i="16"/>
  <c r="D1785" i="16"/>
  <c r="C1785" i="16"/>
  <c r="B1785" i="16"/>
  <c r="A1785" i="16"/>
  <c r="J1784" i="16"/>
  <c r="H1784" i="16"/>
  <c r="G1784" i="16"/>
  <c r="F1784" i="16"/>
  <c r="E1784" i="16"/>
  <c r="D1784" i="16"/>
  <c r="C1784" i="16"/>
  <c r="B1784" i="16"/>
  <c r="A1784" i="16"/>
  <c r="J1783" i="16"/>
  <c r="H1783" i="16"/>
  <c r="G1783" i="16"/>
  <c r="F1783" i="16"/>
  <c r="E1783" i="16"/>
  <c r="D1783" i="16"/>
  <c r="C1783" i="16"/>
  <c r="B1783" i="16"/>
  <c r="A1783" i="16"/>
  <c r="J1782" i="16"/>
  <c r="H1782" i="16"/>
  <c r="G1782" i="16"/>
  <c r="F1782" i="16"/>
  <c r="E1782" i="16"/>
  <c r="D1782" i="16"/>
  <c r="C1782" i="16"/>
  <c r="B1782" i="16"/>
  <c r="A1782" i="16"/>
  <c r="J1781" i="16"/>
  <c r="H1781" i="16"/>
  <c r="G1781" i="16"/>
  <c r="F1781" i="16"/>
  <c r="E1781" i="16"/>
  <c r="D1781" i="16"/>
  <c r="C1781" i="16"/>
  <c r="B1781" i="16"/>
  <c r="A1781" i="16"/>
  <c r="J1780" i="16"/>
  <c r="H1780" i="16"/>
  <c r="G1780" i="16"/>
  <c r="F1780" i="16"/>
  <c r="E1780" i="16"/>
  <c r="D1780" i="16"/>
  <c r="C1780" i="16"/>
  <c r="B1780" i="16"/>
  <c r="A1780" i="16"/>
  <c r="J1779" i="16"/>
  <c r="H1779" i="16"/>
  <c r="G1779" i="16"/>
  <c r="F1779" i="16"/>
  <c r="E1779" i="16"/>
  <c r="D1779" i="16"/>
  <c r="C1779" i="16"/>
  <c r="B1779" i="16"/>
  <c r="A1779" i="16"/>
  <c r="J1778" i="16"/>
  <c r="H1778" i="16"/>
  <c r="G1778" i="16"/>
  <c r="F1778" i="16"/>
  <c r="E1778" i="16"/>
  <c r="D1778" i="16"/>
  <c r="C1778" i="16"/>
  <c r="B1778" i="16"/>
  <c r="A1778" i="16"/>
  <c r="J1777" i="16"/>
  <c r="H1777" i="16"/>
  <c r="G1777" i="16"/>
  <c r="F1777" i="16"/>
  <c r="E1777" i="16"/>
  <c r="D1777" i="16"/>
  <c r="C1777" i="16"/>
  <c r="B1777" i="16"/>
  <c r="A1777" i="16"/>
  <c r="J1776" i="16"/>
  <c r="H1776" i="16"/>
  <c r="G1776" i="16"/>
  <c r="F1776" i="16"/>
  <c r="E1776" i="16"/>
  <c r="D1776" i="16"/>
  <c r="C1776" i="16"/>
  <c r="B1776" i="16"/>
  <c r="A1776" i="16"/>
  <c r="J1775" i="16"/>
  <c r="H1775" i="16"/>
  <c r="G1775" i="16"/>
  <c r="F1775" i="16"/>
  <c r="E1775" i="16"/>
  <c r="D1775" i="16"/>
  <c r="C1775" i="16"/>
  <c r="B1775" i="16"/>
  <c r="A1775" i="16"/>
  <c r="J1774" i="16"/>
  <c r="H1774" i="16"/>
  <c r="G1774" i="16"/>
  <c r="F1774" i="16"/>
  <c r="E1774" i="16"/>
  <c r="D1774" i="16"/>
  <c r="C1774" i="16"/>
  <c r="B1774" i="16"/>
  <c r="A1774" i="16"/>
  <c r="J1773" i="16"/>
  <c r="H1773" i="16"/>
  <c r="G1773" i="16"/>
  <c r="F1773" i="16"/>
  <c r="E1773" i="16"/>
  <c r="D1773" i="16"/>
  <c r="C1773" i="16"/>
  <c r="B1773" i="16"/>
  <c r="A1773" i="16"/>
  <c r="J1772" i="16"/>
  <c r="H1772" i="16"/>
  <c r="G1772" i="16"/>
  <c r="F1772" i="16"/>
  <c r="E1772" i="16"/>
  <c r="D1772" i="16"/>
  <c r="C1772" i="16"/>
  <c r="B1772" i="16"/>
  <c r="A1772" i="16"/>
  <c r="J1771" i="16"/>
  <c r="H1771" i="16"/>
  <c r="G1771" i="16"/>
  <c r="F1771" i="16"/>
  <c r="E1771" i="16"/>
  <c r="D1771" i="16"/>
  <c r="C1771" i="16"/>
  <c r="B1771" i="16"/>
  <c r="A1771" i="16"/>
  <c r="J1770" i="16"/>
  <c r="H1770" i="16"/>
  <c r="G1770" i="16"/>
  <c r="F1770" i="16"/>
  <c r="E1770" i="16"/>
  <c r="D1770" i="16"/>
  <c r="C1770" i="16"/>
  <c r="B1770" i="16"/>
  <c r="A1770" i="16"/>
  <c r="J1769" i="16"/>
  <c r="H1769" i="16"/>
  <c r="G1769" i="16"/>
  <c r="F1769" i="16"/>
  <c r="E1769" i="16"/>
  <c r="D1769" i="16"/>
  <c r="C1769" i="16"/>
  <c r="B1769" i="16"/>
  <c r="A1769" i="16"/>
  <c r="J1768" i="16"/>
  <c r="H1768" i="16"/>
  <c r="G1768" i="16"/>
  <c r="F1768" i="16"/>
  <c r="E1768" i="16"/>
  <c r="D1768" i="16"/>
  <c r="C1768" i="16"/>
  <c r="B1768" i="16"/>
  <c r="A1768" i="16"/>
  <c r="J1767" i="16"/>
  <c r="H1767" i="16"/>
  <c r="G1767" i="16"/>
  <c r="F1767" i="16"/>
  <c r="E1767" i="16"/>
  <c r="D1767" i="16"/>
  <c r="C1767" i="16"/>
  <c r="B1767" i="16"/>
  <c r="A1767" i="16"/>
  <c r="J1766" i="16"/>
  <c r="F1766" i="16"/>
  <c r="E1766" i="16"/>
  <c r="D1766" i="16"/>
  <c r="C1766" i="16"/>
  <c r="B1766" i="16"/>
  <c r="A1766" i="16"/>
  <c r="J1765" i="16"/>
  <c r="F1765" i="16"/>
  <c r="E1765" i="16"/>
  <c r="D1765" i="16"/>
  <c r="C1765" i="16"/>
  <c r="B1765" i="16"/>
  <c r="A1765" i="16"/>
  <c r="J1764" i="16"/>
  <c r="F1764" i="16"/>
  <c r="E1764" i="16"/>
  <c r="D1764" i="16"/>
  <c r="C1764" i="16"/>
  <c r="B1764" i="16"/>
  <c r="A1764" i="16"/>
  <c r="J1763" i="16"/>
  <c r="F1763" i="16"/>
  <c r="E1763" i="16"/>
  <c r="D1763" i="16"/>
  <c r="C1763" i="16"/>
  <c r="B1763" i="16"/>
  <c r="A1763" i="16"/>
  <c r="J1762" i="16"/>
  <c r="F1762" i="16"/>
  <c r="E1762" i="16"/>
  <c r="D1762" i="16"/>
  <c r="C1762" i="16"/>
  <c r="B1762" i="16"/>
  <c r="A1762" i="16"/>
  <c r="J1761" i="16"/>
  <c r="F1761" i="16"/>
  <c r="E1761" i="16"/>
  <c r="D1761" i="16"/>
  <c r="C1761" i="16"/>
  <c r="B1761" i="16"/>
  <c r="A1761" i="16"/>
  <c r="J1760" i="16"/>
  <c r="F1760" i="16"/>
  <c r="E1760" i="16"/>
  <c r="D1760" i="16"/>
  <c r="C1760" i="16"/>
  <c r="B1760" i="16"/>
  <c r="A1760" i="16"/>
  <c r="J1759" i="16"/>
  <c r="F1759" i="16"/>
  <c r="E1759" i="16"/>
  <c r="D1759" i="16"/>
  <c r="C1759" i="16"/>
  <c r="B1759" i="16"/>
  <c r="A1759" i="16"/>
  <c r="J1758" i="16"/>
  <c r="F1758" i="16"/>
  <c r="E1758" i="16"/>
  <c r="D1758" i="16"/>
  <c r="C1758" i="16"/>
  <c r="B1758" i="16"/>
  <c r="A1758" i="16"/>
  <c r="J1757" i="16"/>
  <c r="F1757" i="16"/>
  <c r="E1757" i="16"/>
  <c r="D1757" i="16"/>
  <c r="C1757" i="16"/>
  <c r="B1757" i="16"/>
  <c r="A1757" i="16"/>
  <c r="J1756" i="16"/>
  <c r="F1756" i="16"/>
  <c r="E1756" i="16"/>
  <c r="D1756" i="16"/>
  <c r="C1756" i="16"/>
  <c r="B1756" i="16"/>
  <c r="A1756" i="16"/>
  <c r="J1755" i="16"/>
  <c r="F1755" i="16"/>
  <c r="E1755" i="16"/>
  <c r="D1755" i="16"/>
  <c r="C1755" i="16"/>
  <c r="B1755" i="16"/>
  <c r="A1755" i="16"/>
  <c r="J1754" i="16"/>
  <c r="F1754" i="16"/>
  <c r="E1754" i="16"/>
  <c r="D1754" i="16"/>
  <c r="C1754" i="16"/>
  <c r="B1754" i="16"/>
  <c r="A1754" i="16"/>
  <c r="J1753" i="16"/>
  <c r="F1753" i="16"/>
  <c r="E1753" i="16"/>
  <c r="D1753" i="16"/>
  <c r="C1753" i="16"/>
  <c r="B1753" i="16"/>
  <c r="A1753" i="16"/>
  <c r="J1752" i="16"/>
  <c r="H1752" i="16"/>
  <c r="G1752" i="16"/>
  <c r="F1752" i="16"/>
  <c r="E1752" i="16"/>
  <c r="D1752" i="16"/>
  <c r="C1752" i="16"/>
  <c r="B1752" i="16"/>
  <c r="A1752" i="16"/>
  <c r="J1751" i="16"/>
  <c r="H1751" i="16"/>
  <c r="G1751" i="16"/>
  <c r="F1751" i="16"/>
  <c r="E1751" i="16"/>
  <c r="D1751" i="16"/>
  <c r="C1751" i="16"/>
  <c r="B1751" i="16"/>
  <c r="A1751" i="16"/>
  <c r="J1750" i="16"/>
  <c r="H1750" i="16"/>
  <c r="G1750" i="16"/>
  <c r="F1750" i="16"/>
  <c r="E1750" i="16"/>
  <c r="D1750" i="16"/>
  <c r="C1750" i="16"/>
  <c r="B1750" i="16"/>
  <c r="A1750" i="16"/>
  <c r="J1749" i="16"/>
  <c r="H1749" i="16"/>
  <c r="G1749" i="16"/>
  <c r="F1749" i="16"/>
  <c r="E1749" i="16"/>
  <c r="D1749" i="16"/>
  <c r="C1749" i="16"/>
  <c r="B1749" i="16"/>
  <c r="A1749" i="16"/>
  <c r="J1748" i="16"/>
  <c r="H1748" i="16"/>
  <c r="G1748" i="16"/>
  <c r="F1748" i="16"/>
  <c r="E1748" i="16"/>
  <c r="D1748" i="16"/>
  <c r="C1748" i="16"/>
  <c r="B1748" i="16"/>
  <c r="A1748" i="16"/>
  <c r="J1747" i="16"/>
  <c r="H1747" i="16"/>
  <c r="G1747" i="16"/>
  <c r="F1747" i="16"/>
  <c r="E1747" i="16"/>
  <c r="D1747" i="16"/>
  <c r="C1747" i="16"/>
  <c r="B1747" i="16"/>
  <c r="A1747" i="16"/>
  <c r="J1746" i="16"/>
  <c r="H1746" i="16"/>
  <c r="G1746" i="16"/>
  <c r="F1746" i="16"/>
  <c r="E1746" i="16"/>
  <c r="D1746" i="16"/>
  <c r="C1746" i="16"/>
  <c r="B1746" i="16"/>
  <c r="A1746" i="16"/>
  <c r="J1745" i="16"/>
  <c r="H1745" i="16"/>
  <c r="G1745" i="16"/>
  <c r="F1745" i="16"/>
  <c r="E1745" i="16"/>
  <c r="D1745" i="16"/>
  <c r="C1745" i="16"/>
  <c r="B1745" i="16"/>
  <c r="A1745" i="16"/>
  <c r="J1744" i="16"/>
  <c r="H1744" i="16"/>
  <c r="G1744" i="16"/>
  <c r="F1744" i="16"/>
  <c r="E1744" i="16"/>
  <c r="D1744" i="16"/>
  <c r="C1744" i="16"/>
  <c r="B1744" i="16"/>
  <c r="A1744" i="16"/>
  <c r="J1743" i="16"/>
  <c r="H1743" i="16"/>
  <c r="G1743" i="16"/>
  <c r="F1743" i="16"/>
  <c r="E1743" i="16"/>
  <c r="D1743" i="16"/>
  <c r="C1743" i="16"/>
  <c r="B1743" i="16"/>
  <c r="A1743" i="16"/>
  <c r="J1742" i="16"/>
  <c r="H1742" i="16"/>
  <c r="G1742" i="16"/>
  <c r="F1742" i="16"/>
  <c r="E1742" i="16"/>
  <c r="D1742" i="16"/>
  <c r="C1742" i="16"/>
  <c r="B1742" i="16"/>
  <c r="A1742" i="16"/>
  <c r="J1741" i="16"/>
  <c r="H1741" i="16"/>
  <c r="G1741" i="16"/>
  <c r="F1741" i="16"/>
  <c r="E1741" i="16"/>
  <c r="D1741" i="16"/>
  <c r="C1741" i="16"/>
  <c r="B1741" i="16"/>
  <c r="A1741" i="16"/>
  <c r="J1740" i="16"/>
  <c r="H1740" i="16"/>
  <c r="G1740" i="16"/>
  <c r="F1740" i="16"/>
  <c r="E1740" i="16"/>
  <c r="D1740" i="16"/>
  <c r="C1740" i="16"/>
  <c r="B1740" i="16"/>
  <c r="A1740" i="16"/>
  <c r="J1739" i="16"/>
  <c r="H1739" i="16"/>
  <c r="G1739" i="16"/>
  <c r="F1739" i="16"/>
  <c r="E1739" i="16"/>
  <c r="D1739" i="16"/>
  <c r="C1739" i="16"/>
  <c r="B1739" i="16"/>
  <c r="A1739" i="16"/>
  <c r="J1738" i="16"/>
  <c r="H1738" i="16"/>
  <c r="G1738" i="16"/>
  <c r="F1738" i="16"/>
  <c r="E1738" i="16"/>
  <c r="D1738" i="16"/>
  <c r="C1738" i="16"/>
  <c r="B1738" i="16"/>
  <c r="A1738" i="16"/>
  <c r="J1737" i="16"/>
  <c r="H1737" i="16"/>
  <c r="G1737" i="16"/>
  <c r="F1737" i="16"/>
  <c r="E1737" i="16"/>
  <c r="D1737" i="16"/>
  <c r="C1737" i="16"/>
  <c r="B1737" i="16"/>
  <c r="A1737" i="16"/>
  <c r="J1736" i="16"/>
  <c r="H1736" i="16"/>
  <c r="G1736" i="16"/>
  <c r="F1736" i="16"/>
  <c r="E1736" i="16"/>
  <c r="D1736" i="16"/>
  <c r="C1736" i="16"/>
  <c r="B1736" i="16"/>
  <c r="A1736" i="16"/>
  <c r="J1735" i="16"/>
  <c r="H1735" i="16"/>
  <c r="G1735" i="16"/>
  <c r="F1735" i="16"/>
  <c r="E1735" i="16"/>
  <c r="D1735" i="16"/>
  <c r="C1735" i="16"/>
  <c r="B1735" i="16"/>
  <c r="A1735" i="16"/>
  <c r="J1734" i="16"/>
  <c r="H1734" i="16"/>
  <c r="G1734" i="16"/>
  <c r="F1734" i="16"/>
  <c r="E1734" i="16"/>
  <c r="D1734" i="16"/>
  <c r="C1734" i="16"/>
  <c r="B1734" i="16"/>
  <c r="A1734" i="16"/>
  <c r="J1733" i="16"/>
  <c r="H1733" i="16"/>
  <c r="G1733" i="16"/>
  <c r="F1733" i="16"/>
  <c r="E1733" i="16"/>
  <c r="D1733" i="16"/>
  <c r="C1733" i="16"/>
  <c r="B1733" i="16"/>
  <c r="A1733" i="16"/>
  <c r="J1732" i="16"/>
  <c r="H1732" i="16"/>
  <c r="G1732" i="16"/>
  <c r="F1732" i="16"/>
  <c r="E1732" i="16"/>
  <c r="D1732" i="16"/>
  <c r="C1732" i="16"/>
  <c r="B1732" i="16"/>
  <c r="A1732" i="16"/>
  <c r="J1731" i="16"/>
  <c r="H1731" i="16"/>
  <c r="G1731" i="16"/>
  <c r="F1731" i="16"/>
  <c r="E1731" i="16"/>
  <c r="D1731" i="16"/>
  <c r="C1731" i="16"/>
  <c r="B1731" i="16"/>
  <c r="A1731" i="16"/>
  <c r="J1730" i="16"/>
  <c r="H1730" i="16"/>
  <c r="G1730" i="16"/>
  <c r="F1730" i="16"/>
  <c r="E1730" i="16"/>
  <c r="D1730" i="16"/>
  <c r="C1730" i="16"/>
  <c r="B1730" i="16"/>
  <c r="A1730" i="16"/>
  <c r="J1729" i="16"/>
  <c r="F1729" i="16"/>
  <c r="E1729" i="16"/>
  <c r="D1729" i="16"/>
  <c r="C1729" i="16"/>
  <c r="B1729" i="16"/>
  <c r="A1729" i="16"/>
  <c r="J1728" i="16"/>
  <c r="H1728" i="16"/>
  <c r="G1728" i="16"/>
  <c r="F1728" i="16"/>
  <c r="E1728" i="16"/>
  <c r="D1728" i="16"/>
  <c r="C1728" i="16"/>
  <c r="B1728" i="16"/>
  <c r="A1728" i="16"/>
  <c r="J1727" i="16"/>
  <c r="H1727" i="16"/>
  <c r="G1727" i="16"/>
  <c r="F1727" i="16"/>
  <c r="E1727" i="16"/>
  <c r="D1727" i="16"/>
  <c r="C1727" i="16"/>
  <c r="B1727" i="16"/>
  <c r="A1727" i="16"/>
  <c r="J1726" i="16"/>
  <c r="H1726" i="16"/>
  <c r="G1726" i="16"/>
  <c r="F1726" i="16"/>
  <c r="E1726" i="16"/>
  <c r="D1726" i="16"/>
  <c r="C1726" i="16"/>
  <c r="B1726" i="16"/>
  <c r="A1726" i="16"/>
  <c r="J1725" i="16"/>
  <c r="H1725" i="16"/>
  <c r="G1725" i="16"/>
  <c r="F1725" i="16"/>
  <c r="E1725" i="16"/>
  <c r="D1725" i="16"/>
  <c r="C1725" i="16"/>
  <c r="B1725" i="16"/>
  <c r="A1725" i="16"/>
  <c r="J1724" i="16"/>
  <c r="H1724" i="16"/>
  <c r="G1724" i="16"/>
  <c r="F1724" i="16"/>
  <c r="E1724" i="16"/>
  <c r="D1724" i="16"/>
  <c r="C1724" i="16"/>
  <c r="B1724" i="16"/>
  <c r="A1724" i="16"/>
  <c r="J1723" i="16"/>
  <c r="H1723" i="16"/>
  <c r="G1723" i="16"/>
  <c r="F1723" i="16"/>
  <c r="E1723" i="16"/>
  <c r="D1723" i="16"/>
  <c r="C1723" i="16"/>
  <c r="B1723" i="16"/>
  <c r="A1723" i="16"/>
  <c r="J1722" i="16"/>
  <c r="H1722" i="16"/>
  <c r="G1722" i="16"/>
  <c r="F1722" i="16"/>
  <c r="E1722" i="16"/>
  <c r="D1722" i="16"/>
  <c r="C1722" i="16"/>
  <c r="B1722" i="16"/>
  <c r="A1722" i="16"/>
  <c r="J1721" i="16"/>
  <c r="H1721" i="16"/>
  <c r="G1721" i="16"/>
  <c r="F1721" i="16"/>
  <c r="E1721" i="16"/>
  <c r="D1721" i="16"/>
  <c r="C1721" i="16"/>
  <c r="B1721" i="16"/>
  <c r="A1721" i="16"/>
  <c r="J1720" i="16"/>
  <c r="H1720" i="16"/>
  <c r="G1720" i="16"/>
  <c r="F1720" i="16"/>
  <c r="E1720" i="16"/>
  <c r="D1720" i="16"/>
  <c r="C1720" i="16"/>
  <c r="B1720" i="16"/>
  <c r="A1720" i="16"/>
  <c r="J1719" i="16"/>
  <c r="H1719" i="16"/>
  <c r="G1719" i="16"/>
  <c r="F1719" i="16"/>
  <c r="E1719" i="16"/>
  <c r="D1719" i="16"/>
  <c r="C1719" i="16"/>
  <c r="B1719" i="16"/>
  <c r="A1719" i="16"/>
  <c r="J1718" i="16"/>
  <c r="H1718" i="16"/>
  <c r="G1718" i="16"/>
  <c r="F1718" i="16"/>
  <c r="E1718" i="16"/>
  <c r="D1718" i="16"/>
  <c r="C1718" i="16"/>
  <c r="B1718" i="16"/>
  <c r="A1718" i="16"/>
  <c r="J1717" i="16"/>
  <c r="H1717" i="16"/>
  <c r="G1717" i="16"/>
  <c r="F1717" i="16"/>
  <c r="E1717" i="16"/>
  <c r="D1717" i="16"/>
  <c r="C1717" i="16"/>
  <c r="B1717" i="16"/>
  <c r="A1717" i="16"/>
  <c r="J1716" i="16"/>
  <c r="H1716" i="16"/>
  <c r="G1716" i="16"/>
  <c r="F1716" i="16"/>
  <c r="E1716" i="16"/>
  <c r="D1716" i="16"/>
  <c r="C1716" i="16"/>
  <c r="B1716" i="16"/>
  <c r="A1716" i="16"/>
  <c r="J1715" i="16"/>
  <c r="H1715" i="16"/>
  <c r="G1715" i="16"/>
  <c r="F1715" i="16"/>
  <c r="E1715" i="16"/>
  <c r="D1715" i="16"/>
  <c r="C1715" i="16"/>
  <c r="B1715" i="16"/>
  <c r="A1715" i="16"/>
  <c r="J1714" i="16"/>
  <c r="H1714" i="16"/>
  <c r="G1714" i="16"/>
  <c r="F1714" i="16"/>
  <c r="E1714" i="16"/>
  <c r="D1714" i="16"/>
  <c r="C1714" i="16"/>
  <c r="B1714" i="16"/>
  <c r="A1714" i="16"/>
  <c r="J1713" i="16"/>
  <c r="H1713" i="16"/>
  <c r="G1713" i="16"/>
  <c r="F1713" i="16"/>
  <c r="E1713" i="16"/>
  <c r="D1713" i="16"/>
  <c r="C1713" i="16"/>
  <c r="B1713" i="16"/>
  <c r="A1713" i="16"/>
  <c r="J1712" i="16"/>
  <c r="H1712" i="16"/>
  <c r="G1712" i="16"/>
  <c r="F1712" i="16"/>
  <c r="E1712" i="16"/>
  <c r="D1712" i="16"/>
  <c r="C1712" i="16"/>
  <c r="B1712" i="16"/>
  <c r="A1712" i="16"/>
  <c r="J1711" i="16"/>
  <c r="H1711" i="16"/>
  <c r="G1711" i="16"/>
  <c r="F1711" i="16"/>
  <c r="E1711" i="16"/>
  <c r="D1711" i="16"/>
  <c r="C1711" i="16"/>
  <c r="B1711" i="16"/>
  <c r="A1711" i="16"/>
  <c r="J1710" i="16"/>
  <c r="H1710" i="16"/>
  <c r="G1710" i="16"/>
  <c r="F1710" i="16"/>
  <c r="E1710" i="16"/>
  <c r="D1710" i="16"/>
  <c r="C1710" i="16"/>
  <c r="B1710" i="16"/>
  <c r="A1710" i="16"/>
  <c r="J1709" i="16"/>
  <c r="H1709" i="16"/>
  <c r="G1709" i="16"/>
  <c r="F1709" i="16"/>
  <c r="E1709" i="16"/>
  <c r="D1709" i="16"/>
  <c r="C1709" i="16"/>
  <c r="B1709" i="16"/>
  <c r="A1709" i="16"/>
  <c r="J1708" i="16"/>
  <c r="H1708" i="16"/>
  <c r="G1708" i="16"/>
  <c r="F1708" i="16"/>
  <c r="E1708" i="16"/>
  <c r="D1708" i="16"/>
  <c r="C1708" i="16"/>
  <c r="B1708" i="16"/>
  <c r="A1708" i="16"/>
  <c r="J1707" i="16"/>
  <c r="H1707" i="16"/>
  <c r="G1707" i="16"/>
  <c r="F1707" i="16"/>
  <c r="E1707" i="16"/>
  <c r="D1707" i="16"/>
  <c r="C1707" i="16"/>
  <c r="B1707" i="16"/>
  <c r="A1707" i="16"/>
  <c r="J1706" i="16"/>
  <c r="F1706" i="16"/>
  <c r="E1706" i="16"/>
  <c r="D1706" i="16"/>
  <c r="C1706" i="16"/>
  <c r="B1706" i="16"/>
  <c r="A1706" i="16"/>
  <c r="J1705" i="16"/>
  <c r="H1705" i="16"/>
  <c r="G1705" i="16"/>
  <c r="F1705" i="16"/>
  <c r="E1705" i="16"/>
  <c r="D1705" i="16"/>
  <c r="C1705" i="16"/>
  <c r="B1705" i="16"/>
  <c r="A1705" i="16"/>
  <c r="J1704" i="16"/>
  <c r="H1704" i="16"/>
  <c r="G1704" i="16"/>
  <c r="F1704" i="16"/>
  <c r="E1704" i="16"/>
  <c r="D1704" i="16"/>
  <c r="C1704" i="16"/>
  <c r="B1704" i="16"/>
  <c r="A1704" i="16"/>
  <c r="J1703" i="16"/>
  <c r="H1703" i="16"/>
  <c r="G1703" i="16"/>
  <c r="F1703" i="16"/>
  <c r="E1703" i="16"/>
  <c r="D1703" i="16"/>
  <c r="C1703" i="16"/>
  <c r="B1703" i="16"/>
  <c r="A1703" i="16"/>
  <c r="J1702" i="16"/>
  <c r="F1702" i="16"/>
  <c r="E1702" i="16"/>
  <c r="D1702" i="16"/>
  <c r="C1702" i="16"/>
  <c r="B1702" i="16"/>
  <c r="A1702" i="16"/>
  <c r="J1701" i="16"/>
  <c r="H1701" i="16"/>
  <c r="G1701" i="16"/>
  <c r="F1701" i="16"/>
  <c r="E1701" i="16"/>
  <c r="D1701" i="16"/>
  <c r="C1701" i="16"/>
  <c r="B1701" i="16"/>
  <c r="A1701" i="16"/>
  <c r="J1700" i="16"/>
  <c r="H1700" i="16"/>
  <c r="G1700" i="16"/>
  <c r="F1700" i="16"/>
  <c r="E1700" i="16"/>
  <c r="D1700" i="16"/>
  <c r="C1700" i="16"/>
  <c r="B1700" i="16"/>
  <c r="A1700" i="16"/>
  <c r="J1699" i="16"/>
  <c r="H1699" i="16"/>
  <c r="G1699" i="16"/>
  <c r="F1699" i="16"/>
  <c r="E1699" i="16"/>
  <c r="D1699" i="16"/>
  <c r="C1699" i="16"/>
  <c r="B1699" i="16"/>
  <c r="A1699" i="16"/>
  <c r="J1698" i="16"/>
  <c r="H1698" i="16"/>
  <c r="G1698" i="16"/>
  <c r="F1698" i="16"/>
  <c r="E1698" i="16"/>
  <c r="D1698" i="16"/>
  <c r="C1698" i="16"/>
  <c r="B1698" i="16"/>
  <c r="A1698" i="16"/>
  <c r="J1697" i="16"/>
  <c r="H1697" i="16"/>
  <c r="G1697" i="16"/>
  <c r="F1697" i="16"/>
  <c r="E1697" i="16"/>
  <c r="D1697" i="16"/>
  <c r="C1697" i="16"/>
  <c r="B1697" i="16"/>
  <c r="A1697" i="16"/>
  <c r="J1696" i="16"/>
  <c r="H1696" i="16"/>
  <c r="G1696" i="16"/>
  <c r="F1696" i="16"/>
  <c r="E1696" i="16"/>
  <c r="D1696" i="16"/>
  <c r="C1696" i="16"/>
  <c r="B1696" i="16"/>
  <c r="A1696" i="16"/>
  <c r="J1695" i="16"/>
  <c r="H1695" i="16"/>
  <c r="G1695" i="16"/>
  <c r="F1695" i="16"/>
  <c r="E1695" i="16"/>
  <c r="D1695" i="16"/>
  <c r="C1695" i="16"/>
  <c r="B1695" i="16"/>
  <c r="A1695" i="16"/>
  <c r="J1694" i="16"/>
  <c r="H1694" i="16"/>
  <c r="G1694" i="16"/>
  <c r="F1694" i="16"/>
  <c r="E1694" i="16"/>
  <c r="D1694" i="16"/>
  <c r="C1694" i="16"/>
  <c r="B1694" i="16"/>
  <c r="A1694" i="16"/>
  <c r="J1693" i="16"/>
  <c r="H1693" i="16"/>
  <c r="G1693" i="16"/>
  <c r="F1693" i="16"/>
  <c r="E1693" i="16"/>
  <c r="D1693" i="16"/>
  <c r="C1693" i="16"/>
  <c r="B1693" i="16"/>
  <c r="A1693" i="16"/>
  <c r="J1692" i="16"/>
  <c r="H1692" i="16"/>
  <c r="G1692" i="16"/>
  <c r="F1692" i="16"/>
  <c r="E1692" i="16"/>
  <c r="D1692" i="16"/>
  <c r="C1692" i="16"/>
  <c r="B1692" i="16"/>
  <c r="A1692" i="16"/>
  <c r="J1691" i="16"/>
  <c r="H1691" i="16"/>
  <c r="G1691" i="16"/>
  <c r="F1691" i="16"/>
  <c r="E1691" i="16"/>
  <c r="D1691" i="16"/>
  <c r="C1691" i="16"/>
  <c r="B1691" i="16"/>
  <c r="A1691" i="16"/>
  <c r="J1690" i="16"/>
  <c r="H1690" i="16"/>
  <c r="G1690" i="16"/>
  <c r="F1690" i="16"/>
  <c r="E1690" i="16"/>
  <c r="D1690" i="16"/>
  <c r="C1690" i="16"/>
  <c r="B1690" i="16"/>
  <c r="A1690" i="16"/>
  <c r="J1689" i="16"/>
  <c r="H1689" i="16"/>
  <c r="G1689" i="16"/>
  <c r="F1689" i="16"/>
  <c r="E1689" i="16"/>
  <c r="D1689" i="16"/>
  <c r="C1689" i="16"/>
  <c r="B1689" i="16"/>
  <c r="A1689" i="16"/>
  <c r="J1688" i="16"/>
  <c r="H1688" i="16"/>
  <c r="G1688" i="16"/>
  <c r="F1688" i="16"/>
  <c r="E1688" i="16"/>
  <c r="D1688" i="16"/>
  <c r="C1688" i="16"/>
  <c r="B1688" i="16"/>
  <c r="A1688" i="16"/>
  <c r="J1687" i="16"/>
  <c r="H1687" i="16"/>
  <c r="G1687" i="16"/>
  <c r="F1687" i="16"/>
  <c r="E1687" i="16"/>
  <c r="D1687" i="16"/>
  <c r="C1687" i="16"/>
  <c r="B1687" i="16"/>
  <c r="A1687" i="16"/>
  <c r="J1686" i="16"/>
  <c r="H1686" i="16"/>
  <c r="G1686" i="16"/>
  <c r="F1686" i="16"/>
  <c r="E1686" i="16"/>
  <c r="D1686" i="16"/>
  <c r="C1686" i="16"/>
  <c r="B1686" i="16"/>
  <c r="A1686" i="16"/>
  <c r="J1685" i="16"/>
  <c r="H1685" i="16"/>
  <c r="G1685" i="16"/>
  <c r="F1685" i="16"/>
  <c r="E1685" i="16"/>
  <c r="D1685" i="16"/>
  <c r="C1685" i="16"/>
  <c r="B1685" i="16"/>
  <c r="A1685" i="16"/>
  <c r="J1684" i="16"/>
  <c r="H1684" i="16"/>
  <c r="G1684" i="16"/>
  <c r="F1684" i="16"/>
  <c r="E1684" i="16"/>
  <c r="D1684" i="16"/>
  <c r="C1684" i="16"/>
  <c r="B1684" i="16"/>
  <c r="A1684" i="16"/>
  <c r="J1683" i="16"/>
  <c r="H1683" i="16"/>
  <c r="G1683" i="16"/>
  <c r="F1683" i="16"/>
  <c r="E1683" i="16"/>
  <c r="D1683" i="16"/>
  <c r="C1683" i="16"/>
  <c r="B1683" i="16"/>
  <c r="A1683" i="16"/>
  <c r="J1682" i="16"/>
  <c r="H1682" i="16"/>
  <c r="G1682" i="16"/>
  <c r="F1682" i="16"/>
  <c r="E1682" i="16"/>
  <c r="D1682" i="16"/>
  <c r="C1682" i="16"/>
  <c r="B1682" i="16"/>
  <c r="A1682" i="16"/>
  <c r="J1681" i="16"/>
  <c r="H1681" i="16"/>
  <c r="G1681" i="16"/>
  <c r="F1681" i="16"/>
  <c r="E1681" i="16"/>
  <c r="D1681" i="16"/>
  <c r="C1681" i="16"/>
  <c r="B1681" i="16"/>
  <c r="A1681" i="16"/>
  <c r="J1680" i="16"/>
  <c r="H1680" i="16"/>
  <c r="G1680" i="16"/>
  <c r="F1680" i="16"/>
  <c r="E1680" i="16"/>
  <c r="D1680" i="16"/>
  <c r="C1680" i="16"/>
  <c r="B1680" i="16"/>
  <c r="A1680" i="16"/>
  <c r="J1679" i="16"/>
  <c r="H1679" i="16"/>
  <c r="G1679" i="16"/>
  <c r="F1679" i="16"/>
  <c r="E1679" i="16"/>
  <c r="D1679" i="16"/>
  <c r="C1679" i="16"/>
  <c r="B1679" i="16"/>
  <c r="A1679" i="16"/>
  <c r="J1678" i="16"/>
  <c r="H1678" i="16"/>
  <c r="G1678" i="16"/>
  <c r="F1678" i="16"/>
  <c r="E1678" i="16"/>
  <c r="D1678" i="16"/>
  <c r="C1678" i="16"/>
  <c r="B1678" i="16"/>
  <c r="A1678" i="16"/>
  <c r="J1677" i="16"/>
  <c r="H1677" i="16"/>
  <c r="G1677" i="16"/>
  <c r="F1677" i="16"/>
  <c r="E1677" i="16"/>
  <c r="D1677" i="16"/>
  <c r="C1677" i="16"/>
  <c r="B1677" i="16"/>
  <c r="A1677" i="16"/>
  <c r="J1676" i="16"/>
  <c r="H1676" i="16"/>
  <c r="G1676" i="16"/>
  <c r="F1676" i="16"/>
  <c r="E1676" i="16"/>
  <c r="D1676" i="16"/>
  <c r="C1676" i="16"/>
  <c r="B1676" i="16"/>
  <c r="A1676" i="16"/>
  <c r="J1675" i="16"/>
  <c r="H1675" i="16"/>
  <c r="G1675" i="16"/>
  <c r="F1675" i="16"/>
  <c r="E1675" i="16"/>
  <c r="D1675" i="16"/>
  <c r="C1675" i="16"/>
  <c r="B1675" i="16"/>
  <c r="A1675" i="16"/>
  <c r="J1674" i="16"/>
  <c r="H1674" i="16"/>
  <c r="G1674" i="16"/>
  <c r="F1674" i="16"/>
  <c r="E1674" i="16"/>
  <c r="D1674" i="16"/>
  <c r="C1674" i="16"/>
  <c r="B1674" i="16"/>
  <c r="A1674" i="16"/>
  <c r="J1673" i="16"/>
  <c r="H1673" i="16"/>
  <c r="G1673" i="16"/>
  <c r="F1673" i="16"/>
  <c r="E1673" i="16"/>
  <c r="D1673" i="16"/>
  <c r="C1673" i="16"/>
  <c r="B1673" i="16"/>
  <c r="A1673" i="16"/>
  <c r="J1672" i="16"/>
  <c r="H1672" i="16"/>
  <c r="G1672" i="16"/>
  <c r="F1672" i="16"/>
  <c r="E1672" i="16"/>
  <c r="D1672" i="16"/>
  <c r="C1672" i="16"/>
  <c r="B1672" i="16"/>
  <c r="A1672" i="16"/>
  <c r="J1671" i="16"/>
  <c r="H1671" i="16"/>
  <c r="G1671" i="16"/>
  <c r="F1671" i="16"/>
  <c r="E1671" i="16"/>
  <c r="D1671" i="16"/>
  <c r="C1671" i="16"/>
  <c r="B1671" i="16"/>
  <c r="A1671" i="16"/>
  <c r="J1670" i="16"/>
  <c r="H1670" i="16"/>
  <c r="G1670" i="16"/>
  <c r="F1670" i="16"/>
  <c r="E1670" i="16"/>
  <c r="D1670" i="16"/>
  <c r="C1670" i="16"/>
  <c r="B1670" i="16"/>
  <c r="A1670" i="16"/>
  <c r="J1669" i="16"/>
  <c r="H1669" i="16"/>
  <c r="G1669" i="16"/>
  <c r="F1669" i="16"/>
  <c r="E1669" i="16"/>
  <c r="D1669" i="16"/>
  <c r="C1669" i="16"/>
  <c r="B1669" i="16"/>
  <c r="A1669" i="16"/>
  <c r="J1668" i="16"/>
  <c r="H1668" i="16"/>
  <c r="G1668" i="16"/>
  <c r="F1668" i="16"/>
  <c r="E1668" i="16"/>
  <c r="D1668" i="16"/>
  <c r="C1668" i="16"/>
  <c r="B1668" i="16"/>
  <c r="A1668" i="16"/>
  <c r="J1667" i="16"/>
  <c r="H1667" i="16"/>
  <c r="G1667" i="16"/>
  <c r="F1667" i="16"/>
  <c r="E1667" i="16"/>
  <c r="D1667" i="16"/>
  <c r="C1667" i="16"/>
  <c r="B1667" i="16"/>
  <c r="A1667" i="16"/>
  <c r="J1666" i="16"/>
  <c r="H1666" i="16"/>
  <c r="G1666" i="16"/>
  <c r="F1666" i="16"/>
  <c r="E1666" i="16"/>
  <c r="D1666" i="16"/>
  <c r="C1666" i="16"/>
  <c r="B1666" i="16"/>
  <c r="A1666" i="16"/>
  <c r="J1665" i="16"/>
  <c r="H1665" i="16"/>
  <c r="G1665" i="16"/>
  <c r="F1665" i="16"/>
  <c r="E1665" i="16"/>
  <c r="D1665" i="16"/>
  <c r="C1665" i="16"/>
  <c r="B1665" i="16"/>
  <c r="A1665" i="16"/>
  <c r="J1664" i="16"/>
  <c r="H1664" i="16"/>
  <c r="G1664" i="16"/>
  <c r="F1664" i="16"/>
  <c r="E1664" i="16"/>
  <c r="D1664" i="16"/>
  <c r="C1664" i="16"/>
  <c r="B1664" i="16"/>
  <c r="A1664" i="16"/>
  <c r="J1663" i="16"/>
  <c r="H1663" i="16"/>
  <c r="G1663" i="16"/>
  <c r="F1663" i="16"/>
  <c r="E1663" i="16"/>
  <c r="D1663" i="16"/>
  <c r="C1663" i="16"/>
  <c r="B1663" i="16"/>
  <c r="A1663" i="16"/>
  <c r="J1662" i="16"/>
  <c r="H1662" i="16"/>
  <c r="G1662" i="16"/>
  <c r="F1662" i="16"/>
  <c r="E1662" i="16"/>
  <c r="D1662" i="16"/>
  <c r="C1662" i="16"/>
  <c r="B1662" i="16"/>
  <c r="A1662" i="16"/>
  <c r="J1661" i="16"/>
  <c r="H1661" i="16"/>
  <c r="G1661" i="16"/>
  <c r="F1661" i="16"/>
  <c r="E1661" i="16"/>
  <c r="D1661" i="16"/>
  <c r="C1661" i="16"/>
  <c r="B1661" i="16"/>
  <c r="A1661" i="16"/>
  <c r="J1660" i="16"/>
  <c r="H1660" i="16"/>
  <c r="G1660" i="16"/>
  <c r="F1660" i="16"/>
  <c r="E1660" i="16"/>
  <c r="D1660" i="16"/>
  <c r="C1660" i="16"/>
  <c r="B1660" i="16"/>
  <c r="A1660" i="16"/>
  <c r="J1659" i="16"/>
  <c r="H1659" i="16"/>
  <c r="G1659" i="16"/>
  <c r="F1659" i="16"/>
  <c r="E1659" i="16"/>
  <c r="D1659" i="16"/>
  <c r="C1659" i="16"/>
  <c r="B1659" i="16"/>
  <c r="A1659" i="16"/>
  <c r="J1658" i="16"/>
  <c r="H1658" i="16"/>
  <c r="G1658" i="16"/>
  <c r="F1658" i="16"/>
  <c r="E1658" i="16"/>
  <c r="D1658" i="16"/>
  <c r="C1658" i="16"/>
  <c r="B1658" i="16"/>
  <c r="A1658" i="16"/>
  <c r="J1657" i="16"/>
  <c r="H1657" i="16"/>
  <c r="G1657" i="16"/>
  <c r="F1657" i="16"/>
  <c r="E1657" i="16"/>
  <c r="D1657" i="16"/>
  <c r="C1657" i="16"/>
  <c r="B1657" i="16"/>
  <c r="A1657" i="16"/>
  <c r="J1656" i="16"/>
  <c r="H1656" i="16"/>
  <c r="G1656" i="16"/>
  <c r="F1656" i="16"/>
  <c r="E1656" i="16"/>
  <c r="D1656" i="16"/>
  <c r="C1656" i="16"/>
  <c r="B1656" i="16"/>
  <c r="A1656" i="16"/>
  <c r="J1655" i="16"/>
  <c r="H1655" i="16"/>
  <c r="G1655" i="16"/>
  <c r="F1655" i="16"/>
  <c r="E1655" i="16"/>
  <c r="D1655" i="16"/>
  <c r="C1655" i="16"/>
  <c r="B1655" i="16"/>
  <c r="A1655" i="16"/>
  <c r="J1654" i="16"/>
  <c r="H1654" i="16"/>
  <c r="G1654" i="16"/>
  <c r="F1654" i="16"/>
  <c r="E1654" i="16"/>
  <c r="D1654" i="16"/>
  <c r="C1654" i="16"/>
  <c r="B1654" i="16"/>
  <c r="A1654" i="16"/>
  <c r="J1653" i="16"/>
  <c r="H1653" i="16"/>
  <c r="G1653" i="16"/>
  <c r="F1653" i="16"/>
  <c r="E1653" i="16"/>
  <c r="D1653" i="16"/>
  <c r="C1653" i="16"/>
  <c r="B1653" i="16"/>
  <c r="A1653" i="16"/>
  <c r="J1652" i="16"/>
  <c r="H1652" i="16"/>
  <c r="G1652" i="16"/>
  <c r="F1652" i="16"/>
  <c r="E1652" i="16"/>
  <c r="D1652" i="16"/>
  <c r="C1652" i="16"/>
  <c r="B1652" i="16"/>
  <c r="A1652" i="16"/>
  <c r="J1651" i="16"/>
  <c r="H1651" i="16"/>
  <c r="G1651" i="16"/>
  <c r="F1651" i="16"/>
  <c r="E1651" i="16"/>
  <c r="D1651" i="16"/>
  <c r="C1651" i="16"/>
  <c r="B1651" i="16"/>
  <c r="A1651" i="16"/>
  <c r="J1650" i="16"/>
  <c r="H1650" i="16"/>
  <c r="G1650" i="16"/>
  <c r="F1650" i="16"/>
  <c r="E1650" i="16"/>
  <c r="D1650" i="16"/>
  <c r="C1650" i="16"/>
  <c r="B1650" i="16"/>
  <c r="A1650" i="16"/>
  <c r="J1649" i="16"/>
  <c r="H1649" i="16"/>
  <c r="G1649" i="16"/>
  <c r="F1649" i="16"/>
  <c r="E1649" i="16"/>
  <c r="D1649" i="16"/>
  <c r="C1649" i="16"/>
  <c r="B1649" i="16"/>
  <c r="A1649" i="16"/>
  <c r="J1648" i="16"/>
  <c r="H1648" i="16"/>
  <c r="G1648" i="16"/>
  <c r="F1648" i="16"/>
  <c r="E1648" i="16"/>
  <c r="D1648" i="16"/>
  <c r="C1648" i="16"/>
  <c r="B1648" i="16"/>
  <c r="A1648" i="16"/>
  <c r="J1647" i="16"/>
  <c r="H1647" i="16"/>
  <c r="G1647" i="16"/>
  <c r="F1647" i="16"/>
  <c r="E1647" i="16"/>
  <c r="D1647" i="16"/>
  <c r="C1647" i="16"/>
  <c r="B1647" i="16"/>
  <c r="A1647" i="16"/>
  <c r="J1646" i="16"/>
  <c r="H1646" i="16"/>
  <c r="G1646" i="16"/>
  <c r="F1646" i="16"/>
  <c r="E1646" i="16"/>
  <c r="D1646" i="16"/>
  <c r="C1646" i="16"/>
  <c r="B1646" i="16"/>
  <c r="A1646" i="16"/>
  <c r="J1645" i="16"/>
  <c r="H1645" i="16"/>
  <c r="G1645" i="16"/>
  <c r="F1645" i="16"/>
  <c r="E1645" i="16"/>
  <c r="D1645" i="16"/>
  <c r="C1645" i="16"/>
  <c r="B1645" i="16"/>
  <c r="A1645" i="16"/>
  <c r="J1644" i="16"/>
  <c r="H1644" i="16"/>
  <c r="G1644" i="16"/>
  <c r="F1644" i="16"/>
  <c r="E1644" i="16"/>
  <c r="D1644" i="16"/>
  <c r="C1644" i="16"/>
  <c r="B1644" i="16"/>
  <c r="A1644" i="16"/>
  <c r="J1643" i="16"/>
  <c r="H1643" i="16"/>
  <c r="G1643" i="16"/>
  <c r="F1643" i="16"/>
  <c r="E1643" i="16"/>
  <c r="D1643" i="16"/>
  <c r="C1643" i="16"/>
  <c r="B1643" i="16"/>
  <c r="A1643" i="16"/>
  <c r="J1642" i="16"/>
  <c r="H1642" i="16"/>
  <c r="G1642" i="16"/>
  <c r="F1642" i="16"/>
  <c r="E1642" i="16"/>
  <c r="D1642" i="16"/>
  <c r="C1642" i="16"/>
  <c r="B1642" i="16"/>
  <c r="A1642" i="16"/>
  <c r="J1641" i="16"/>
  <c r="H1641" i="16"/>
  <c r="G1641" i="16"/>
  <c r="F1641" i="16"/>
  <c r="E1641" i="16"/>
  <c r="D1641" i="16"/>
  <c r="C1641" i="16"/>
  <c r="B1641" i="16"/>
  <c r="A1641" i="16"/>
  <c r="J1640" i="16"/>
  <c r="H1640" i="16"/>
  <c r="G1640" i="16"/>
  <c r="F1640" i="16"/>
  <c r="E1640" i="16"/>
  <c r="D1640" i="16"/>
  <c r="C1640" i="16"/>
  <c r="B1640" i="16"/>
  <c r="A1640" i="16"/>
  <c r="J1639" i="16"/>
  <c r="H1639" i="16"/>
  <c r="G1639" i="16"/>
  <c r="F1639" i="16"/>
  <c r="E1639" i="16"/>
  <c r="D1639" i="16"/>
  <c r="C1639" i="16"/>
  <c r="B1639" i="16"/>
  <c r="A1639" i="16"/>
  <c r="J1638" i="16"/>
  <c r="H1638" i="16"/>
  <c r="G1638" i="16"/>
  <c r="F1638" i="16"/>
  <c r="E1638" i="16"/>
  <c r="D1638" i="16"/>
  <c r="C1638" i="16"/>
  <c r="B1638" i="16"/>
  <c r="A1638" i="16"/>
  <c r="J1637" i="16"/>
  <c r="H1637" i="16"/>
  <c r="G1637" i="16"/>
  <c r="F1637" i="16"/>
  <c r="E1637" i="16"/>
  <c r="D1637" i="16"/>
  <c r="C1637" i="16"/>
  <c r="B1637" i="16"/>
  <c r="A1637" i="16"/>
  <c r="J1636" i="16"/>
  <c r="H1636" i="16"/>
  <c r="G1636" i="16"/>
  <c r="F1636" i="16"/>
  <c r="E1636" i="16"/>
  <c r="D1636" i="16"/>
  <c r="C1636" i="16"/>
  <c r="B1636" i="16"/>
  <c r="A1636" i="16"/>
  <c r="J1635" i="16"/>
  <c r="H1635" i="16"/>
  <c r="G1635" i="16"/>
  <c r="F1635" i="16"/>
  <c r="E1635" i="16"/>
  <c r="D1635" i="16"/>
  <c r="C1635" i="16"/>
  <c r="B1635" i="16"/>
  <c r="A1635" i="16"/>
  <c r="J1634" i="16"/>
  <c r="H1634" i="16"/>
  <c r="G1634" i="16"/>
  <c r="F1634" i="16"/>
  <c r="E1634" i="16"/>
  <c r="D1634" i="16"/>
  <c r="C1634" i="16"/>
  <c r="B1634" i="16"/>
  <c r="A1634" i="16"/>
  <c r="J1633" i="16"/>
  <c r="H1633" i="16"/>
  <c r="G1633" i="16"/>
  <c r="F1633" i="16"/>
  <c r="E1633" i="16"/>
  <c r="D1633" i="16"/>
  <c r="C1633" i="16"/>
  <c r="B1633" i="16"/>
  <c r="A1633" i="16"/>
  <c r="J1632" i="16"/>
  <c r="H1632" i="16"/>
  <c r="G1632" i="16"/>
  <c r="F1632" i="16"/>
  <c r="E1632" i="16"/>
  <c r="D1632" i="16"/>
  <c r="C1632" i="16"/>
  <c r="B1632" i="16"/>
  <c r="A1632" i="16"/>
  <c r="J1631" i="16"/>
  <c r="H1631" i="16"/>
  <c r="G1631" i="16"/>
  <c r="F1631" i="16"/>
  <c r="E1631" i="16"/>
  <c r="D1631" i="16"/>
  <c r="C1631" i="16"/>
  <c r="B1631" i="16"/>
  <c r="A1631" i="16"/>
  <c r="J1630" i="16"/>
  <c r="H1630" i="16"/>
  <c r="G1630" i="16"/>
  <c r="F1630" i="16"/>
  <c r="E1630" i="16"/>
  <c r="D1630" i="16"/>
  <c r="C1630" i="16"/>
  <c r="B1630" i="16"/>
  <c r="A1630" i="16"/>
  <c r="J1629" i="16"/>
  <c r="H1629" i="16"/>
  <c r="G1629" i="16"/>
  <c r="F1629" i="16"/>
  <c r="E1629" i="16"/>
  <c r="D1629" i="16"/>
  <c r="C1629" i="16"/>
  <c r="B1629" i="16"/>
  <c r="A1629" i="16"/>
  <c r="J1628" i="16"/>
  <c r="H1628" i="16"/>
  <c r="G1628" i="16"/>
  <c r="F1628" i="16"/>
  <c r="E1628" i="16"/>
  <c r="D1628" i="16"/>
  <c r="C1628" i="16"/>
  <c r="B1628" i="16"/>
  <c r="A1628" i="16"/>
  <c r="J1627" i="16"/>
  <c r="H1627" i="16"/>
  <c r="G1627" i="16"/>
  <c r="F1627" i="16"/>
  <c r="E1627" i="16"/>
  <c r="D1627" i="16"/>
  <c r="C1627" i="16"/>
  <c r="B1627" i="16"/>
  <c r="A1627" i="16"/>
  <c r="J1626" i="16"/>
  <c r="H1626" i="16"/>
  <c r="G1626" i="16"/>
  <c r="F1626" i="16"/>
  <c r="E1626" i="16"/>
  <c r="D1626" i="16"/>
  <c r="C1626" i="16"/>
  <c r="B1626" i="16"/>
  <c r="A1626" i="16"/>
  <c r="J1625" i="16"/>
  <c r="H1625" i="16"/>
  <c r="G1625" i="16"/>
  <c r="F1625" i="16"/>
  <c r="E1625" i="16"/>
  <c r="D1625" i="16"/>
  <c r="C1625" i="16"/>
  <c r="B1625" i="16"/>
  <c r="A1625" i="16"/>
  <c r="J1624" i="16"/>
  <c r="H1624" i="16"/>
  <c r="G1624" i="16"/>
  <c r="F1624" i="16"/>
  <c r="E1624" i="16"/>
  <c r="D1624" i="16"/>
  <c r="C1624" i="16"/>
  <c r="B1624" i="16"/>
  <c r="A1624" i="16"/>
  <c r="J1623" i="16"/>
  <c r="H1623" i="16"/>
  <c r="G1623" i="16"/>
  <c r="F1623" i="16"/>
  <c r="E1623" i="16"/>
  <c r="D1623" i="16"/>
  <c r="C1623" i="16"/>
  <c r="B1623" i="16"/>
  <c r="A1623" i="16"/>
  <c r="J1622" i="16"/>
  <c r="H1622" i="16"/>
  <c r="G1622" i="16"/>
  <c r="F1622" i="16"/>
  <c r="E1622" i="16"/>
  <c r="D1622" i="16"/>
  <c r="C1622" i="16"/>
  <c r="B1622" i="16"/>
  <c r="A1622" i="16"/>
  <c r="J1621" i="16"/>
  <c r="H1621" i="16"/>
  <c r="G1621" i="16"/>
  <c r="F1621" i="16"/>
  <c r="E1621" i="16"/>
  <c r="D1621" i="16"/>
  <c r="C1621" i="16"/>
  <c r="B1621" i="16"/>
  <c r="A1621" i="16"/>
  <c r="J1620" i="16"/>
  <c r="H1620" i="16"/>
  <c r="G1620" i="16"/>
  <c r="F1620" i="16"/>
  <c r="E1620" i="16"/>
  <c r="D1620" i="16"/>
  <c r="C1620" i="16"/>
  <c r="B1620" i="16"/>
  <c r="A1620" i="16"/>
  <c r="J1619" i="16"/>
  <c r="H1619" i="16"/>
  <c r="G1619" i="16"/>
  <c r="F1619" i="16"/>
  <c r="E1619" i="16"/>
  <c r="D1619" i="16"/>
  <c r="C1619" i="16"/>
  <c r="B1619" i="16"/>
  <c r="A1619" i="16"/>
  <c r="J1618" i="16"/>
  <c r="H1618" i="16"/>
  <c r="G1618" i="16"/>
  <c r="F1618" i="16"/>
  <c r="E1618" i="16"/>
  <c r="D1618" i="16"/>
  <c r="C1618" i="16"/>
  <c r="B1618" i="16"/>
  <c r="A1618" i="16"/>
  <c r="J1617" i="16"/>
  <c r="H1617" i="16"/>
  <c r="G1617" i="16"/>
  <c r="F1617" i="16"/>
  <c r="E1617" i="16"/>
  <c r="D1617" i="16"/>
  <c r="C1617" i="16"/>
  <c r="B1617" i="16"/>
  <c r="A1617" i="16"/>
  <c r="J1616" i="16"/>
  <c r="H1616" i="16"/>
  <c r="G1616" i="16"/>
  <c r="F1616" i="16"/>
  <c r="E1616" i="16"/>
  <c r="D1616" i="16"/>
  <c r="C1616" i="16"/>
  <c r="B1616" i="16"/>
  <c r="A1616" i="16"/>
  <c r="J1615" i="16"/>
  <c r="H1615" i="16"/>
  <c r="G1615" i="16"/>
  <c r="F1615" i="16"/>
  <c r="E1615" i="16"/>
  <c r="D1615" i="16"/>
  <c r="C1615" i="16"/>
  <c r="B1615" i="16"/>
  <c r="A1615" i="16"/>
  <c r="J1614" i="16"/>
  <c r="H1614" i="16"/>
  <c r="G1614" i="16"/>
  <c r="F1614" i="16"/>
  <c r="E1614" i="16"/>
  <c r="D1614" i="16"/>
  <c r="C1614" i="16"/>
  <c r="B1614" i="16"/>
  <c r="A1614" i="16"/>
  <c r="J1613" i="16"/>
  <c r="H1613" i="16"/>
  <c r="G1613" i="16"/>
  <c r="F1613" i="16"/>
  <c r="E1613" i="16"/>
  <c r="D1613" i="16"/>
  <c r="C1613" i="16"/>
  <c r="B1613" i="16"/>
  <c r="A1613" i="16"/>
  <c r="J1612" i="16"/>
  <c r="H1612" i="16"/>
  <c r="G1612" i="16"/>
  <c r="F1612" i="16"/>
  <c r="E1612" i="16"/>
  <c r="D1612" i="16"/>
  <c r="C1612" i="16"/>
  <c r="B1612" i="16"/>
  <c r="A1612" i="16"/>
  <c r="J1611" i="16"/>
  <c r="H1611" i="16"/>
  <c r="G1611" i="16"/>
  <c r="F1611" i="16"/>
  <c r="E1611" i="16"/>
  <c r="D1611" i="16"/>
  <c r="C1611" i="16"/>
  <c r="B1611" i="16"/>
  <c r="A1611" i="16"/>
  <c r="J1610" i="16"/>
  <c r="H1610" i="16"/>
  <c r="G1610" i="16"/>
  <c r="F1610" i="16"/>
  <c r="E1610" i="16"/>
  <c r="D1610" i="16"/>
  <c r="C1610" i="16"/>
  <c r="B1610" i="16"/>
  <c r="A1610" i="16"/>
  <c r="J1609" i="16"/>
  <c r="H1609" i="16"/>
  <c r="G1609" i="16"/>
  <c r="F1609" i="16"/>
  <c r="E1609" i="16"/>
  <c r="D1609" i="16"/>
  <c r="C1609" i="16"/>
  <c r="B1609" i="16"/>
  <c r="A1609" i="16"/>
  <c r="J1608" i="16"/>
  <c r="H1608" i="16"/>
  <c r="G1608" i="16"/>
  <c r="F1608" i="16"/>
  <c r="E1608" i="16"/>
  <c r="D1608" i="16"/>
  <c r="C1608" i="16"/>
  <c r="B1608" i="16"/>
  <c r="A1608" i="16"/>
  <c r="J1607" i="16"/>
  <c r="H1607" i="16"/>
  <c r="G1607" i="16"/>
  <c r="F1607" i="16"/>
  <c r="E1607" i="16"/>
  <c r="D1607" i="16"/>
  <c r="C1607" i="16"/>
  <c r="B1607" i="16"/>
  <c r="A1607" i="16"/>
  <c r="J1606" i="16"/>
  <c r="H1606" i="16"/>
  <c r="G1606" i="16"/>
  <c r="F1606" i="16"/>
  <c r="E1606" i="16"/>
  <c r="D1606" i="16"/>
  <c r="C1606" i="16"/>
  <c r="B1606" i="16"/>
  <c r="A1606" i="16"/>
  <c r="J1605" i="16"/>
  <c r="H1605" i="16"/>
  <c r="G1605" i="16"/>
  <c r="F1605" i="16"/>
  <c r="E1605" i="16"/>
  <c r="D1605" i="16"/>
  <c r="C1605" i="16"/>
  <c r="B1605" i="16"/>
  <c r="A1605" i="16"/>
  <c r="J1604" i="16"/>
  <c r="H1604" i="16"/>
  <c r="G1604" i="16"/>
  <c r="F1604" i="16"/>
  <c r="E1604" i="16"/>
  <c r="D1604" i="16"/>
  <c r="C1604" i="16"/>
  <c r="B1604" i="16"/>
  <c r="A1604" i="16"/>
  <c r="J1603" i="16"/>
  <c r="H1603" i="16"/>
  <c r="G1603" i="16"/>
  <c r="F1603" i="16"/>
  <c r="E1603" i="16"/>
  <c r="D1603" i="16"/>
  <c r="C1603" i="16"/>
  <c r="B1603" i="16"/>
  <c r="A1603" i="16"/>
  <c r="J1602" i="16"/>
  <c r="H1602" i="16"/>
  <c r="G1602" i="16"/>
  <c r="F1602" i="16"/>
  <c r="E1602" i="16"/>
  <c r="D1602" i="16"/>
  <c r="C1602" i="16"/>
  <c r="B1602" i="16"/>
  <c r="A1602" i="16"/>
  <c r="J1601" i="16"/>
  <c r="H1601" i="16"/>
  <c r="G1601" i="16"/>
  <c r="F1601" i="16"/>
  <c r="E1601" i="16"/>
  <c r="D1601" i="16"/>
  <c r="C1601" i="16"/>
  <c r="B1601" i="16"/>
  <c r="A1601" i="16"/>
  <c r="J1600" i="16"/>
  <c r="H1600" i="16"/>
  <c r="G1600" i="16"/>
  <c r="F1600" i="16"/>
  <c r="E1600" i="16"/>
  <c r="D1600" i="16"/>
  <c r="C1600" i="16"/>
  <c r="B1600" i="16"/>
  <c r="A1600" i="16"/>
  <c r="J1599" i="16"/>
  <c r="H1599" i="16"/>
  <c r="G1599" i="16"/>
  <c r="F1599" i="16"/>
  <c r="E1599" i="16"/>
  <c r="D1599" i="16"/>
  <c r="C1599" i="16"/>
  <c r="B1599" i="16"/>
  <c r="A1599" i="16"/>
  <c r="J1598" i="16"/>
  <c r="H1598" i="16"/>
  <c r="G1598" i="16"/>
  <c r="F1598" i="16"/>
  <c r="E1598" i="16"/>
  <c r="D1598" i="16"/>
  <c r="C1598" i="16"/>
  <c r="B1598" i="16"/>
  <c r="A1598" i="16"/>
  <c r="J1597" i="16"/>
  <c r="H1597" i="16"/>
  <c r="G1597" i="16"/>
  <c r="F1597" i="16"/>
  <c r="E1597" i="16"/>
  <c r="D1597" i="16"/>
  <c r="C1597" i="16"/>
  <c r="B1597" i="16"/>
  <c r="A1597" i="16"/>
  <c r="J1596" i="16"/>
  <c r="H1596" i="16"/>
  <c r="G1596" i="16"/>
  <c r="F1596" i="16"/>
  <c r="E1596" i="16"/>
  <c r="D1596" i="16"/>
  <c r="C1596" i="16"/>
  <c r="B1596" i="16"/>
  <c r="A1596" i="16"/>
  <c r="J1595" i="16"/>
  <c r="H1595" i="16"/>
  <c r="G1595" i="16"/>
  <c r="F1595" i="16"/>
  <c r="E1595" i="16"/>
  <c r="D1595" i="16"/>
  <c r="C1595" i="16"/>
  <c r="B1595" i="16"/>
  <c r="A1595" i="16"/>
  <c r="J1594" i="16"/>
  <c r="H1594" i="16"/>
  <c r="G1594" i="16"/>
  <c r="F1594" i="16"/>
  <c r="E1594" i="16"/>
  <c r="D1594" i="16"/>
  <c r="C1594" i="16"/>
  <c r="B1594" i="16"/>
  <c r="A1594" i="16"/>
  <c r="J1593" i="16"/>
  <c r="H1593" i="16"/>
  <c r="G1593" i="16"/>
  <c r="F1593" i="16"/>
  <c r="E1593" i="16"/>
  <c r="D1593" i="16"/>
  <c r="C1593" i="16"/>
  <c r="B1593" i="16"/>
  <c r="A1593" i="16"/>
  <c r="J1592" i="16"/>
  <c r="H1592" i="16"/>
  <c r="G1592" i="16"/>
  <c r="F1592" i="16"/>
  <c r="E1592" i="16"/>
  <c r="D1592" i="16"/>
  <c r="C1592" i="16"/>
  <c r="B1592" i="16"/>
  <c r="A1592" i="16"/>
  <c r="J1591" i="16"/>
  <c r="H1591" i="16"/>
  <c r="G1591" i="16"/>
  <c r="F1591" i="16"/>
  <c r="E1591" i="16"/>
  <c r="D1591" i="16"/>
  <c r="C1591" i="16"/>
  <c r="B1591" i="16"/>
  <c r="A1591" i="16"/>
  <c r="J1590" i="16"/>
  <c r="H1590" i="16"/>
  <c r="G1590" i="16"/>
  <c r="F1590" i="16"/>
  <c r="E1590" i="16"/>
  <c r="D1590" i="16"/>
  <c r="C1590" i="16"/>
  <c r="B1590" i="16"/>
  <c r="A1590" i="16"/>
  <c r="J1589" i="16"/>
  <c r="H1589" i="16"/>
  <c r="G1589" i="16"/>
  <c r="F1589" i="16"/>
  <c r="E1589" i="16"/>
  <c r="D1589" i="16"/>
  <c r="C1589" i="16"/>
  <c r="B1589" i="16"/>
  <c r="A1589" i="16"/>
  <c r="J1588" i="16"/>
  <c r="H1588" i="16"/>
  <c r="G1588" i="16"/>
  <c r="F1588" i="16"/>
  <c r="E1588" i="16"/>
  <c r="D1588" i="16"/>
  <c r="C1588" i="16"/>
  <c r="B1588" i="16"/>
  <c r="A1588" i="16"/>
  <c r="J1587" i="16"/>
  <c r="H1587" i="16"/>
  <c r="G1587" i="16"/>
  <c r="F1587" i="16"/>
  <c r="E1587" i="16"/>
  <c r="D1587" i="16"/>
  <c r="C1587" i="16"/>
  <c r="B1587" i="16"/>
  <c r="A1587" i="16"/>
  <c r="J1586" i="16"/>
  <c r="H1586" i="16"/>
  <c r="G1586" i="16"/>
  <c r="F1586" i="16"/>
  <c r="E1586" i="16"/>
  <c r="D1586" i="16"/>
  <c r="C1586" i="16"/>
  <c r="B1586" i="16"/>
  <c r="A1586" i="16"/>
  <c r="J1585" i="16"/>
  <c r="H1585" i="16"/>
  <c r="G1585" i="16"/>
  <c r="F1585" i="16"/>
  <c r="E1585" i="16"/>
  <c r="D1585" i="16"/>
  <c r="C1585" i="16"/>
  <c r="B1585" i="16"/>
  <c r="A1585" i="16"/>
  <c r="J1584" i="16"/>
  <c r="H1584" i="16"/>
  <c r="G1584" i="16"/>
  <c r="F1584" i="16"/>
  <c r="E1584" i="16"/>
  <c r="D1584" i="16"/>
  <c r="C1584" i="16"/>
  <c r="B1584" i="16"/>
  <c r="A1584" i="16"/>
  <c r="J1583" i="16"/>
  <c r="H1583" i="16"/>
  <c r="G1583" i="16"/>
  <c r="F1583" i="16"/>
  <c r="E1583" i="16"/>
  <c r="D1583" i="16"/>
  <c r="C1583" i="16"/>
  <c r="B1583" i="16"/>
  <c r="A1583" i="16"/>
  <c r="J1582" i="16"/>
  <c r="H1582" i="16"/>
  <c r="G1582" i="16"/>
  <c r="F1582" i="16"/>
  <c r="E1582" i="16"/>
  <c r="D1582" i="16"/>
  <c r="C1582" i="16"/>
  <c r="B1582" i="16"/>
  <c r="A1582" i="16"/>
  <c r="J1581" i="16"/>
  <c r="H1581" i="16"/>
  <c r="G1581" i="16"/>
  <c r="F1581" i="16"/>
  <c r="E1581" i="16"/>
  <c r="D1581" i="16"/>
  <c r="C1581" i="16"/>
  <c r="B1581" i="16"/>
  <c r="A1581" i="16"/>
  <c r="J1580" i="16"/>
  <c r="H1580" i="16"/>
  <c r="G1580" i="16"/>
  <c r="F1580" i="16"/>
  <c r="E1580" i="16"/>
  <c r="D1580" i="16"/>
  <c r="C1580" i="16"/>
  <c r="B1580" i="16"/>
  <c r="A1580" i="16"/>
  <c r="J1579" i="16"/>
  <c r="H1579" i="16"/>
  <c r="G1579" i="16"/>
  <c r="F1579" i="16"/>
  <c r="E1579" i="16"/>
  <c r="D1579" i="16"/>
  <c r="C1579" i="16"/>
  <c r="B1579" i="16"/>
  <c r="A1579" i="16"/>
  <c r="J1578" i="16"/>
  <c r="H1578" i="16"/>
  <c r="G1578" i="16"/>
  <c r="F1578" i="16"/>
  <c r="E1578" i="16"/>
  <c r="D1578" i="16"/>
  <c r="C1578" i="16"/>
  <c r="B1578" i="16"/>
  <c r="A1578" i="16"/>
  <c r="J1577" i="16"/>
  <c r="H1577" i="16"/>
  <c r="G1577" i="16"/>
  <c r="F1577" i="16"/>
  <c r="E1577" i="16"/>
  <c r="D1577" i="16"/>
  <c r="C1577" i="16"/>
  <c r="B1577" i="16"/>
  <c r="A1577" i="16"/>
  <c r="J1576" i="16"/>
  <c r="H1576" i="16"/>
  <c r="G1576" i="16"/>
  <c r="F1576" i="16"/>
  <c r="E1576" i="16"/>
  <c r="D1576" i="16"/>
  <c r="C1576" i="16"/>
  <c r="B1576" i="16"/>
  <c r="A1576" i="16"/>
  <c r="J1575" i="16"/>
  <c r="H1575" i="16"/>
  <c r="G1575" i="16"/>
  <c r="F1575" i="16"/>
  <c r="E1575" i="16"/>
  <c r="D1575" i="16"/>
  <c r="C1575" i="16"/>
  <c r="B1575" i="16"/>
  <c r="A1575" i="16"/>
  <c r="J1574" i="16"/>
  <c r="H1574" i="16"/>
  <c r="G1574" i="16"/>
  <c r="F1574" i="16"/>
  <c r="E1574" i="16"/>
  <c r="D1574" i="16"/>
  <c r="C1574" i="16"/>
  <c r="B1574" i="16"/>
  <c r="A1574" i="16"/>
  <c r="J1573" i="16"/>
  <c r="H1573" i="16"/>
  <c r="G1573" i="16"/>
  <c r="F1573" i="16"/>
  <c r="E1573" i="16"/>
  <c r="D1573" i="16"/>
  <c r="C1573" i="16"/>
  <c r="B1573" i="16"/>
  <c r="A1573" i="16"/>
  <c r="J1572" i="16"/>
  <c r="H1572" i="16"/>
  <c r="G1572" i="16"/>
  <c r="F1572" i="16"/>
  <c r="E1572" i="16"/>
  <c r="D1572" i="16"/>
  <c r="C1572" i="16"/>
  <c r="B1572" i="16"/>
  <c r="A1572" i="16"/>
  <c r="J1571" i="16"/>
  <c r="H1571" i="16"/>
  <c r="G1571" i="16"/>
  <c r="F1571" i="16"/>
  <c r="E1571" i="16"/>
  <c r="D1571" i="16"/>
  <c r="C1571" i="16"/>
  <c r="B1571" i="16"/>
  <c r="A1571" i="16"/>
  <c r="J1570" i="16"/>
  <c r="H1570" i="16"/>
  <c r="G1570" i="16"/>
  <c r="F1570" i="16"/>
  <c r="E1570" i="16"/>
  <c r="D1570" i="16"/>
  <c r="C1570" i="16"/>
  <c r="B1570" i="16"/>
  <c r="A1570" i="16"/>
  <c r="J1569" i="16"/>
  <c r="H1569" i="16"/>
  <c r="G1569" i="16"/>
  <c r="F1569" i="16"/>
  <c r="E1569" i="16"/>
  <c r="D1569" i="16"/>
  <c r="C1569" i="16"/>
  <c r="B1569" i="16"/>
  <c r="A1569" i="16"/>
  <c r="J1568" i="16"/>
  <c r="H1568" i="16"/>
  <c r="G1568" i="16"/>
  <c r="F1568" i="16"/>
  <c r="E1568" i="16"/>
  <c r="D1568" i="16"/>
  <c r="C1568" i="16"/>
  <c r="B1568" i="16"/>
  <c r="A1568" i="16"/>
  <c r="J1567" i="16"/>
  <c r="H1567" i="16"/>
  <c r="G1567" i="16"/>
  <c r="F1567" i="16"/>
  <c r="E1567" i="16"/>
  <c r="D1567" i="16"/>
  <c r="C1567" i="16"/>
  <c r="B1567" i="16"/>
  <c r="A1567" i="16"/>
  <c r="J1566" i="16"/>
  <c r="H1566" i="16"/>
  <c r="G1566" i="16"/>
  <c r="F1566" i="16"/>
  <c r="E1566" i="16"/>
  <c r="D1566" i="16"/>
  <c r="C1566" i="16"/>
  <c r="B1566" i="16"/>
  <c r="A1566" i="16"/>
  <c r="J1565" i="16"/>
  <c r="H1565" i="16"/>
  <c r="G1565" i="16"/>
  <c r="F1565" i="16"/>
  <c r="E1565" i="16"/>
  <c r="D1565" i="16"/>
  <c r="C1565" i="16"/>
  <c r="B1565" i="16"/>
  <c r="A1565" i="16"/>
  <c r="J1564" i="16"/>
  <c r="H1564" i="16"/>
  <c r="G1564" i="16"/>
  <c r="F1564" i="16"/>
  <c r="E1564" i="16"/>
  <c r="D1564" i="16"/>
  <c r="C1564" i="16"/>
  <c r="B1564" i="16"/>
  <c r="A1564" i="16"/>
  <c r="J1563" i="16"/>
  <c r="H1563" i="16"/>
  <c r="G1563" i="16"/>
  <c r="F1563" i="16"/>
  <c r="E1563" i="16"/>
  <c r="D1563" i="16"/>
  <c r="C1563" i="16"/>
  <c r="B1563" i="16"/>
  <c r="A1563" i="16"/>
  <c r="J1562" i="16"/>
  <c r="H1562" i="16"/>
  <c r="G1562" i="16"/>
  <c r="F1562" i="16"/>
  <c r="E1562" i="16"/>
  <c r="D1562" i="16"/>
  <c r="C1562" i="16"/>
  <c r="B1562" i="16"/>
  <c r="A1562" i="16"/>
  <c r="J1561" i="16"/>
  <c r="H1561" i="16"/>
  <c r="G1561" i="16"/>
  <c r="F1561" i="16"/>
  <c r="E1561" i="16"/>
  <c r="D1561" i="16"/>
  <c r="C1561" i="16"/>
  <c r="B1561" i="16"/>
  <c r="A1561" i="16"/>
  <c r="J1560" i="16"/>
  <c r="H1560" i="16"/>
  <c r="G1560" i="16"/>
  <c r="F1560" i="16"/>
  <c r="E1560" i="16"/>
  <c r="D1560" i="16"/>
  <c r="C1560" i="16"/>
  <c r="B1560" i="16"/>
  <c r="A1560" i="16"/>
  <c r="J1559" i="16"/>
  <c r="H1559" i="16"/>
  <c r="G1559" i="16"/>
  <c r="F1559" i="16"/>
  <c r="E1559" i="16"/>
  <c r="D1559" i="16"/>
  <c r="C1559" i="16"/>
  <c r="B1559" i="16"/>
  <c r="A1559" i="16"/>
  <c r="J1558" i="16"/>
  <c r="H1558" i="16"/>
  <c r="G1558" i="16"/>
  <c r="F1558" i="16"/>
  <c r="E1558" i="16"/>
  <c r="D1558" i="16"/>
  <c r="C1558" i="16"/>
  <c r="B1558" i="16"/>
  <c r="A1558" i="16"/>
  <c r="J1557" i="16"/>
  <c r="H1557" i="16"/>
  <c r="G1557" i="16"/>
  <c r="F1557" i="16"/>
  <c r="E1557" i="16"/>
  <c r="D1557" i="16"/>
  <c r="C1557" i="16"/>
  <c r="B1557" i="16"/>
  <c r="A1557" i="16"/>
  <c r="J1556" i="16"/>
  <c r="H1556" i="16"/>
  <c r="G1556" i="16"/>
  <c r="F1556" i="16"/>
  <c r="E1556" i="16"/>
  <c r="D1556" i="16"/>
  <c r="C1556" i="16"/>
  <c r="B1556" i="16"/>
  <c r="A1556" i="16"/>
  <c r="J1555" i="16"/>
  <c r="H1555" i="16"/>
  <c r="G1555" i="16"/>
  <c r="F1555" i="16"/>
  <c r="E1555" i="16"/>
  <c r="D1555" i="16"/>
  <c r="C1555" i="16"/>
  <c r="B1555" i="16"/>
  <c r="A1555" i="16"/>
  <c r="J1554" i="16"/>
  <c r="H1554" i="16"/>
  <c r="G1554" i="16"/>
  <c r="F1554" i="16"/>
  <c r="E1554" i="16"/>
  <c r="D1554" i="16"/>
  <c r="C1554" i="16"/>
  <c r="B1554" i="16"/>
  <c r="A1554" i="16"/>
  <c r="J1553" i="16"/>
  <c r="H1553" i="16"/>
  <c r="G1553" i="16"/>
  <c r="F1553" i="16"/>
  <c r="E1553" i="16"/>
  <c r="D1553" i="16"/>
  <c r="C1553" i="16"/>
  <c r="B1553" i="16"/>
  <c r="A1553" i="16"/>
  <c r="J1552" i="16"/>
  <c r="H1552" i="16"/>
  <c r="G1552" i="16"/>
  <c r="F1552" i="16"/>
  <c r="E1552" i="16"/>
  <c r="D1552" i="16"/>
  <c r="C1552" i="16"/>
  <c r="B1552" i="16"/>
  <c r="A1552" i="16"/>
  <c r="J1551" i="16"/>
  <c r="H1551" i="16"/>
  <c r="G1551" i="16"/>
  <c r="F1551" i="16"/>
  <c r="E1551" i="16"/>
  <c r="D1551" i="16"/>
  <c r="C1551" i="16"/>
  <c r="B1551" i="16"/>
  <c r="A1551" i="16"/>
  <c r="J1550" i="16"/>
  <c r="H1550" i="16"/>
  <c r="G1550" i="16"/>
  <c r="F1550" i="16"/>
  <c r="E1550" i="16"/>
  <c r="D1550" i="16"/>
  <c r="C1550" i="16"/>
  <c r="B1550" i="16"/>
  <c r="A1550" i="16"/>
  <c r="J1549" i="16"/>
  <c r="H1549" i="16"/>
  <c r="G1549" i="16"/>
  <c r="F1549" i="16"/>
  <c r="E1549" i="16"/>
  <c r="D1549" i="16"/>
  <c r="C1549" i="16"/>
  <c r="B1549" i="16"/>
  <c r="A1549" i="16"/>
  <c r="J1548" i="16"/>
  <c r="H1548" i="16"/>
  <c r="G1548" i="16"/>
  <c r="F1548" i="16"/>
  <c r="E1548" i="16"/>
  <c r="D1548" i="16"/>
  <c r="C1548" i="16"/>
  <c r="B1548" i="16"/>
  <c r="A1548" i="16"/>
  <c r="J1547" i="16"/>
  <c r="H1547" i="16"/>
  <c r="G1547" i="16"/>
  <c r="F1547" i="16"/>
  <c r="E1547" i="16"/>
  <c r="D1547" i="16"/>
  <c r="C1547" i="16"/>
  <c r="B1547" i="16"/>
  <c r="A1547" i="16"/>
  <c r="J1546" i="16"/>
  <c r="H1546" i="16"/>
  <c r="G1546" i="16"/>
  <c r="F1546" i="16"/>
  <c r="E1546" i="16"/>
  <c r="D1546" i="16"/>
  <c r="C1546" i="16"/>
  <c r="B1546" i="16"/>
  <c r="A1546" i="16"/>
  <c r="J1545" i="16"/>
  <c r="H1545" i="16"/>
  <c r="G1545" i="16"/>
  <c r="F1545" i="16"/>
  <c r="E1545" i="16"/>
  <c r="D1545" i="16"/>
  <c r="C1545" i="16"/>
  <c r="B1545" i="16"/>
  <c r="A1545" i="16"/>
  <c r="J1544" i="16"/>
  <c r="H1544" i="16"/>
  <c r="G1544" i="16"/>
  <c r="F1544" i="16"/>
  <c r="E1544" i="16"/>
  <c r="D1544" i="16"/>
  <c r="C1544" i="16"/>
  <c r="B1544" i="16"/>
  <c r="A1544" i="16"/>
  <c r="J1543" i="16"/>
  <c r="H1543" i="16"/>
  <c r="G1543" i="16"/>
  <c r="F1543" i="16"/>
  <c r="E1543" i="16"/>
  <c r="D1543" i="16"/>
  <c r="C1543" i="16"/>
  <c r="B1543" i="16"/>
  <c r="A1543" i="16"/>
  <c r="J1542" i="16"/>
  <c r="H1542" i="16"/>
  <c r="G1542" i="16"/>
  <c r="F1542" i="16"/>
  <c r="E1542" i="16"/>
  <c r="D1542" i="16"/>
  <c r="C1542" i="16"/>
  <c r="B1542" i="16"/>
  <c r="A1542" i="16"/>
  <c r="J1541" i="16"/>
  <c r="H1541" i="16"/>
  <c r="G1541" i="16"/>
  <c r="F1541" i="16"/>
  <c r="E1541" i="16"/>
  <c r="D1541" i="16"/>
  <c r="C1541" i="16"/>
  <c r="B1541" i="16"/>
  <c r="A1541" i="16"/>
  <c r="J1540" i="16"/>
  <c r="H1540" i="16"/>
  <c r="G1540" i="16"/>
  <c r="F1540" i="16"/>
  <c r="E1540" i="16"/>
  <c r="D1540" i="16"/>
  <c r="C1540" i="16"/>
  <c r="B1540" i="16"/>
  <c r="A1540" i="16"/>
  <c r="J1539" i="16"/>
  <c r="H1539" i="16"/>
  <c r="G1539" i="16"/>
  <c r="F1539" i="16"/>
  <c r="E1539" i="16"/>
  <c r="D1539" i="16"/>
  <c r="C1539" i="16"/>
  <c r="B1539" i="16"/>
  <c r="A1539" i="16"/>
  <c r="J1538" i="16"/>
  <c r="H1538" i="16"/>
  <c r="G1538" i="16"/>
  <c r="F1538" i="16"/>
  <c r="E1538" i="16"/>
  <c r="D1538" i="16"/>
  <c r="C1538" i="16"/>
  <c r="B1538" i="16"/>
  <c r="A1538" i="16"/>
  <c r="J1537" i="16"/>
  <c r="H1537" i="16"/>
  <c r="G1537" i="16"/>
  <c r="F1537" i="16"/>
  <c r="E1537" i="16"/>
  <c r="D1537" i="16"/>
  <c r="C1537" i="16"/>
  <c r="B1537" i="16"/>
  <c r="A1537" i="16"/>
  <c r="J1536" i="16"/>
  <c r="H1536" i="16"/>
  <c r="G1536" i="16"/>
  <c r="F1536" i="16"/>
  <c r="E1536" i="16"/>
  <c r="D1536" i="16"/>
  <c r="C1536" i="16"/>
  <c r="B1536" i="16"/>
  <c r="A1536" i="16"/>
  <c r="J1535" i="16"/>
  <c r="H1535" i="16"/>
  <c r="G1535" i="16"/>
  <c r="F1535" i="16"/>
  <c r="E1535" i="16"/>
  <c r="D1535" i="16"/>
  <c r="C1535" i="16"/>
  <c r="B1535" i="16"/>
  <c r="A1535" i="16"/>
  <c r="J1534" i="16"/>
  <c r="H1534" i="16"/>
  <c r="G1534" i="16"/>
  <c r="F1534" i="16"/>
  <c r="E1534" i="16"/>
  <c r="D1534" i="16"/>
  <c r="C1534" i="16"/>
  <c r="B1534" i="16"/>
  <c r="A1534" i="16"/>
  <c r="J1533" i="16"/>
  <c r="H1533" i="16"/>
  <c r="G1533" i="16"/>
  <c r="F1533" i="16"/>
  <c r="E1533" i="16"/>
  <c r="D1533" i="16"/>
  <c r="C1533" i="16"/>
  <c r="B1533" i="16"/>
  <c r="A1533" i="16"/>
  <c r="J1532" i="16"/>
  <c r="H1532" i="16"/>
  <c r="G1532" i="16"/>
  <c r="F1532" i="16"/>
  <c r="E1532" i="16"/>
  <c r="D1532" i="16"/>
  <c r="C1532" i="16"/>
  <c r="B1532" i="16"/>
  <c r="A1532" i="16"/>
  <c r="J1531" i="16"/>
  <c r="H1531" i="16"/>
  <c r="G1531" i="16"/>
  <c r="F1531" i="16"/>
  <c r="E1531" i="16"/>
  <c r="D1531" i="16"/>
  <c r="C1531" i="16"/>
  <c r="B1531" i="16"/>
  <c r="A1531" i="16"/>
  <c r="J1530" i="16"/>
  <c r="H1530" i="16"/>
  <c r="G1530" i="16"/>
  <c r="F1530" i="16"/>
  <c r="E1530" i="16"/>
  <c r="D1530" i="16"/>
  <c r="C1530" i="16"/>
  <c r="B1530" i="16"/>
  <c r="A1530" i="16"/>
  <c r="J1529" i="16"/>
  <c r="H1529" i="16"/>
  <c r="G1529" i="16"/>
  <c r="F1529" i="16"/>
  <c r="E1529" i="16"/>
  <c r="D1529" i="16"/>
  <c r="C1529" i="16"/>
  <c r="B1529" i="16"/>
  <c r="A1529" i="16"/>
  <c r="J1528" i="16"/>
  <c r="H1528" i="16"/>
  <c r="G1528" i="16"/>
  <c r="F1528" i="16"/>
  <c r="E1528" i="16"/>
  <c r="D1528" i="16"/>
  <c r="C1528" i="16"/>
  <c r="B1528" i="16"/>
  <c r="A1528" i="16"/>
  <c r="J1527" i="16"/>
  <c r="H1527" i="16"/>
  <c r="G1527" i="16"/>
  <c r="F1527" i="16"/>
  <c r="E1527" i="16"/>
  <c r="D1527" i="16"/>
  <c r="C1527" i="16"/>
  <c r="B1527" i="16"/>
  <c r="A1527" i="16"/>
  <c r="J1526" i="16"/>
  <c r="H1526" i="16"/>
  <c r="G1526" i="16"/>
  <c r="F1526" i="16"/>
  <c r="E1526" i="16"/>
  <c r="D1526" i="16"/>
  <c r="C1526" i="16"/>
  <c r="B1526" i="16"/>
  <c r="A1526" i="16"/>
  <c r="J1525" i="16"/>
  <c r="H1525" i="16"/>
  <c r="G1525" i="16"/>
  <c r="F1525" i="16"/>
  <c r="E1525" i="16"/>
  <c r="D1525" i="16"/>
  <c r="C1525" i="16"/>
  <c r="B1525" i="16"/>
  <c r="A1525" i="16"/>
  <c r="J1524" i="16"/>
  <c r="H1524" i="16"/>
  <c r="G1524" i="16"/>
  <c r="F1524" i="16"/>
  <c r="E1524" i="16"/>
  <c r="D1524" i="16"/>
  <c r="C1524" i="16"/>
  <c r="B1524" i="16"/>
  <c r="A1524" i="16"/>
  <c r="J1523" i="16"/>
  <c r="H1523" i="16"/>
  <c r="G1523" i="16"/>
  <c r="F1523" i="16"/>
  <c r="E1523" i="16"/>
  <c r="D1523" i="16"/>
  <c r="C1523" i="16"/>
  <c r="B1523" i="16"/>
  <c r="A1523" i="16"/>
  <c r="J1522" i="16"/>
  <c r="H1522" i="16"/>
  <c r="G1522" i="16"/>
  <c r="F1522" i="16"/>
  <c r="E1522" i="16"/>
  <c r="D1522" i="16"/>
  <c r="C1522" i="16"/>
  <c r="B1522" i="16"/>
  <c r="A1522" i="16"/>
  <c r="J1521" i="16"/>
  <c r="H1521" i="16"/>
  <c r="G1521" i="16"/>
  <c r="F1521" i="16"/>
  <c r="E1521" i="16"/>
  <c r="D1521" i="16"/>
  <c r="C1521" i="16"/>
  <c r="B1521" i="16"/>
  <c r="A1521" i="16"/>
  <c r="J1520" i="16"/>
  <c r="H1520" i="16"/>
  <c r="G1520" i="16"/>
  <c r="F1520" i="16"/>
  <c r="E1520" i="16"/>
  <c r="D1520" i="16"/>
  <c r="C1520" i="16"/>
  <c r="B1520" i="16"/>
  <c r="A1520" i="16"/>
  <c r="J1519" i="16"/>
  <c r="H1519" i="16"/>
  <c r="G1519" i="16"/>
  <c r="F1519" i="16"/>
  <c r="E1519" i="16"/>
  <c r="D1519" i="16"/>
  <c r="C1519" i="16"/>
  <c r="B1519" i="16"/>
  <c r="A1519" i="16"/>
  <c r="J1518" i="16"/>
  <c r="H1518" i="16"/>
  <c r="G1518" i="16"/>
  <c r="F1518" i="16"/>
  <c r="E1518" i="16"/>
  <c r="D1518" i="16"/>
  <c r="C1518" i="16"/>
  <c r="B1518" i="16"/>
  <c r="A1518" i="16"/>
  <c r="J1517" i="16"/>
  <c r="H1517" i="16"/>
  <c r="G1517" i="16"/>
  <c r="F1517" i="16"/>
  <c r="E1517" i="16"/>
  <c r="D1517" i="16"/>
  <c r="C1517" i="16"/>
  <c r="B1517" i="16"/>
  <c r="A1517" i="16"/>
  <c r="J1516" i="16"/>
  <c r="H1516" i="16"/>
  <c r="G1516" i="16"/>
  <c r="F1516" i="16"/>
  <c r="E1516" i="16"/>
  <c r="D1516" i="16"/>
  <c r="C1516" i="16"/>
  <c r="B1516" i="16"/>
  <c r="A1516" i="16"/>
  <c r="J1515" i="16"/>
  <c r="H1515" i="16"/>
  <c r="G1515" i="16"/>
  <c r="F1515" i="16"/>
  <c r="E1515" i="16"/>
  <c r="D1515" i="16"/>
  <c r="C1515" i="16"/>
  <c r="B1515" i="16"/>
  <c r="A1515" i="16"/>
  <c r="J1514" i="16"/>
  <c r="H1514" i="16"/>
  <c r="G1514" i="16"/>
  <c r="F1514" i="16"/>
  <c r="E1514" i="16"/>
  <c r="D1514" i="16"/>
  <c r="C1514" i="16"/>
  <c r="B1514" i="16"/>
  <c r="A1514" i="16"/>
  <c r="J1513" i="16"/>
  <c r="H1513" i="16"/>
  <c r="G1513" i="16"/>
  <c r="F1513" i="16"/>
  <c r="E1513" i="16"/>
  <c r="D1513" i="16"/>
  <c r="C1513" i="16"/>
  <c r="B1513" i="16"/>
  <c r="A1513" i="16"/>
  <c r="J1512" i="16"/>
  <c r="H1512" i="16"/>
  <c r="G1512" i="16"/>
  <c r="F1512" i="16"/>
  <c r="E1512" i="16"/>
  <c r="D1512" i="16"/>
  <c r="C1512" i="16"/>
  <c r="B1512" i="16"/>
  <c r="A1512" i="16"/>
  <c r="J1511" i="16"/>
  <c r="H1511" i="16"/>
  <c r="G1511" i="16"/>
  <c r="F1511" i="16"/>
  <c r="E1511" i="16"/>
  <c r="D1511" i="16"/>
  <c r="C1511" i="16"/>
  <c r="B1511" i="16"/>
  <c r="A1511" i="16"/>
  <c r="J1510" i="16"/>
  <c r="H1510" i="16"/>
  <c r="G1510" i="16"/>
  <c r="F1510" i="16"/>
  <c r="E1510" i="16"/>
  <c r="D1510" i="16"/>
  <c r="C1510" i="16"/>
  <c r="B1510" i="16"/>
  <c r="A1510" i="16"/>
  <c r="J1509" i="16"/>
  <c r="H1509" i="16"/>
  <c r="G1509" i="16"/>
  <c r="F1509" i="16"/>
  <c r="E1509" i="16"/>
  <c r="D1509" i="16"/>
  <c r="C1509" i="16"/>
  <c r="B1509" i="16"/>
  <c r="A1509" i="16"/>
  <c r="J1508" i="16"/>
  <c r="H1508" i="16"/>
  <c r="G1508" i="16"/>
  <c r="F1508" i="16"/>
  <c r="E1508" i="16"/>
  <c r="D1508" i="16"/>
  <c r="C1508" i="16"/>
  <c r="B1508" i="16"/>
  <c r="A1508" i="16"/>
  <c r="J1507" i="16"/>
  <c r="H1507" i="16"/>
  <c r="G1507" i="16"/>
  <c r="F1507" i="16"/>
  <c r="E1507" i="16"/>
  <c r="D1507" i="16"/>
  <c r="C1507" i="16"/>
  <c r="B1507" i="16"/>
  <c r="A1507" i="16"/>
  <c r="J1506" i="16"/>
  <c r="H1506" i="16"/>
  <c r="G1506" i="16"/>
  <c r="F1506" i="16"/>
  <c r="E1506" i="16"/>
  <c r="D1506" i="16"/>
  <c r="C1506" i="16"/>
  <c r="B1506" i="16"/>
  <c r="A1506" i="16"/>
  <c r="J1505" i="16"/>
  <c r="H1505" i="16"/>
  <c r="G1505" i="16"/>
  <c r="F1505" i="16"/>
  <c r="E1505" i="16"/>
  <c r="D1505" i="16"/>
  <c r="C1505" i="16"/>
  <c r="B1505" i="16"/>
  <c r="A1505" i="16"/>
  <c r="J1504" i="16"/>
  <c r="H1504" i="16"/>
  <c r="G1504" i="16"/>
  <c r="F1504" i="16"/>
  <c r="E1504" i="16"/>
  <c r="D1504" i="16"/>
  <c r="C1504" i="16"/>
  <c r="B1504" i="16"/>
  <c r="A1504" i="16"/>
  <c r="J1503" i="16"/>
  <c r="H1503" i="16"/>
  <c r="G1503" i="16"/>
  <c r="F1503" i="16"/>
  <c r="E1503" i="16"/>
  <c r="D1503" i="16"/>
  <c r="C1503" i="16"/>
  <c r="B1503" i="16"/>
  <c r="A1503" i="16"/>
  <c r="J1502" i="16"/>
  <c r="H1502" i="16"/>
  <c r="G1502" i="16"/>
  <c r="F1502" i="16"/>
  <c r="E1502" i="16"/>
  <c r="D1502" i="16"/>
  <c r="C1502" i="16"/>
  <c r="B1502" i="16"/>
  <c r="A1502" i="16"/>
  <c r="J1501" i="16"/>
  <c r="H1501" i="16"/>
  <c r="G1501" i="16"/>
  <c r="F1501" i="16"/>
  <c r="E1501" i="16"/>
  <c r="D1501" i="16"/>
  <c r="C1501" i="16"/>
  <c r="B1501" i="16"/>
  <c r="A1501" i="16"/>
  <c r="J1500" i="16"/>
  <c r="H1500" i="16"/>
  <c r="G1500" i="16"/>
  <c r="F1500" i="16"/>
  <c r="E1500" i="16"/>
  <c r="D1500" i="16"/>
  <c r="C1500" i="16"/>
  <c r="B1500" i="16"/>
  <c r="A1500" i="16"/>
  <c r="J1499" i="16"/>
  <c r="H1499" i="16"/>
  <c r="G1499" i="16"/>
  <c r="F1499" i="16"/>
  <c r="E1499" i="16"/>
  <c r="D1499" i="16"/>
  <c r="C1499" i="16"/>
  <c r="B1499" i="16"/>
  <c r="A1499" i="16"/>
  <c r="J1498" i="16"/>
  <c r="H1498" i="16"/>
  <c r="G1498" i="16"/>
  <c r="F1498" i="16"/>
  <c r="E1498" i="16"/>
  <c r="D1498" i="16"/>
  <c r="C1498" i="16"/>
  <c r="B1498" i="16"/>
  <c r="A1498" i="16"/>
  <c r="J1497" i="16"/>
  <c r="H1497" i="16"/>
  <c r="G1497" i="16"/>
  <c r="F1497" i="16"/>
  <c r="E1497" i="16"/>
  <c r="D1497" i="16"/>
  <c r="C1497" i="16"/>
  <c r="B1497" i="16"/>
  <c r="A1497" i="16"/>
  <c r="J1496" i="16"/>
  <c r="H1496" i="16"/>
  <c r="G1496" i="16"/>
  <c r="F1496" i="16"/>
  <c r="E1496" i="16"/>
  <c r="D1496" i="16"/>
  <c r="C1496" i="16"/>
  <c r="B1496" i="16"/>
  <c r="A1496" i="16"/>
  <c r="J1495" i="16"/>
  <c r="H1495" i="16"/>
  <c r="G1495" i="16"/>
  <c r="F1495" i="16"/>
  <c r="E1495" i="16"/>
  <c r="D1495" i="16"/>
  <c r="C1495" i="16"/>
  <c r="B1495" i="16"/>
  <c r="A1495" i="16"/>
  <c r="J1494" i="16"/>
  <c r="H1494" i="16"/>
  <c r="G1494" i="16"/>
  <c r="F1494" i="16"/>
  <c r="E1494" i="16"/>
  <c r="D1494" i="16"/>
  <c r="C1494" i="16"/>
  <c r="B1494" i="16"/>
  <c r="A1494" i="16"/>
  <c r="J1493" i="16"/>
  <c r="H1493" i="16"/>
  <c r="G1493" i="16"/>
  <c r="F1493" i="16"/>
  <c r="E1493" i="16"/>
  <c r="D1493" i="16"/>
  <c r="C1493" i="16"/>
  <c r="B1493" i="16"/>
  <c r="A1493" i="16"/>
  <c r="J1492" i="16"/>
  <c r="H1492" i="16"/>
  <c r="G1492" i="16"/>
  <c r="F1492" i="16"/>
  <c r="E1492" i="16"/>
  <c r="D1492" i="16"/>
  <c r="C1492" i="16"/>
  <c r="B1492" i="16"/>
  <c r="A1492" i="16"/>
  <c r="J1491" i="16"/>
  <c r="H1491" i="16"/>
  <c r="G1491" i="16"/>
  <c r="F1491" i="16"/>
  <c r="E1491" i="16"/>
  <c r="D1491" i="16"/>
  <c r="C1491" i="16"/>
  <c r="B1491" i="16"/>
  <c r="A1491" i="16"/>
  <c r="J1490" i="16"/>
  <c r="H1490" i="16"/>
  <c r="G1490" i="16"/>
  <c r="F1490" i="16"/>
  <c r="E1490" i="16"/>
  <c r="D1490" i="16"/>
  <c r="C1490" i="16"/>
  <c r="B1490" i="16"/>
  <c r="A1490" i="16"/>
  <c r="J1489" i="16"/>
  <c r="H1489" i="16"/>
  <c r="G1489" i="16"/>
  <c r="F1489" i="16"/>
  <c r="E1489" i="16"/>
  <c r="D1489" i="16"/>
  <c r="C1489" i="16"/>
  <c r="B1489" i="16"/>
  <c r="A1489" i="16"/>
  <c r="J1488" i="16"/>
  <c r="H1488" i="16"/>
  <c r="G1488" i="16"/>
  <c r="F1488" i="16"/>
  <c r="E1488" i="16"/>
  <c r="D1488" i="16"/>
  <c r="C1488" i="16"/>
  <c r="B1488" i="16"/>
  <c r="A1488" i="16"/>
  <c r="J1487" i="16"/>
  <c r="H1487" i="16"/>
  <c r="G1487" i="16"/>
  <c r="F1487" i="16"/>
  <c r="E1487" i="16"/>
  <c r="D1487" i="16"/>
  <c r="C1487" i="16"/>
  <c r="B1487" i="16"/>
  <c r="A1487" i="16"/>
  <c r="J1486" i="16"/>
  <c r="H1486" i="16"/>
  <c r="G1486" i="16"/>
  <c r="F1486" i="16"/>
  <c r="E1486" i="16"/>
  <c r="D1486" i="16"/>
  <c r="C1486" i="16"/>
  <c r="B1486" i="16"/>
  <c r="A1486" i="16"/>
  <c r="J1485" i="16"/>
  <c r="H1485" i="16"/>
  <c r="G1485" i="16"/>
  <c r="F1485" i="16"/>
  <c r="E1485" i="16"/>
  <c r="D1485" i="16"/>
  <c r="C1485" i="16"/>
  <c r="B1485" i="16"/>
  <c r="A1485" i="16"/>
  <c r="J1484" i="16"/>
  <c r="H1484" i="16"/>
  <c r="G1484" i="16"/>
  <c r="F1484" i="16"/>
  <c r="E1484" i="16"/>
  <c r="D1484" i="16"/>
  <c r="C1484" i="16"/>
  <c r="B1484" i="16"/>
  <c r="A1484" i="16"/>
  <c r="J1483" i="16"/>
  <c r="H1483" i="16"/>
  <c r="G1483" i="16"/>
  <c r="F1483" i="16"/>
  <c r="E1483" i="16"/>
  <c r="D1483" i="16"/>
  <c r="C1483" i="16"/>
  <c r="B1483" i="16"/>
  <c r="A1483" i="16"/>
  <c r="J1482" i="16"/>
  <c r="H1482" i="16"/>
  <c r="G1482" i="16"/>
  <c r="F1482" i="16"/>
  <c r="E1482" i="16"/>
  <c r="D1482" i="16"/>
  <c r="C1482" i="16"/>
  <c r="B1482" i="16"/>
  <c r="A1482" i="16"/>
  <c r="J1481" i="16"/>
  <c r="H1481" i="16"/>
  <c r="G1481" i="16"/>
  <c r="F1481" i="16"/>
  <c r="E1481" i="16"/>
  <c r="D1481" i="16"/>
  <c r="C1481" i="16"/>
  <c r="B1481" i="16"/>
  <c r="A1481" i="16"/>
  <c r="J1480" i="16"/>
  <c r="H1480" i="16"/>
  <c r="G1480" i="16"/>
  <c r="F1480" i="16"/>
  <c r="E1480" i="16"/>
  <c r="D1480" i="16"/>
  <c r="C1480" i="16"/>
  <c r="B1480" i="16"/>
  <c r="A1480" i="16"/>
  <c r="J1479" i="16"/>
  <c r="H1479" i="16"/>
  <c r="G1479" i="16"/>
  <c r="F1479" i="16"/>
  <c r="E1479" i="16"/>
  <c r="D1479" i="16"/>
  <c r="C1479" i="16"/>
  <c r="B1479" i="16"/>
  <c r="A1479" i="16"/>
  <c r="J1478" i="16"/>
  <c r="H1478" i="16"/>
  <c r="G1478" i="16"/>
  <c r="F1478" i="16"/>
  <c r="E1478" i="16"/>
  <c r="D1478" i="16"/>
  <c r="C1478" i="16"/>
  <c r="B1478" i="16"/>
  <c r="A1478" i="16"/>
  <c r="J1477" i="16"/>
  <c r="H1477" i="16"/>
  <c r="G1477" i="16"/>
  <c r="F1477" i="16"/>
  <c r="E1477" i="16"/>
  <c r="D1477" i="16"/>
  <c r="C1477" i="16"/>
  <c r="B1477" i="16"/>
  <c r="A1477" i="16"/>
  <c r="J1476" i="16"/>
  <c r="H1476" i="16"/>
  <c r="G1476" i="16"/>
  <c r="F1476" i="16"/>
  <c r="E1476" i="16"/>
  <c r="D1476" i="16"/>
  <c r="C1476" i="16"/>
  <c r="B1476" i="16"/>
  <c r="A1476" i="16"/>
  <c r="J1475" i="16"/>
  <c r="H1475" i="16"/>
  <c r="G1475" i="16"/>
  <c r="F1475" i="16"/>
  <c r="E1475" i="16"/>
  <c r="D1475" i="16"/>
  <c r="C1475" i="16"/>
  <c r="B1475" i="16"/>
  <c r="A1475" i="16"/>
  <c r="J1474" i="16"/>
  <c r="H1474" i="16"/>
  <c r="G1474" i="16"/>
  <c r="F1474" i="16"/>
  <c r="E1474" i="16"/>
  <c r="D1474" i="16"/>
  <c r="C1474" i="16"/>
  <c r="B1474" i="16"/>
  <c r="A1474" i="16"/>
  <c r="J1473" i="16"/>
  <c r="H1473" i="16"/>
  <c r="G1473" i="16"/>
  <c r="F1473" i="16"/>
  <c r="E1473" i="16"/>
  <c r="D1473" i="16"/>
  <c r="C1473" i="16"/>
  <c r="B1473" i="16"/>
  <c r="A1473" i="16"/>
  <c r="J1472" i="16"/>
  <c r="H1472" i="16"/>
  <c r="G1472" i="16"/>
  <c r="F1472" i="16"/>
  <c r="E1472" i="16"/>
  <c r="D1472" i="16"/>
  <c r="C1472" i="16"/>
  <c r="B1472" i="16"/>
  <c r="A1472" i="16"/>
  <c r="J1471" i="16"/>
  <c r="H1471" i="16"/>
  <c r="G1471" i="16"/>
  <c r="F1471" i="16"/>
  <c r="E1471" i="16"/>
  <c r="D1471" i="16"/>
  <c r="C1471" i="16"/>
  <c r="B1471" i="16"/>
  <c r="A1471" i="16"/>
  <c r="J1470" i="16"/>
  <c r="H1470" i="16"/>
  <c r="G1470" i="16"/>
  <c r="F1470" i="16"/>
  <c r="E1470" i="16"/>
  <c r="D1470" i="16"/>
  <c r="C1470" i="16"/>
  <c r="B1470" i="16"/>
  <c r="A1470" i="16"/>
  <c r="J1469" i="16"/>
  <c r="H1469" i="16"/>
  <c r="G1469" i="16"/>
  <c r="F1469" i="16"/>
  <c r="E1469" i="16"/>
  <c r="D1469" i="16"/>
  <c r="C1469" i="16"/>
  <c r="B1469" i="16"/>
  <c r="A1469" i="16"/>
  <c r="J1468" i="16"/>
  <c r="H1468" i="16"/>
  <c r="G1468" i="16"/>
  <c r="F1468" i="16"/>
  <c r="E1468" i="16"/>
  <c r="D1468" i="16"/>
  <c r="C1468" i="16"/>
  <c r="B1468" i="16"/>
  <c r="A1468" i="16"/>
  <c r="J1467" i="16"/>
  <c r="H1467" i="16"/>
  <c r="G1467" i="16"/>
  <c r="F1467" i="16"/>
  <c r="E1467" i="16"/>
  <c r="D1467" i="16"/>
  <c r="C1467" i="16"/>
  <c r="B1467" i="16"/>
  <c r="A1467" i="16"/>
  <c r="J1466" i="16"/>
  <c r="H1466" i="16"/>
  <c r="G1466" i="16"/>
  <c r="F1466" i="16"/>
  <c r="E1466" i="16"/>
  <c r="D1466" i="16"/>
  <c r="C1466" i="16"/>
  <c r="B1466" i="16"/>
  <c r="A1466" i="16"/>
  <c r="J1465" i="16"/>
  <c r="H1465" i="16"/>
  <c r="G1465" i="16"/>
  <c r="F1465" i="16"/>
  <c r="E1465" i="16"/>
  <c r="D1465" i="16"/>
  <c r="C1465" i="16"/>
  <c r="B1465" i="16"/>
  <c r="A1465" i="16"/>
  <c r="J1464" i="16"/>
  <c r="H1464" i="16"/>
  <c r="G1464" i="16"/>
  <c r="F1464" i="16"/>
  <c r="E1464" i="16"/>
  <c r="D1464" i="16"/>
  <c r="C1464" i="16"/>
  <c r="B1464" i="16"/>
  <c r="A1464" i="16"/>
  <c r="J1463" i="16"/>
  <c r="H1463" i="16"/>
  <c r="G1463" i="16"/>
  <c r="F1463" i="16"/>
  <c r="E1463" i="16"/>
  <c r="D1463" i="16"/>
  <c r="C1463" i="16"/>
  <c r="B1463" i="16"/>
  <c r="A1463" i="16"/>
  <c r="J1462" i="16"/>
  <c r="H1462" i="16"/>
  <c r="G1462" i="16"/>
  <c r="F1462" i="16"/>
  <c r="E1462" i="16"/>
  <c r="D1462" i="16"/>
  <c r="C1462" i="16"/>
  <c r="B1462" i="16"/>
  <c r="A1462" i="16"/>
  <c r="J1461" i="16"/>
  <c r="H1461" i="16"/>
  <c r="G1461" i="16"/>
  <c r="F1461" i="16"/>
  <c r="E1461" i="16"/>
  <c r="D1461" i="16"/>
  <c r="C1461" i="16"/>
  <c r="B1461" i="16"/>
  <c r="A1461" i="16"/>
  <c r="J1460" i="16"/>
  <c r="H1460" i="16"/>
  <c r="G1460" i="16"/>
  <c r="F1460" i="16"/>
  <c r="E1460" i="16"/>
  <c r="D1460" i="16"/>
  <c r="C1460" i="16"/>
  <c r="B1460" i="16"/>
  <c r="A1460" i="16"/>
  <c r="J1459" i="16"/>
  <c r="H1459" i="16"/>
  <c r="G1459" i="16"/>
  <c r="F1459" i="16"/>
  <c r="E1459" i="16"/>
  <c r="D1459" i="16"/>
  <c r="C1459" i="16"/>
  <c r="B1459" i="16"/>
  <c r="A1459" i="16"/>
  <c r="J1458" i="16"/>
  <c r="H1458" i="16"/>
  <c r="G1458" i="16"/>
  <c r="F1458" i="16"/>
  <c r="E1458" i="16"/>
  <c r="D1458" i="16"/>
  <c r="C1458" i="16"/>
  <c r="B1458" i="16"/>
  <c r="A1458" i="16"/>
  <c r="J1457" i="16"/>
  <c r="H1457" i="16"/>
  <c r="G1457" i="16"/>
  <c r="F1457" i="16"/>
  <c r="E1457" i="16"/>
  <c r="D1457" i="16"/>
  <c r="C1457" i="16"/>
  <c r="B1457" i="16"/>
  <c r="A1457" i="16"/>
  <c r="J1456" i="16"/>
  <c r="H1456" i="16"/>
  <c r="G1456" i="16"/>
  <c r="F1456" i="16"/>
  <c r="E1456" i="16"/>
  <c r="D1456" i="16"/>
  <c r="C1456" i="16"/>
  <c r="B1456" i="16"/>
  <c r="A1456" i="16"/>
  <c r="J1455" i="16"/>
  <c r="H1455" i="16"/>
  <c r="G1455" i="16"/>
  <c r="F1455" i="16"/>
  <c r="E1455" i="16"/>
  <c r="D1455" i="16"/>
  <c r="C1455" i="16"/>
  <c r="B1455" i="16"/>
  <c r="A1455" i="16"/>
  <c r="J1454" i="16"/>
  <c r="H1454" i="16"/>
  <c r="G1454" i="16"/>
  <c r="F1454" i="16"/>
  <c r="E1454" i="16"/>
  <c r="D1454" i="16"/>
  <c r="C1454" i="16"/>
  <c r="B1454" i="16"/>
  <c r="A1454" i="16"/>
  <c r="J1453" i="16"/>
  <c r="H1453" i="16"/>
  <c r="G1453" i="16"/>
  <c r="F1453" i="16"/>
  <c r="E1453" i="16"/>
  <c r="D1453" i="16"/>
  <c r="C1453" i="16"/>
  <c r="B1453" i="16"/>
  <c r="A1453" i="16"/>
  <c r="J1452" i="16"/>
  <c r="H1452" i="16"/>
  <c r="G1452" i="16"/>
  <c r="F1452" i="16"/>
  <c r="E1452" i="16"/>
  <c r="D1452" i="16"/>
  <c r="C1452" i="16"/>
  <c r="B1452" i="16"/>
  <c r="A1452" i="16"/>
  <c r="J1451" i="16"/>
  <c r="H1451" i="16"/>
  <c r="G1451" i="16"/>
  <c r="F1451" i="16"/>
  <c r="E1451" i="16"/>
  <c r="D1451" i="16"/>
  <c r="C1451" i="16"/>
  <c r="B1451" i="16"/>
  <c r="A1451" i="16"/>
  <c r="J1450" i="16"/>
  <c r="H1450" i="16"/>
  <c r="G1450" i="16"/>
  <c r="F1450" i="16"/>
  <c r="E1450" i="16"/>
  <c r="D1450" i="16"/>
  <c r="C1450" i="16"/>
  <c r="B1450" i="16"/>
  <c r="A1450" i="16"/>
  <c r="J1449" i="16"/>
  <c r="H1449" i="16"/>
  <c r="G1449" i="16"/>
  <c r="F1449" i="16"/>
  <c r="E1449" i="16"/>
  <c r="D1449" i="16"/>
  <c r="C1449" i="16"/>
  <c r="B1449" i="16"/>
  <c r="A1449" i="16"/>
  <c r="J1448" i="16"/>
  <c r="H1448" i="16"/>
  <c r="G1448" i="16"/>
  <c r="F1448" i="16"/>
  <c r="E1448" i="16"/>
  <c r="D1448" i="16"/>
  <c r="C1448" i="16"/>
  <c r="B1448" i="16"/>
  <c r="A1448" i="16"/>
  <c r="J1447" i="16"/>
  <c r="H1447" i="16"/>
  <c r="G1447" i="16"/>
  <c r="F1447" i="16"/>
  <c r="E1447" i="16"/>
  <c r="D1447" i="16"/>
  <c r="C1447" i="16"/>
  <c r="B1447" i="16"/>
  <c r="A1447" i="16"/>
  <c r="J1446" i="16"/>
  <c r="H1446" i="16"/>
  <c r="G1446" i="16"/>
  <c r="F1446" i="16"/>
  <c r="E1446" i="16"/>
  <c r="D1446" i="16"/>
  <c r="C1446" i="16"/>
  <c r="B1446" i="16"/>
  <c r="A1446" i="16"/>
  <c r="J1445" i="16"/>
  <c r="H1445" i="16"/>
  <c r="G1445" i="16"/>
  <c r="F1445" i="16"/>
  <c r="E1445" i="16"/>
  <c r="D1445" i="16"/>
  <c r="C1445" i="16"/>
  <c r="B1445" i="16"/>
  <c r="A1445" i="16"/>
  <c r="J1444" i="16"/>
  <c r="H1444" i="16"/>
  <c r="G1444" i="16"/>
  <c r="F1444" i="16"/>
  <c r="E1444" i="16"/>
  <c r="D1444" i="16"/>
  <c r="C1444" i="16"/>
  <c r="B1444" i="16"/>
  <c r="A1444" i="16"/>
  <c r="J1443" i="16"/>
  <c r="H1443" i="16"/>
  <c r="G1443" i="16"/>
  <c r="F1443" i="16"/>
  <c r="E1443" i="16"/>
  <c r="D1443" i="16"/>
  <c r="C1443" i="16"/>
  <c r="B1443" i="16"/>
  <c r="A1443" i="16"/>
  <c r="J1442" i="16"/>
  <c r="H1442" i="16"/>
  <c r="G1442" i="16"/>
  <c r="F1442" i="16"/>
  <c r="E1442" i="16"/>
  <c r="D1442" i="16"/>
  <c r="C1442" i="16"/>
  <c r="B1442" i="16"/>
  <c r="A1442" i="16"/>
  <c r="J1441" i="16"/>
  <c r="H1441" i="16"/>
  <c r="G1441" i="16"/>
  <c r="F1441" i="16"/>
  <c r="E1441" i="16"/>
  <c r="D1441" i="16"/>
  <c r="C1441" i="16"/>
  <c r="B1441" i="16"/>
  <c r="A1441" i="16"/>
  <c r="J1440" i="16"/>
  <c r="H1440" i="16"/>
  <c r="G1440" i="16"/>
  <c r="F1440" i="16"/>
  <c r="E1440" i="16"/>
  <c r="D1440" i="16"/>
  <c r="C1440" i="16"/>
  <c r="B1440" i="16"/>
  <c r="A1440" i="16"/>
  <c r="J1439" i="16"/>
  <c r="H1439" i="16"/>
  <c r="G1439" i="16"/>
  <c r="F1439" i="16"/>
  <c r="E1439" i="16"/>
  <c r="D1439" i="16"/>
  <c r="C1439" i="16"/>
  <c r="B1439" i="16"/>
  <c r="A1439" i="16"/>
  <c r="J1438" i="16"/>
  <c r="H1438" i="16"/>
  <c r="G1438" i="16"/>
  <c r="F1438" i="16"/>
  <c r="E1438" i="16"/>
  <c r="D1438" i="16"/>
  <c r="C1438" i="16"/>
  <c r="B1438" i="16"/>
  <c r="A1438" i="16"/>
  <c r="J1437" i="16"/>
  <c r="H1437" i="16"/>
  <c r="G1437" i="16"/>
  <c r="F1437" i="16"/>
  <c r="E1437" i="16"/>
  <c r="D1437" i="16"/>
  <c r="C1437" i="16"/>
  <c r="B1437" i="16"/>
  <c r="A1437" i="16"/>
  <c r="J1436" i="16"/>
  <c r="H1436" i="16"/>
  <c r="G1436" i="16"/>
  <c r="F1436" i="16"/>
  <c r="E1436" i="16"/>
  <c r="D1436" i="16"/>
  <c r="C1436" i="16"/>
  <c r="B1436" i="16"/>
  <c r="A1436" i="16"/>
  <c r="J1435" i="16"/>
  <c r="H1435" i="16"/>
  <c r="G1435" i="16"/>
  <c r="F1435" i="16"/>
  <c r="E1435" i="16"/>
  <c r="D1435" i="16"/>
  <c r="C1435" i="16"/>
  <c r="B1435" i="16"/>
  <c r="A1435" i="16"/>
  <c r="J1434" i="16"/>
  <c r="H1434" i="16"/>
  <c r="G1434" i="16"/>
  <c r="F1434" i="16"/>
  <c r="E1434" i="16"/>
  <c r="D1434" i="16"/>
  <c r="C1434" i="16"/>
  <c r="B1434" i="16"/>
  <c r="A1434" i="16"/>
  <c r="J1433" i="16"/>
  <c r="H1433" i="16"/>
  <c r="G1433" i="16"/>
  <c r="F1433" i="16"/>
  <c r="E1433" i="16"/>
  <c r="D1433" i="16"/>
  <c r="C1433" i="16"/>
  <c r="B1433" i="16"/>
  <c r="A1433" i="16"/>
  <c r="J1432" i="16"/>
  <c r="H1432" i="16"/>
  <c r="G1432" i="16"/>
  <c r="F1432" i="16"/>
  <c r="E1432" i="16"/>
  <c r="D1432" i="16"/>
  <c r="C1432" i="16"/>
  <c r="B1432" i="16"/>
  <c r="A1432" i="16"/>
  <c r="J1431" i="16"/>
  <c r="H1431" i="16"/>
  <c r="G1431" i="16"/>
  <c r="F1431" i="16"/>
  <c r="E1431" i="16"/>
  <c r="D1431" i="16"/>
  <c r="C1431" i="16"/>
  <c r="B1431" i="16"/>
  <c r="A1431" i="16"/>
  <c r="J1430" i="16"/>
  <c r="H1430" i="16"/>
  <c r="G1430" i="16"/>
  <c r="F1430" i="16"/>
  <c r="E1430" i="16"/>
  <c r="D1430" i="16"/>
  <c r="C1430" i="16"/>
  <c r="B1430" i="16"/>
  <c r="A1430" i="16"/>
  <c r="J1429" i="16"/>
  <c r="H1429" i="16"/>
  <c r="G1429" i="16"/>
  <c r="F1429" i="16"/>
  <c r="E1429" i="16"/>
  <c r="D1429" i="16"/>
  <c r="C1429" i="16"/>
  <c r="B1429" i="16"/>
  <c r="A1429" i="16"/>
  <c r="J1428" i="16"/>
  <c r="H1428" i="16"/>
  <c r="G1428" i="16"/>
  <c r="F1428" i="16"/>
  <c r="E1428" i="16"/>
  <c r="D1428" i="16"/>
  <c r="C1428" i="16"/>
  <c r="B1428" i="16"/>
  <c r="A1428" i="16"/>
  <c r="J1427" i="16"/>
  <c r="H1427" i="16"/>
  <c r="G1427" i="16"/>
  <c r="F1427" i="16"/>
  <c r="E1427" i="16"/>
  <c r="D1427" i="16"/>
  <c r="C1427" i="16"/>
  <c r="B1427" i="16"/>
  <c r="A1427" i="16"/>
  <c r="J1426" i="16"/>
  <c r="H1426" i="16"/>
  <c r="G1426" i="16"/>
  <c r="F1426" i="16"/>
  <c r="E1426" i="16"/>
  <c r="D1426" i="16"/>
  <c r="C1426" i="16"/>
  <c r="B1426" i="16"/>
  <c r="A1426" i="16"/>
  <c r="J1425" i="16"/>
  <c r="H1425" i="16"/>
  <c r="G1425" i="16"/>
  <c r="F1425" i="16"/>
  <c r="E1425" i="16"/>
  <c r="D1425" i="16"/>
  <c r="C1425" i="16"/>
  <c r="B1425" i="16"/>
  <c r="A1425" i="16"/>
  <c r="J1424" i="16"/>
  <c r="H1424" i="16"/>
  <c r="G1424" i="16"/>
  <c r="F1424" i="16"/>
  <c r="E1424" i="16"/>
  <c r="D1424" i="16"/>
  <c r="C1424" i="16"/>
  <c r="B1424" i="16"/>
  <c r="A1424" i="16"/>
  <c r="J1423" i="16"/>
  <c r="H1423" i="16"/>
  <c r="G1423" i="16"/>
  <c r="F1423" i="16"/>
  <c r="E1423" i="16"/>
  <c r="D1423" i="16"/>
  <c r="C1423" i="16"/>
  <c r="B1423" i="16"/>
  <c r="A1423" i="16"/>
  <c r="J1422" i="16"/>
  <c r="H1422" i="16"/>
  <c r="G1422" i="16"/>
  <c r="F1422" i="16"/>
  <c r="E1422" i="16"/>
  <c r="D1422" i="16"/>
  <c r="C1422" i="16"/>
  <c r="B1422" i="16"/>
  <c r="A1422" i="16"/>
  <c r="J1421" i="16"/>
  <c r="H1421" i="16"/>
  <c r="G1421" i="16"/>
  <c r="F1421" i="16"/>
  <c r="E1421" i="16"/>
  <c r="D1421" i="16"/>
  <c r="C1421" i="16"/>
  <c r="B1421" i="16"/>
  <c r="A1421" i="16"/>
  <c r="J1420" i="16"/>
  <c r="H1420" i="16"/>
  <c r="G1420" i="16"/>
  <c r="F1420" i="16"/>
  <c r="E1420" i="16"/>
  <c r="D1420" i="16"/>
  <c r="C1420" i="16"/>
  <c r="B1420" i="16"/>
  <c r="A1420" i="16"/>
  <c r="J1419" i="16"/>
  <c r="H1419" i="16"/>
  <c r="G1419" i="16"/>
  <c r="F1419" i="16"/>
  <c r="E1419" i="16"/>
  <c r="D1419" i="16"/>
  <c r="C1419" i="16"/>
  <c r="B1419" i="16"/>
  <c r="A1419" i="16"/>
  <c r="J1418" i="16"/>
  <c r="H1418" i="16"/>
  <c r="G1418" i="16"/>
  <c r="F1418" i="16"/>
  <c r="E1418" i="16"/>
  <c r="D1418" i="16"/>
  <c r="C1418" i="16"/>
  <c r="B1418" i="16"/>
  <c r="A1418" i="16"/>
  <c r="J1417" i="16"/>
  <c r="H1417" i="16"/>
  <c r="G1417" i="16"/>
  <c r="F1417" i="16"/>
  <c r="E1417" i="16"/>
  <c r="D1417" i="16"/>
  <c r="C1417" i="16"/>
  <c r="B1417" i="16"/>
  <c r="A1417" i="16"/>
  <c r="J1416" i="16"/>
  <c r="H1416" i="16"/>
  <c r="G1416" i="16"/>
  <c r="F1416" i="16"/>
  <c r="E1416" i="16"/>
  <c r="D1416" i="16"/>
  <c r="C1416" i="16"/>
  <c r="B1416" i="16"/>
  <c r="A1416" i="16"/>
  <c r="J1415" i="16"/>
  <c r="H1415" i="16"/>
  <c r="G1415" i="16"/>
  <c r="F1415" i="16"/>
  <c r="E1415" i="16"/>
  <c r="D1415" i="16"/>
  <c r="C1415" i="16"/>
  <c r="B1415" i="16"/>
  <c r="A1415" i="16"/>
  <c r="J1414" i="16"/>
  <c r="H1414" i="16"/>
  <c r="G1414" i="16"/>
  <c r="F1414" i="16"/>
  <c r="E1414" i="16"/>
  <c r="D1414" i="16"/>
  <c r="C1414" i="16"/>
  <c r="B1414" i="16"/>
  <c r="A1414" i="16"/>
  <c r="J1413" i="16"/>
  <c r="H1413" i="16"/>
  <c r="G1413" i="16"/>
  <c r="F1413" i="16"/>
  <c r="E1413" i="16"/>
  <c r="D1413" i="16"/>
  <c r="C1413" i="16"/>
  <c r="B1413" i="16"/>
  <c r="A1413" i="16"/>
  <c r="J1412" i="16"/>
  <c r="H1412" i="16"/>
  <c r="G1412" i="16"/>
  <c r="F1412" i="16"/>
  <c r="E1412" i="16"/>
  <c r="D1412" i="16"/>
  <c r="C1412" i="16"/>
  <c r="B1412" i="16"/>
  <c r="A1412" i="16"/>
  <c r="J1411" i="16"/>
  <c r="H1411" i="16"/>
  <c r="G1411" i="16"/>
  <c r="F1411" i="16"/>
  <c r="E1411" i="16"/>
  <c r="D1411" i="16"/>
  <c r="C1411" i="16"/>
  <c r="B1411" i="16"/>
  <c r="A1411" i="16"/>
  <c r="J1410" i="16"/>
  <c r="H1410" i="16"/>
  <c r="G1410" i="16"/>
  <c r="F1410" i="16"/>
  <c r="E1410" i="16"/>
  <c r="D1410" i="16"/>
  <c r="C1410" i="16"/>
  <c r="B1410" i="16"/>
  <c r="A1410" i="16"/>
  <c r="J1409" i="16"/>
  <c r="H1409" i="16"/>
  <c r="G1409" i="16"/>
  <c r="F1409" i="16"/>
  <c r="E1409" i="16"/>
  <c r="D1409" i="16"/>
  <c r="C1409" i="16"/>
  <c r="B1409" i="16"/>
  <c r="A1409" i="16"/>
  <c r="J1408" i="16"/>
  <c r="H1408" i="16"/>
  <c r="G1408" i="16"/>
  <c r="F1408" i="16"/>
  <c r="E1408" i="16"/>
  <c r="D1408" i="16"/>
  <c r="C1408" i="16"/>
  <c r="B1408" i="16"/>
  <c r="A1408" i="16"/>
  <c r="J1407" i="16"/>
  <c r="H1407" i="16"/>
  <c r="G1407" i="16"/>
  <c r="F1407" i="16"/>
  <c r="E1407" i="16"/>
  <c r="D1407" i="16"/>
  <c r="C1407" i="16"/>
  <c r="B1407" i="16"/>
  <c r="A1407" i="16"/>
  <c r="J1406" i="16"/>
  <c r="H1406" i="16"/>
  <c r="G1406" i="16"/>
  <c r="F1406" i="16"/>
  <c r="E1406" i="16"/>
  <c r="D1406" i="16"/>
  <c r="C1406" i="16"/>
  <c r="B1406" i="16"/>
  <c r="A1406" i="16"/>
  <c r="J1405" i="16"/>
  <c r="H1405" i="16"/>
  <c r="G1405" i="16"/>
  <c r="F1405" i="16"/>
  <c r="E1405" i="16"/>
  <c r="D1405" i="16"/>
  <c r="C1405" i="16"/>
  <c r="B1405" i="16"/>
  <c r="A1405" i="16"/>
  <c r="J1404" i="16"/>
  <c r="H1404" i="16"/>
  <c r="G1404" i="16"/>
  <c r="F1404" i="16"/>
  <c r="E1404" i="16"/>
  <c r="D1404" i="16"/>
  <c r="C1404" i="16"/>
  <c r="B1404" i="16"/>
  <c r="A1404" i="16"/>
  <c r="J1403" i="16"/>
  <c r="H1403" i="16"/>
  <c r="G1403" i="16"/>
  <c r="F1403" i="16"/>
  <c r="E1403" i="16"/>
  <c r="D1403" i="16"/>
  <c r="C1403" i="16"/>
  <c r="B1403" i="16"/>
  <c r="A1403" i="16"/>
  <c r="J1402" i="16"/>
  <c r="H1402" i="16"/>
  <c r="G1402" i="16"/>
  <c r="F1402" i="16"/>
  <c r="E1402" i="16"/>
  <c r="D1402" i="16"/>
  <c r="C1402" i="16"/>
  <c r="B1402" i="16"/>
  <c r="A1402" i="16"/>
  <c r="J1401" i="16"/>
  <c r="H1401" i="16"/>
  <c r="G1401" i="16"/>
  <c r="F1401" i="16"/>
  <c r="E1401" i="16"/>
  <c r="D1401" i="16"/>
  <c r="C1401" i="16"/>
  <c r="B1401" i="16"/>
  <c r="A1401" i="16"/>
  <c r="J1400" i="16"/>
  <c r="H1400" i="16"/>
  <c r="G1400" i="16"/>
  <c r="F1400" i="16"/>
  <c r="E1400" i="16"/>
  <c r="D1400" i="16"/>
  <c r="C1400" i="16"/>
  <c r="B1400" i="16"/>
  <c r="A1400" i="16"/>
  <c r="J1399" i="16"/>
  <c r="H1399" i="16"/>
  <c r="G1399" i="16"/>
  <c r="F1399" i="16"/>
  <c r="E1399" i="16"/>
  <c r="D1399" i="16"/>
  <c r="C1399" i="16"/>
  <c r="B1399" i="16"/>
  <c r="A1399" i="16"/>
  <c r="J1398" i="16"/>
  <c r="H1398" i="16"/>
  <c r="G1398" i="16"/>
  <c r="F1398" i="16"/>
  <c r="E1398" i="16"/>
  <c r="D1398" i="16"/>
  <c r="C1398" i="16"/>
  <c r="B1398" i="16"/>
  <c r="A1398" i="16"/>
  <c r="J1397" i="16"/>
  <c r="F1397" i="16"/>
  <c r="E1397" i="16"/>
  <c r="D1397" i="16"/>
  <c r="C1397" i="16"/>
  <c r="B1397" i="16"/>
  <c r="A1397" i="16"/>
  <c r="J1396" i="16"/>
  <c r="F1396" i="16"/>
  <c r="E1396" i="16"/>
  <c r="D1396" i="16"/>
  <c r="C1396" i="16"/>
  <c r="B1396" i="16"/>
  <c r="A1396" i="16"/>
  <c r="J1395" i="16"/>
  <c r="F1395" i="16"/>
  <c r="E1395" i="16"/>
  <c r="D1395" i="16"/>
  <c r="C1395" i="16"/>
  <c r="B1395" i="16"/>
  <c r="A1395" i="16"/>
  <c r="J1394" i="16"/>
  <c r="F1394" i="16"/>
  <c r="E1394" i="16"/>
  <c r="D1394" i="16"/>
  <c r="C1394" i="16"/>
  <c r="B1394" i="16"/>
  <c r="A1394" i="16"/>
  <c r="J1393" i="16"/>
  <c r="F1393" i="16"/>
  <c r="E1393" i="16"/>
  <c r="D1393" i="16"/>
  <c r="C1393" i="16"/>
  <c r="B1393" i="16"/>
  <c r="A1393" i="16"/>
  <c r="J1392" i="16"/>
  <c r="F1392" i="16"/>
  <c r="E1392" i="16"/>
  <c r="D1392" i="16"/>
  <c r="C1392" i="16"/>
  <c r="B1392" i="16"/>
  <c r="A1392" i="16"/>
  <c r="J1391" i="16"/>
  <c r="F1391" i="16"/>
  <c r="E1391" i="16"/>
  <c r="D1391" i="16"/>
  <c r="C1391" i="16"/>
  <c r="B1391" i="16"/>
  <c r="A1391" i="16"/>
  <c r="J1390" i="16"/>
  <c r="F1390" i="16"/>
  <c r="E1390" i="16"/>
  <c r="D1390" i="16"/>
  <c r="C1390" i="16"/>
  <c r="B1390" i="16"/>
  <c r="A1390" i="16"/>
  <c r="J1389" i="16"/>
  <c r="F1389" i="16"/>
  <c r="E1389" i="16"/>
  <c r="D1389" i="16"/>
  <c r="C1389" i="16"/>
  <c r="B1389" i="16"/>
  <c r="A1389" i="16"/>
  <c r="J1388" i="16"/>
  <c r="F1388" i="16"/>
  <c r="E1388" i="16"/>
  <c r="D1388" i="16"/>
  <c r="C1388" i="16"/>
  <c r="B1388" i="16"/>
  <c r="A1388" i="16"/>
  <c r="J1387" i="16"/>
  <c r="F1387" i="16"/>
  <c r="E1387" i="16"/>
  <c r="D1387" i="16"/>
  <c r="C1387" i="16"/>
  <c r="B1387" i="16"/>
  <c r="A1387" i="16"/>
  <c r="J1386" i="16"/>
  <c r="F1386" i="16"/>
  <c r="E1386" i="16"/>
  <c r="D1386" i="16"/>
  <c r="C1386" i="16"/>
  <c r="B1386" i="16"/>
  <c r="A1386" i="16"/>
  <c r="J1385" i="16"/>
  <c r="F1385" i="16"/>
  <c r="E1385" i="16"/>
  <c r="D1385" i="16"/>
  <c r="C1385" i="16"/>
  <c r="B1385" i="16"/>
  <c r="A1385" i="16"/>
  <c r="J1384" i="16"/>
  <c r="F1384" i="16"/>
  <c r="E1384" i="16"/>
  <c r="D1384" i="16"/>
  <c r="C1384" i="16"/>
  <c r="B1384" i="16"/>
  <c r="A1384" i="16"/>
  <c r="J1383" i="16"/>
  <c r="H1383" i="16"/>
  <c r="G1383" i="16"/>
  <c r="F1383" i="16"/>
  <c r="E1383" i="16"/>
  <c r="D1383" i="16"/>
  <c r="C1383" i="16"/>
  <c r="B1383" i="16"/>
  <c r="A1383" i="16"/>
  <c r="J1382" i="16"/>
  <c r="H1382" i="16"/>
  <c r="G1382" i="16"/>
  <c r="F1382" i="16"/>
  <c r="E1382" i="16"/>
  <c r="D1382" i="16"/>
  <c r="C1382" i="16"/>
  <c r="B1382" i="16"/>
  <c r="A1382" i="16"/>
  <c r="J1381" i="16"/>
  <c r="H1381" i="16"/>
  <c r="G1381" i="16"/>
  <c r="F1381" i="16"/>
  <c r="E1381" i="16"/>
  <c r="D1381" i="16"/>
  <c r="C1381" i="16"/>
  <c r="B1381" i="16"/>
  <c r="A1381" i="16"/>
  <c r="J1380" i="16"/>
  <c r="H1380" i="16"/>
  <c r="G1380" i="16"/>
  <c r="F1380" i="16"/>
  <c r="E1380" i="16"/>
  <c r="D1380" i="16"/>
  <c r="C1380" i="16"/>
  <c r="B1380" i="16"/>
  <c r="A1380" i="16"/>
  <c r="J1379" i="16"/>
  <c r="H1379" i="16"/>
  <c r="G1379" i="16"/>
  <c r="F1379" i="16"/>
  <c r="E1379" i="16"/>
  <c r="D1379" i="16"/>
  <c r="C1379" i="16"/>
  <c r="B1379" i="16"/>
  <c r="A1379" i="16"/>
  <c r="J1378" i="16"/>
  <c r="H1378" i="16"/>
  <c r="G1378" i="16"/>
  <c r="F1378" i="16"/>
  <c r="E1378" i="16"/>
  <c r="D1378" i="16"/>
  <c r="C1378" i="16"/>
  <c r="B1378" i="16"/>
  <c r="A1378" i="16"/>
  <c r="J1377" i="16"/>
  <c r="H1377" i="16"/>
  <c r="G1377" i="16"/>
  <c r="F1377" i="16"/>
  <c r="E1377" i="16"/>
  <c r="D1377" i="16"/>
  <c r="C1377" i="16"/>
  <c r="B1377" i="16"/>
  <c r="A1377" i="16"/>
  <c r="J1376" i="16"/>
  <c r="H1376" i="16"/>
  <c r="G1376" i="16"/>
  <c r="F1376" i="16"/>
  <c r="E1376" i="16"/>
  <c r="D1376" i="16"/>
  <c r="C1376" i="16"/>
  <c r="B1376" i="16"/>
  <c r="A1376" i="16"/>
  <c r="J1375" i="16"/>
  <c r="H1375" i="16"/>
  <c r="G1375" i="16"/>
  <c r="F1375" i="16"/>
  <c r="E1375" i="16"/>
  <c r="D1375" i="16"/>
  <c r="C1375" i="16"/>
  <c r="B1375" i="16"/>
  <c r="A1375" i="16"/>
  <c r="J1374" i="16"/>
  <c r="H1374" i="16"/>
  <c r="G1374" i="16"/>
  <c r="F1374" i="16"/>
  <c r="E1374" i="16"/>
  <c r="D1374" i="16"/>
  <c r="C1374" i="16"/>
  <c r="B1374" i="16"/>
  <c r="A1374" i="16"/>
  <c r="J1373" i="16"/>
  <c r="H1373" i="16"/>
  <c r="G1373" i="16"/>
  <c r="F1373" i="16"/>
  <c r="E1373" i="16"/>
  <c r="D1373" i="16"/>
  <c r="C1373" i="16"/>
  <c r="B1373" i="16"/>
  <c r="A1373" i="16"/>
  <c r="J1372" i="16"/>
  <c r="H1372" i="16"/>
  <c r="G1372" i="16"/>
  <c r="F1372" i="16"/>
  <c r="E1372" i="16"/>
  <c r="D1372" i="16"/>
  <c r="C1372" i="16"/>
  <c r="B1372" i="16"/>
  <c r="A1372" i="16"/>
  <c r="J1371" i="16"/>
  <c r="H1371" i="16"/>
  <c r="G1371" i="16"/>
  <c r="F1371" i="16"/>
  <c r="E1371" i="16"/>
  <c r="D1371" i="16"/>
  <c r="C1371" i="16"/>
  <c r="B1371" i="16"/>
  <c r="A1371" i="16"/>
  <c r="J1370" i="16"/>
  <c r="H1370" i="16"/>
  <c r="G1370" i="16"/>
  <c r="F1370" i="16"/>
  <c r="E1370" i="16"/>
  <c r="D1370" i="16"/>
  <c r="C1370" i="16"/>
  <c r="B1370" i="16"/>
  <c r="A1370" i="16"/>
  <c r="J1369" i="16"/>
  <c r="H1369" i="16"/>
  <c r="G1369" i="16"/>
  <c r="F1369" i="16"/>
  <c r="E1369" i="16"/>
  <c r="D1369" i="16"/>
  <c r="C1369" i="16"/>
  <c r="B1369" i="16"/>
  <c r="A1369" i="16"/>
  <c r="J1368" i="16"/>
  <c r="H1368" i="16"/>
  <c r="G1368" i="16"/>
  <c r="F1368" i="16"/>
  <c r="E1368" i="16"/>
  <c r="D1368" i="16"/>
  <c r="C1368" i="16"/>
  <c r="B1368" i="16"/>
  <c r="A1368" i="16"/>
  <c r="J1367" i="16"/>
  <c r="H1367" i="16"/>
  <c r="G1367" i="16"/>
  <c r="F1367" i="16"/>
  <c r="E1367" i="16"/>
  <c r="D1367" i="16"/>
  <c r="C1367" i="16"/>
  <c r="B1367" i="16"/>
  <c r="A1367" i="16"/>
  <c r="J1366" i="16"/>
  <c r="H1366" i="16"/>
  <c r="G1366" i="16"/>
  <c r="F1366" i="16"/>
  <c r="E1366" i="16"/>
  <c r="D1366" i="16"/>
  <c r="C1366" i="16"/>
  <c r="B1366" i="16"/>
  <c r="A1366" i="16"/>
  <c r="J1365" i="16"/>
  <c r="H1365" i="16"/>
  <c r="G1365" i="16"/>
  <c r="F1365" i="16"/>
  <c r="E1365" i="16"/>
  <c r="D1365" i="16"/>
  <c r="C1365" i="16"/>
  <c r="B1365" i="16"/>
  <c r="A1365" i="16"/>
  <c r="J1364" i="16"/>
  <c r="H1364" i="16"/>
  <c r="G1364" i="16"/>
  <c r="F1364" i="16"/>
  <c r="E1364" i="16"/>
  <c r="D1364" i="16"/>
  <c r="C1364" i="16"/>
  <c r="B1364" i="16"/>
  <c r="A1364" i="16"/>
  <c r="J1363" i="16"/>
  <c r="H1363" i="16"/>
  <c r="G1363" i="16"/>
  <c r="F1363" i="16"/>
  <c r="E1363" i="16"/>
  <c r="D1363" i="16"/>
  <c r="C1363" i="16"/>
  <c r="B1363" i="16"/>
  <c r="A1363" i="16"/>
  <c r="J1362" i="16"/>
  <c r="H1362" i="16"/>
  <c r="G1362" i="16"/>
  <c r="F1362" i="16"/>
  <c r="E1362" i="16"/>
  <c r="D1362" i="16"/>
  <c r="C1362" i="16"/>
  <c r="B1362" i="16"/>
  <c r="A1362" i="16"/>
  <c r="J1361" i="16"/>
  <c r="H1361" i="16"/>
  <c r="G1361" i="16"/>
  <c r="F1361" i="16"/>
  <c r="E1361" i="16"/>
  <c r="D1361" i="16"/>
  <c r="C1361" i="16"/>
  <c r="B1361" i="16"/>
  <c r="A1361" i="16"/>
  <c r="J1360" i="16"/>
  <c r="H1360" i="16"/>
  <c r="G1360" i="16"/>
  <c r="F1360" i="16"/>
  <c r="E1360" i="16"/>
  <c r="D1360" i="16"/>
  <c r="C1360" i="16"/>
  <c r="B1360" i="16"/>
  <c r="A1360" i="16"/>
  <c r="J1359" i="16"/>
  <c r="H1359" i="16"/>
  <c r="G1359" i="16"/>
  <c r="F1359" i="16"/>
  <c r="E1359" i="16"/>
  <c r="D1359" i="16"/>
  <c r="C1359" i="16"/>
  <c r="B1359" i="16"/>
  <c r="A1359" i="16"/>
  <c r="J1358" i="16"/>
  <c r="H1358" i="16"/>
  <c r="G1358" i="16"/>
  <c r="F1358" i="16"/>
  <c r="E1358" i="16"/>
  <c r="D1358" i="16"/>
  <c r="C1358" i="16"/>
  <c r="B1358" i="16"/>
  <c r="A1358" i="16"/>
  <c r="J1357" i="16"/>
  <c r="H1357" i="16"/>
  <c r="G1357" i="16"/>
  <c r="F1357" i="16"/>
  <c r="E1357" i="16"/>
  <c r="D1357" i="16"/>
  <c r="C1357" i="16"/>
  <c r="B1357" i="16"/>
  <c r="A1357" i="16"/>
  <c r="J1356" i="16"/>
  <c r="H1356" i="16"/>
  <c r="G1356" i="16"/>
  <c r="F1356" i="16"/>
  <c r="E1356" i="16"/>
  <c r="D1356" i="16"/>
  <c r="C1356" i="16"/>
  <c r="B1356" i="16"/>
  <c r="A1356" i="16"/>
  <c r="J1355" i="16"/>
  <c r="H1355" i="16"/>
  <c r="G1355" i="16"/>
  <c r="F1355" i="16"/>
  <c r="E1355" i="16"/>
  <c r="D1355" i="16"/>
  <c r="C1355" i="16"/>
  <c r="B1355" i="16"/>
  <c r="A1355" i="16"/>
  <c r="J1354" i="16"/>
  <c r="H1354" i="16"/>
  <c r="G1354" i="16"/>
  <c r="F1354" i="16"/>
  <c r="E1354" i="16"/>
  <c r="D1354" i="16"/>
  <c r="C1354" i="16"/>
  <c r="B1354" i="16"/>
  <c r="A1354" i="16"/>
  <c r="J1353" i="16"/>
  <c r="H1353" i="16"/>
  <c r="G1353" i="16"/>
  <c r="F1353" i="16"/>
  <c r="E1353" i="16"/>
  <c r="D1353" i="16"/>
  <c r="C1353" i="16"/>
  <c r="B1353" i="16"/>
  <c r="A1353" i="16"/>
  <c r="J1352" i="16"/>
  <c r="H1352" i="16"/>
  <c r="G1352" i="16"/>
  <c r="F1352" i="16"/>
  <c r="E1352" i="16"/>
  <c r="D1352" i="16"/>
  <c r="C1352" i="16"/>
  <c r="B1352" i="16"/>
  <c r="A1352" i="16"/>
  <c r="J1351" i="16"/>
  <c r="H1351" i="16"/>
  <c r="G1351" i="16"/>
  <c r="F1351" i="16"/>
  <c r="E1351" i="16"/>
  <c r="D1351" i="16"/>
  <c r="C1351" i="16"/>
  <c r="B1351" i="16"/>
  <c r="A1351" i="16"/>
  <c r="J1350" i="16"/>
  <c r="H1350" i="16"/>
  <c r="G1350" i="16"/>
  <c r="F1350" i="16"/>
  <c r="E1350" i="16"/>
  <c r="D1350" i="16"/>
  <c r="C1350" i="16"/>
  <c r="B1350" i="16"/>
  <c r="A1350" i="16"/>
  <c r="J1349" i="16"/>
  <c r="H1349" i="16"/>
  <c r="G1349" i="16"/>
  <c r="F1349" i="16"/>
  <c r="E1349" i="16"/>
  <c r="D1349" i="16"/>
  <c r="C1349" i="16"/>
  <c r="B1349" i="16"/>
  <c r="A1349" i="16"/>
  <c r="J1348" i="16"/>
  <c r="H1348" i="16"/>
  <c r="G1348" i="16"/>
  <c r="F1348" i="16"/>
  <c r="E1348" i="16"/>
  <c r="D1348" i="16"/>
  <c r="C1348" i="16"/>
  <c r="B1348" i="16"/>
  <c r="A1348" i="16"/>
  <c r="J1347" i="16"/>
  <c r="F1347" i="16"/>
  <c r="E1347" i="16"/>
  <c r="D1347" i="16"/>
  <c r="C1347" i="16"/>
  <c r="B1347" i="16"/>
  <c r="A1347" i="16"/>
  <c r="J1346" i="16"/>
  <c r="F1346" i="16"/>
  <c r="E1346" i="16"/>
  <c r="D1346" i="16"/>
  <c r="C1346" i="16"/>
  <c r="B1346" i="16"/>
  <c r="A1346" i="16"/>
  <c r="J1345" i="16"/>
  <c r="F1345" i="16"/>
  <c r="E1345" i="16"/>
  <c r="D1345" i="16"/>
  <c r="C1345" i="16"/>
  <c r="B1345" i="16"/>
  <c r="A1345" i="16"/>
  <c r="J1344" i="16"/>
  <c r="F1344" i="16"/>
  <c r="E1344" i="16"/>
  <c r="D1344" i="16"/>
  <c r="C1344" i="16"/>
  <c r="B1344" i="16"/>
  <c r="A1344" i="16"/>
  <c r="J1343" i="16"/>
  <c r="F1343" i="16"/>
  <c r="E1343" i="16"/>
  <c r="D1343" i="16"/>
  <c r="C1343" i="16"/>
  <c r="B1343" i="16"/>
  <c r="A1343" i="16"/>
  <c r="J1342" i="16"/>
  <c r="F1342" i="16"/>
  <c r="E1342" i="16"/>
  <c r="D1342" i="16"/>
  <c r="C1342" i="16"/>
  <c r="B1342" i="16"/>
  <c r="A1342" i="16"/>
  <c r="J1341" i="16"/>
  <c r="F1341" i="16"/>
  <c r="E1341" i="16"/>
  <c r="D1341" i="16"/>
  <c r="C1341" i="16"/>
  <c r="B1341" i="16"/>
  <c r="A1341" i="16"/>
  <c r="J1340" i="16"/>
  <c r="F1340" i="16"/>
  <c r="E1340" i="16"/>
  <c r="D1340" i="16"/>
  <c r="C1340" i="16"/>
  <c r="B1340" i="16"/>
  <c r="A1340" i="16"/>
  <c r="J1339" i="16"/>
  <c r="F1339" i="16"/>
  <c r="E1339" i="16"/>
  <c r="D1339" i="16"/>
  <c r="C1339" i="16"/>
  <c r="B1339" i="16"/>
  <c r="A1339" i="16"/>
  <c r="J1338" i="16"/>
  <c r="F1338" i="16"/>
  <c r="E1338" i="16"/>
  <c r="D1338" i="16"/>
  <c r="C1338" i="16"/>
  <c r="B1338" i="16"/>
  <c r="A1338" i="16"/>
  <c r="J1337" i="16"/>
  <c r="F1337" i="16"/>
  <c r="E1337" i="16"/>
  <c r="D1337" i="16"/>
  <c r="C1337" i="16"/>
  <c r="B1337" i="16"/>
  <c r="A1337" i="16"/>
  <c r="J1336" i="16"/>
  <c r="F1336" i="16"/>
  <c r="E1336" i="16"/>
  <c r="D1336" i="16"/>
  <c r="C1336" i="16"/>
  <c r="B1336" i="16"/>
  <c r="A1336" i="16"/>
  <c r="J1335" i="16"/>
  <c r="F1335" i="16"/>
  <c r="E1335" i="16"/>
  <c r="D1335" i="16"/>
  <c r="C1335" i="16"/>
  <c r="B1335" i="16"/>
  <c r="A1335" i="16"/>
  <c r="J1334" i="16"/>
  <c r="F1334" i="16"/>
  <c r="E1334" i="16"/>
  <c r="D1334" i="16"/>
  <c r="C1334" i="16"/>
  <c r="B1334" i="16"/>
  <c r="A1334" i="16"/>
  <c r="J1333" i="16"/>
  <c r="H1333" i="16"/>
  <c r="G1333" i="16"/>
  <c r="F1333" i="16"/>
  <c r="E1333" i="16"/>
  <c r="D1333" i="16"/>
  <c r="C1333" i="16"/>
  <c r="B1333" i="16"/>
  <c r="A1333" i="16"/>
  <c r="J1332" i="16"/>
  <c r="H1332" i="16"/>
  <c r="G1332" i="16"/>
  <c r="F1332" i="16"/>
  <c r="E1332" i="16"/>
  <c r="D1332" i="16"/>
  <c r="C1332" i="16"/>
  <c r="B1332" i="16"/>
  <c r="A1332" i="16"/>
  <c r="J1331" i="16"/>
  <c r="H1331" i="16"/>
  <c r="G1331" i="16"/>
  <c r="F1331" i="16"/>
  <c r="E1331" i="16"/>
  <c r="D1331" i="16"/>
  <c r="C1331" i="16"/>
  <c r="B1331" i="16"/>
  <c r="A1331" i="16"/>
  <c r="J1330" i="16"/>
  <c r="H1330" i="16"/>
  <c r="G1330" i="16"/>
  <c r="F1330" i="16"/>
  <c r="E1330" i="16"/>
  <c r="D1330" i="16"/>
  <c r="C1330" i="16"/>
  <c r="B1330" i="16"/>
  <c r="A1330" i="16"/>
  <c r="J1329" i="16"/>
  <c r="H1329" i="16"/>
  <c r="G1329" i="16"/>
  <c r="F1329" i="16"/>
  <c r="E1329" i="16"/>
  <c r="D1329" i="16"/>
  <c r="C1329" i="16"/>
  <c r="B1329" i="16"/>
  <c r="A1329" i="16"/>
  <c r="J1328" i="16"/>
  <c r="H1328" i="16"/>
  <c r="G1328" i="16"/>
  <c r="F1328" i="16"/>
  <c r="E1328" i="16"/>
  <c r="D1328" i="16"/>
  <c r="C1328" i="16"/>
  <c r="B1328" i="16"/>
  <c r="A1328" i="16"/>
  <c r="J1327" i="16"/>
  <c r="H1327" i="16"/>
  <c r="G1327" i="16"/>
  <c r="F1327" i="16"/>
  <c r="E1327" i="16"/>
  <c r="D1327" i="16"/>
  <c r="C1327" i="16"/>
  <c r="B1327" i="16"/>
  <c r="A1327" i="16"/>
  <c r="J1326" i="16"/>
  <c r="H1326" i="16"/>
  <c r="G1326" i="16"/>
  <c r="F1326" i="16"/>
  <c r="E1326" i="16"/>
  <c r="D1326" i="16"/>
  <c r="C1326" i="16"/>
  <c r="B1326" i="16"/>
  <c r="A1326" i="16"/>
  <c r="J1325" i="16"/>
  <c r="H1325" i="16"/>
  <c r="G1325" i="16"/>
  <c r="F1325" i="16"/>
  <c r="E1325" i="16"/>
  <c r="D1325" i="16"/>
  <c r="C1325" i="16"/>
  <c r="B1325" i="16"/>
  <c r="A1325" i="16"/>
  <c r="J1324" i="16"/>
  <c r="H1324" i="16"/>
  <c r="G1324" i="16"/>
  <c r="F1324" i="16"/>
  <c r="E1324" i="16"/>
  <c r="D1324" i="16"/>
  <c r="C1324" i="16"/>
  <c r="B1324" i="16"/>
  <c r="A1324" i="16"/>
  <c r="J1323" i="16"/>
  <c r="H1323" i="16"/>
  <c r="G1323" i="16"/>
  <c r="F1323" i="16"/>
  <c r="E1323" i="16"/>
  <c r="D1323" i="16"/>
  <c r="C1323" i="16"/>
  <c r="B1323" i="16"/>
  <c r="A1323" i="16"/>
  <c r="J1322" i="16"/>
  <c r="H1322" i="16"/>
  <c r="G1322" i="16"/>
  <c r="F1322" i="16"/>
  <c r="E1322" i="16"/>
  <c r="D1322" i="16"/>
  <c r="C1322" i="16"/>
  <c r="B1322" i="16"/>
  <c r="A1322" i="16"/>
  <c r="J1321" i="16"/>
  <c r="H1321" i="16"/>
  <c r="G1321" i="16"/>
  <c r="F1321" i="16"/>
  <c r="E1321" i="16"/>
  <c r="D1321" i="16"/>
  <c r="C1321" i="16"/>
  <c r="B1321" i="16"/>
  <c r="A1321" i="16"/>
  <c r="J1320" i="16"/>
  <c r="H1320" i="16"/>
  <c r="G1320" i="16"/>
  <c r="F1320" i="16"/>
  <c r="E1320" i="16"/>
  <c r="D1320" i="16"/>
  <c r="C1320" i="16"/>
  <c r="B1320" i="16"/>
  <c r="A1320" i="16"/>
  <c r="J1319" i="16"/>
  <c r="F1319" i="16"/>
  <c r="E1319" i="16"/>
  <c r="D1319" i="16"/>
  <c r="C1319" i="16"/>
  <c r="B1319" i="16"/>
  <c r="A1319" i="16"/>
  <c r="J1318" i="16"/>
  <c r="F1318" i="16"/>
  <c r="E1318" i="16"/>
  <c r="D1318" i="16"/>
  <c r="C1318" i="16"/>
  <c r="B1318" i="16"/>
  <c r="A1318" i="16"/>
  <c r="J1317" i="16"/>
  <c r="F1317" i="16"/>
  <c r="E1317" i="16"/>
  <c r="D1317" i="16"/>
  <c r="C1317" i="16"/>
  <c r="B1317" i="16"/>
  <c r="A1317" i="16"/>
  <c r="J1316" i="16"/>
  <c r="F1316" i="16"/>
  <c r="E1316" i="16"/>
  <c r="D1316" i="16"/>
  <c r="C1316" i="16"/>
  <c r="B1316" i="16"/>
  <c r="A1316" i="16"/>
  <c r="J1315" i="16"/>
  <c r="F1315" i="16"/>
  <c r="E1315" i="16"/>
  <c r="D1315" i="16"/>
  <c r="C1315" i="16"/>
  <c r="B1315" i="16"/>
  <c r="A1315" i="16"/>
  <c r="J1314" i="16"/>
  <c r="F1314" i="16"/>
  <c r="E1314" i="16"/>
  <c r="D1314" i="16"/>
  <c r="C1314" i="16"/>
  <c r="B1314" i="16"/>
  <c r="A1314" i="16"/>
  <c r="J1313" i="16"/>
  <c r="F1313" i="16"/>
  <c r="E1313" i="16"/>
  <c r="D1313" i="16"/>
  <c r="C1313" i="16"/>
  <c r="B1313" i="16"/>
  <c r="A1313" i="16"/>
  <c r="J1312" i="16"/>
  <c r="H1312" i="16"/>
  <c r="G1312" i="16"/>
  <c r="F1312" i="16"/>
  <c r="E1312" i="16"/>
  <c r="D1312" i="16"/>
  <c r="C1312" i="16"/>
  <c r="B1312" i="16"/>
  <c r="A1312" i="16"/>
  <c r="J1311" i="16"/>
  <c r="H1311" i="16"/>
  <c r="G1311" i="16"/>
  <c r="F1311" i="16"/>
  <c r="E1311" i="16"/>
  <c r="D1311" i="16"/>
  <c r="C1311" i="16"/>
  <c r="B1311" i="16"/>
  <c r="A1311" i="16"/>
  <c r="J1310" i="16"/>
  <c r="H1310" i="16"/>
  <c r="G1310" i="16"/>
  <c r="F1310" i="16"/>
  <c r="E1310" i="16"/>
  <c r="D1310" i="16"/>
  <c r="C1310" i="16"/>
  <c r="B1310" i="16"/>
  <c r="A1310" i="16"/>
  <c r="J1309" i="16"/>
  <c r="H1309" i="16"/>
  <c r="G1309" i="16"/>
  <c r="F1309" i="16"/>
  <c r="E1309" i="16"/>
  <c r="D1309" i="16"/>
  <c r="C1309" i="16"/>
  <c r="B1309" i="16"/>
  <c r="A1309" i="16"/>
  <c r="J1308" i="16"/>
  <c r="H1308" i="16"/>
  <c r="G1308" i="16"/>
  <c r="F1308" i="16"/>
  <c r="E1308" i="16"/>
  <c r="D1308" i="16"/>
  <c r="C1308" i="16"/>
  <c r="B1308" i="16"/>
  <c r="A1308" i="16"/>
  <c r="J1307" i="16"/>
  <c r="H1307" i="16"/>
  <c r="G1307" i="16"/>
  <c r="F1307" i="16"/>
  <c r="E1307" i="16"/>
  <c r="D1307" i="16"/>
  <c r="C1307" i="16"/>
  <c r="B1307" i="16"/>
  <c r="A1307" i="16"/>
  <c r="J1306" i="16"/>
  <c r="H1306" i="16"/>
  <c r="G1306" i="16"/>
  <c r="F1306" i="16"/>
  <c r="E1306" i="16"/>
  <c r="D1306" i="16"/>
  <c r="C1306" i="16"/>
  <c r="B1306" i="16"/>
  <c r="A1306" i="16"/>
  <c r="J1305" i="16"/>
  <c r="H1305" i="16"/>
  <c r="G1305" i="16"/>
  <c r="F1305" i="16"/>
  <c r="E1305" i="16"/>
  <c r="D1305" i="16"/>
  <c r="C1305" i="16"/>
  <c r="B1305" i="16"/>
  <c r="A1305" i="16"/>
  <c r="J1304" i="16"/>
  <c r="H1304" i="16"/>
  <c r="G1304" i="16"/>
  <c r="F1304" i="16"/>
  <c r="E1304" i="16"/>
  <c r="D1304" i="16"/>
  <c r="C1304" i="16"/>
  <c r="B1304" i="16"/>
  <c r="A1304" i="16"/>
  <c r="J1303" i="16"/>
  <c r="H1303" i="16"/>
  <c r="G1303" i="16"/>
  <c r="F1303" i="16"/>
  <c r="E1303" i="16"/>
  <c r="D1303" i="16"/>
  <c r="C1303" i="16"/>
  <c r="B1303" i="16"/>
  <c r="A1303" i="16"/>
  <c r="J1302" i="16"/>
  <c r="H1302" i="16"/>
  <c r="G1302" i="16"/>
  <c r="F1302" i="16"/>
  <c r="E1302" i="16"/>
  <c r="D1302" i="16"/>
  <c r="C1302" i="16"/>
  <c r="B1302" i="16"/>
  <c r="A1302" i="16"/>
  <c r="J1301" i="16"/>
  <c r="H1301" i="16"/>
  <c r="G1301" i="16"/>
  <c r="F1301" i="16"/>
  <c r="E1301" i="16"/>
  <c r="D1301" i="16"/>
  <c r="C1301" i="16"/>
  <c r="B1301" i="16"/>
  <c r="A1301" i="16"/>
  <c r="J1300" i="16"/>
  <c r="H1300" i="16"/>
  <c r="G1300" i="16"/>
  <c r="F1300" i="16"/>
  <c r="E1300" i="16"/>
  <c r="D1300" i="16"/>
  <c r="C1300" i="16"/>
  <c r="B1300" i="16"/>
  <c r="A1300" i="16"/>
  <c r="J1299" i="16"/>
  <c r="H1299" i="16"/>
  <c r="G1299" i="16"/>
  <c r="F1299" i="16"/>
  <c r="E1299" i="16"/>
  <c r="D1299" i="16"/>
  <c r="C1299" i="16"/>
  <c r="B1299" i="16"/>
  <c r="A1299" i="16"/>
  <c r="J1298" i="16"/>
  <c r="F1298" i="16"/>
  <c r="E1298" i="16"/>
  <c r="D1298" i="16"/>
  <c r="C1298" i="16"/>
  <c r="B1298" i="16"/>
  <c r="A1298" i="16"/>
  <c r="J1297" i="16"/>
  <c r="F1297" i="16"/>
  <c r="E1297" i="16"/>
  <c r="D1297" i="16"/>
  <c r="C1297" i="16"/>
  <c r="B1297" i="16"/>
  <c r="A1297" i="16"/>
  <c r="J1296" i="16"/>
  <c r="F1296" i="16"/>
  <c r="E1296" i="16"/>
  <c r="D1296" i="16"/>
  <c r="C1296" i="16"/>
  <c r="B1296" i="16"/>
  <c r="A1296" i="16"/>
  <c r="J1295" i="16"/>
  <c r="F1295" i="16"/>
  <c r="E1295" i="16"/>
  <c r="D1295" i="16"/>
  <c r="C1295" i="16"/>
  <c r="B1295" i="16"/>
  <c r="A1295" i="16"/>
  <c r="J1294" i="16"/>
  <c r="F1294" i="16"/>
  <c r="E1294" i="16"/>
  <c r="D1294" i="16"/>
  <c r="C1294" i="16"/>
  <c r="B1294" i="16"/>
  <c r="A1294" i="16"/>
  <c r="J1293" i="16"/>
  <c r="F1293" i="16"/>
  <c r="E1293" i="16"/>
  <c r="D1293" i="16"/>
  <c r="C1293" i="16"/>
  <c r="B1293" i="16"/>
  <c r="A1293" i="16"/>
  <c r="J1292" i="16"/>
  <c r="F1292" i="16"/>
  <c r="E1292" i="16"/>
  <c r="D1292" i="16"/>
  <c r="C1292" i="16"/>
  <c r="B1292" i="16"/>
  <c r="A1292" i="16"/>
  <c r="J1291" i="16"/>
  <c r="F1291" i="16"/>
  <c r="E1291" i="16"/>
  <c r="D1291" i="16"/>
  <c r="C1291" i="16"/>
  <c r="B1291" i="16"/>
  <c r="A1291" i="16"/>
  <c r="J1290" i="16"/>
  <c r="F1290" i="16"/>
  <c r="E1290" i="16"/>
  <c r="D1290" i="16"/>
  <c r="C1290" i="16"/>
  <c r="B1290" i="16"/>
  <c r="A1290" i="16"/>
  <c r="J1289" i="16"/>
  <c r="F1289" i="16"/>
  <c r="E1289" i="16"/>
  <c r="D1289" i="16"/>
  <c r="C1289" i="16"/>
  <c r="B1289" i="16"/>
  <c r="A1289" i="16"/>
  <c r="J1288" i="16"/>
  <c r="F1288" i="16"/>
  <c r="E1288" i="16"/>
  <c r="D1288" i="16"/>
  <c r="C1288" i="16"/>
  <c r="B1288" i="16"/>
  <c r="A1288" i="16"/>
  <c r="J1287" i="16"/>
  <c r="F1287" i="16"/>
  <c r="E1287" i="16"/>
  <c r="D1287" i="16"/>
  <c r="C1287" i="16"/>
  <c r="B1287" i="16"/>
  <c r="A1287" i="16"/>
  <c r="J1286" i="16"/>
  <c r="F1286" i="16"/>
  <c r="E1286" i="16"/>
  <c r="D1286" i="16"/>
  <c r="C1286" i="16"/>
  <c r="B1286" i="16"/>
  <c r="A1286" i="16"/>
  <c r="J1285" i="16"/>
  <c r="F1285" i="16"/>
  <c r="E1285" i="16"/>
  <c r="D1285" i="16"/>
  <c r="C1285" i="16"/>
  <c r="B1285" i="16"/>
  <c r="A1285" i="16"/>
  <c r="J1284" i="16"/>
  <c r="F1284" i="16"/>
  <c r="E1284" i="16"/>
  <c r="D1284" i="16"/>
  <c r="C1284" i="16"/>
  <c r="B1284" i="16"/>
  <c r="A1284" i="16"/>
  <c r="J1283" i="16"/>
  <c r="F1283" i="16"/>
  <c r="E1283" i="16"/>
  <c r="D1283" i="16"/>
  <c r="C1283" i="16"/>
  <c r="B1283" i="16"/>
  <c r="A1283" i="16"/>
  <c r="J1282" i="16"/>
  <c r="F1282" i="16"/>
  <c r="E1282" i="16"/>
  <c r="D1282" i="16"/>
  <c r="C1282" i="16"/>
  <c r="B1282" i="16"/>
  <c r="A1282" i="16"/>
  <c r="J1281" i="16"/>
  <c r="F1281" i="16"/>
  <c r="E1281" i="16"/>
  <c r="D1281" i="16"/>
  <c r="C1281" i="16"/>
  <c r="B1281" i="16"/>
  <c r="A1281" i="16"/>
  <c r="J1280" i="16"/>
  <c r="F1280" i="16"/>
  <c r="E1280" i="16"/>
  <c r="D1280" i="16"/>
  <c r="C1280" i="16"/>
  <c r="B1280" i="16"/>
  <c r="A1280" i="16"/>
  <c r="J1279" i="16"/>
  <c r="F1279" i="16"/>
  <c r="E1279" i="16"/>
  <c r="D1279" i="16"/>
  <c r="C1279" i="16"/>
  <c r="B1279" i="16"/>
  <c r="A1279" i="16"/>
  <c r="J1278" i="16"/>
  <c r="F1278" i="16"/>
  <c r="E1278" i="16"/>
  <c r="D1278" i="16"/>
  <c r="C1278" i="16"/>
  <c r="B1278" i="16"/>
  <c r="A1278" i="16"/>
  <c r="J1277" i="16"/>
  <c r="F1277" i="16"/>
  <c r="E1277" i="16"/>
  <c r="D1277" i="16"/>
  <c r="C1277" i="16"/>
  <c r="B1277" i="16"/>
  <c r="A1277" i="16"/>
  <c r="J1276" i="16"/>
  <c r="F1276" i="16"/>
  <c r="E1276" i="16"/>
  <c r="D1276" i="16"/>
  <c r="C1276" i="16"/>
  <c r="B1276" i="16"/>
  <c r="A1276" i="16"/>
  <c r="J1275" i="16"/>
  <c r="F1275" i="16"/>
  <c r="E1275" i="16"/>
  <c r="D1275" i="16"/>
  <c r="C1275" i="16"/>
  <c r="B1275" i="16"/>
  <c r="A1275" i="16"/>
  <c r="J1274" i="16"/>
  <c r="F1274" i="16"/>
  <c r="E1274" i="16"/>
  <c r="D1274" i="16"/>
  <c r="C1274" i="16"/>
  <c r="B1274" i="16"/>
  <c r="A1274" i="16"/>
  <c r="J1273" i="16"/>
  <c r="F1273" i="16"/>
  <c r="E1273" i="16"/>
  <c r="D1273" i="16"/>
  <c r="C1273" i="16"/>
  <c r="B1273" i="16"/>
  <c r="A1273" i="16"/>
  <c r="J1272" i="16"/>
  <c r="F1272" i="16"/>
  <c r="E1272" i="16"/>
  <c r="D1272" i="16"/>
  <c r="C1272" i="16"/>
  <c r="B1272" i="16"/>
  <c r="A1272" i="16"/>
  <c r="J1271" i="16"/>
  <c r="F1271" i="16"/>
  <c r="E1271" i="16"/>
  <c r="D1271" i="16"/>
  <c r="C1271" i="16"/>
  <c r="B1271" i="16"/>
  <c r="A1271" i="16"/>
  <c r="J1270" i="16"/>
  <c r="H1270" i="16"/>
  <c r="G1270" i="16"/>
  <c r="F1270" i="16"/>
  <c r="E1270" i="16"/>
  <c r="D1270" i="16"/>
  <c r="C1270" i="16"/>
  <c r="B1270" i="16"/>
  <c r="A1270" i="16"/>
  <c r="J1269" i="16"/>
  <c r="H1269" i="16"/>
  <c r="G1269" i="16"/>
  <c r="F1269" i="16"/>
  <c r="E1269" i="16"/>
  <c r="D1269" i="16"/>
  <c r="C1269" i="16"/>
  <c r="B1269" i="16"/>
  <c r="A1269" i="16"/>
  <c r="J1268" i="16"/>
  <c r="H1268" i="16"/>
  <c r="G1268" i="16"/>
  <c r="F1268" i="16"/>
  <c r="E1268" i="16"/>
  <c r="D1268" i="16"/>
  <c r="C1268" i="16"/>
  <c r="B1268" i="16"/>
  <c r="A1268" i="16"/>
  <c r="J1267" i="16"/>
  <c r="H1267" i="16"/>
  <c r="G1267" i="16"/>
  <c r="F1267" i="16"/>
  <c r="E1267" i="16"/>
  <c r="D1267" i="16"/>
  <c r="C1267" i="16"/>
  <c r="B1267" i="16"/>
  <c r="A1267" i="16"/>
  <c r="J1266" i="16"/>
  <c r="H1266" i="16"/>
  <c r="G1266" i="16"/>
  <c r="F1266" i="16"/>
  <c r="E1266" i="16"/>
  <c r="D1266" i="16"/>
  <c r="C1266" i="16"/>
  <c r="B1266" i="16"/>
  <c r="A1266" i="16"/>
  <c r="J1265" i="16"/>
  <c r="H1265" i="16"/>
  <c r="G1265" i="16"/>
  <c r="F1265" i="16"/>
  <c r="E1265" i="16"/>
  <c r="D1265" i="16"/>
  <c r="C1265" i="16"/>
  <c r="B1265" i="16"/>
  <c r="A1265" i="16"/>
  <c r="J1264" i="16"/>
  <c r="H1264" i="16"/>
  <c r="G1264" i="16"/>
  <c r="F1264" i="16"/>
  <c r="E1264" i="16"/>
  <c r="D1264" i="16"/>
  <c r="C1264" i="16"/>
  <c r="B1264" i="16"/>
  <c r="A1264" i="16"/>
  <c r="J1263" i="16"/>
  <c r="H1263" i="16"/>
  <c r="G1263" i="16"/>
  <c r="F1263" i="16"/>
  <c r="E1263" i="16"/>
  <c r="D1263" i="16"/>
  <c r="C1263" i="16"/>
  <c r="B1263" i="16"/>
  <c r="A1263" i="16"/>
  <c r="J1262" i="16"/>
  <c r="H1262" i="16"/>
  <c r="G1262" i="16"/>
  <c r="F1262" i="16"/>
  <c r="E1262" i="16"/>
  <c r="D1262" i="16"/>
  <c r="C1262" i="16"/>
  <c r="B1262" i="16"/>
  <c r="A1262" i="16"/>
  <c r="J1261" i="16"/>
  <c r="H1261" i="16"/>
  <c r="G1261" i="16"/>
  <c r="F1261" i="16"/>
  <c r="E1261" i="16"/>
  <c r="D1261" i="16"/>
  <c r="C1261" i="16"/>
  <c r="B1261" i="16"/>
  <c r="A1261" i="16"/>
  <c r="J1260" i="16"/>
  <c r="H1260" i="16"/>
  <c r="G1260" i="16"/>
  <c r="F1260" i="16"/>
  <c r="E1260" i="16"/>
  <c r="D1260" i="16"/>
  <c r="C1260" i="16"/>
  <c r="B1260" i="16"/>
  <c r="A1260" i="16"/>
  <c r="J1259" i="16"/>
  <c r="H1259" i="16"/>
  <c r="G1259" i="16"/>
  <c r="F1259" i="16"/>
  <c r="E1259" i="16"/>
  <c r="D1259" i="16"/>
  <c r="C1259" i="16"/>
  <c r="B1259" i="16"/>
  <c r="A1259" i="16"/>
  <c r="J1258" i="16"/>
  <c r="H1258" i="16"/>
  <c r="G1258" i="16"/>
  <c r="F1258" i="16"/>
  <c r="E1258" i="16"/>
  <c r="D1258" i="16"/>
  <c r="C1258" i="16"/>
  <c r="B1258" i="16"/>
  <c r="A1258" i="16"/>
  <c r="J1257" i="16"/>
  <c r="F1257" i="16"/>
  <c r="E1257" i="16"/>
  <c r="D1257" i="16"/>
  <c r="C1257" i="16"/>
  <c r="B1257" i="16"/>
  <c r="A1257" i="16"/>
  <c r="J1256" i="16"/>
  <c r="F1256" i="16"/>
  <c r="E1256" i="16"/>
  <c r="D1256" i="16"/>
  <c r="C1256" i="16"/>
  <c r="B1256" i="16"/>
  <c r="A1256" i="16"/>
  <c r="J1255" i="16"/>
  <c r="F1255" i="16"/>
  <c r="E1255" i="16"/>
  <c r="D1255" i="16"/>
  <c r="C1255" i="16"/>
  <c r="B1255" i="16"/>
  <c r="A1255" i="16"/>
  <c r="J1254" i="16"/>
  <c r="F1254" i="16"/>
  <c r="E1254" i="16"/>
  <c r="D1254" i="16"/>
  <c r="C1254" i="16"/>
  <c r="B1254" i="16"/>
  <c r="A1254" i="16"/>
  <c r="J1253" i="16"/>
  <c r="F1253" i="16"/>
  <c r="E1253" i="16"/>
  <c r="D1253" i="16"/>
  <c r="C1253" i="16"/>
  <c r="B1253" i="16"/>
  <c r="A1253" i="16"/>
  <c r="J1252" i="16"/>
  <c r="F1252" i="16"/>
  <c r="E1252" i="16"/>
  <c r="D1252" i="16"/>
  <c r="C1252" i="16"/>
  <c r="B1252" i="16"/>
  <c r="A1252" i="16"/>
  <c r="J1251" i="16"/>
  <c r="F1251" i="16"/>
  <c r="E1251" i="16"/>
  <c r="D1251" i="16"/>
  <c r="C1251" i="16"/>
  <c r="B1251" i="16"/>
  <c r="A1251" i="16"/>
  <c r="J1250" i="16"/>
  <c r="H1250" i="16"/>
  <c r="G1250" i="16"/>
  <c r="F1250" i="16"/>
  <c r="E1250" i="16"/>
  <c r="D1250" i="16"/>
  <c r="C1250" i="16"/>
  <c r="B1250" i="16"/>
  <c r="A1250" i="16"/>
  <c r="J1249" i="16"/>
  <c r="H1249" i="16"/>
  <c r="G1249" i="16"/>
  <c r="F1249" i="16"/>
  <c r="E1249" i="16"/>
  <c r="D1249" i="16"/>
  <c r="C1249" i="16"/>
  <c r="B1249" i="16"/>
  <c r="A1249" i="16"/>
  <c r="J1248" i="16"/>
  <c r="H1248" i="16"/>
  <c r="G1248" i="16"/>
  <c r="F1248" i="16"/>
  <c r="E1248" i="16"/>
  <c r="D1248" i="16"/>
  <c r="C1248" i="16"/>
  <c r="B1248" i="16"/>
  <c r="A1248" i="16"/>
  <c r="J1247" i="16"/>
  <c r="H1247" i="16"/>
  <c r="G1247" i="16"/>
  <c r="F1247" i="16"/>
  <c r="E1247" i="16"/>
  <c r="D1247" i="16"/>
  <c r="C1247" i="16"/>
  <c r="B1247" i="16"/>
  <c r="A1247" i="16"/>
  <c r="J1246" i="16"/>
  <c r="H1246" i="16"/>
  <c r="G1246" i="16"/>
  <c r="F1246" i="16"/>
  <c r="E1246" i="16"/>
  <c r="D1246" i="16"/>
  <c r="C1246" i="16"/>
  <c r="B1246" i="16"/>
  <c r="A1246" i="16"/>
  <c r="J1245" i="16"/>
  <c r="H1245" i="16"/>
  <c r="G1245" i="16"/>
  <c r="F1245" i="16"/>
  <c r="E1245" i="16"/>
  <c r="D1245" i="16"/>
  <c r="C1245" i="16"/>
  <c r="B1245" i="16"/>
  <c r="A1245" i="16"/>
  <c r="J1244" i="16"/>
  <c r="H1244" i="16"/>
  <c r="G1244" i="16"/>
  <c r="F1244" i="16"/>
  <c r="E1244" i="16"/>
  <c r="D1244" i="16"/>
  <c r="C1244" i="16"/>
  <c r="B1244" i="16"/>
  <c r="A1244" i="16"/>
  <c r="J1243" i="16"/>
  <c r="H1243" i="16"/>
  <c r="G1243" i="16"/>
  <c r="F1243" i="16"/>
  <c r="E1243" i="16"/>
  <c r="D1243" i="16"/>
  <c r="C1243" i="16"/>
  <c r="B1243" i="16"/>
  <c r="A1243" i="16"/>
  <c r="J1242" i="16"/>
  <c r="H1242" i="16"/>
  <c r="G1242" i="16"/>
  <c r="F1242" i="16"/>
  <c r="E1242" i="16"/>
  <c r="D1242" i="16"/>
  <c r="C1242" i="16"/>
  <c r="B1242" i="16"/>
  <c r="A1242" i="16"/>
  <c r="J1241" i="16"/>
  <c r="H1241" i="16"/>
  <c r="G1241" i="16"/>
  <c r="F1241" i="16"/>
  <c r="E1241" i="16"/>
  <c r="D1241" i="16"/>
  <c r="C1241" i="16"/>
  <c r="B1241" i="16"/>
  <c r="A1241" i="16"/>
  <c r="J1240" i="16"/>
  <c r="H1240" i="16"/>
  <c r="G1240" i="16"/>
  <c r="F1240" i="16"/>
  <c r="E1240" i="16"/>
  <c r="D1240" i="16"/>
  <c r="C1240" i="16"/>
  <c r="B1240" i="16"/>
  <c r="A1240" i="16"/>
  <c r="J1239" i="16"/>
  <c r="H1239" i="16"/>
  <c r="G1239" i="16"/>
  <c r="F1239" i="16"/>
  <c r="E1239" i="16"/>
  <c r="D1239" i="16"/>
  <c r="C1239" i="16"/>
  <c r="B1239" i="16"/>
  <c r="A1239" i="16"/>
  <c r="J1238" i="16"/>
  <c r="H1238" i="16"/>
  <c r="G1238" i="16"/>
  <c r="F1238" i="16"/>
  <c r="E1238" i="16"/>
  <c r="D1238" i="16"/>
  <c r="C1238" i="16"/>
  <c r="B1238" i="16"/>
  <c r="A1238" i="16"/>
  <c r="J1237" i="16"/>
  <c r="H1237" i="16"/>
  <c r="G1237" i="16"/>
  <c r="F1237" i="16"/>
  <c r="E1237" i="16"/>
  <c r="D1237" i="16"/>
  <c r="C1237" i="16"/>
  <c r="B1237" i="16"/>
  <c r="A1237" i="16"/>
  <c r="J1236" i="16"/>
  <c r="H1236" i="16"/>
  <c r="G1236" i="16"/>
  <c r="F1236" i="16"/>
  <c r="E1236" i="16"/>
  <c r="D1236" i="16"/>
  <c r="C1236" i="16"/>
  <c r="B1236" i="16"/>
  <c r="A1236" i="16"/>
  <c r="J1235" i="16"/>
  <c r="H1235" i="16"/>
  <c r="G1235" i="16"/>
  <c r="F1235" i="16"/>
  <c r="E1235" i="16"/>
  <c r="D1235" i="16"/>
  <c r="C1235" i="16"/>
  <c r="B1235" i="16"/>
  <c r="A1235" i="16"/>
  <c r="J1234" i="16"/>
  <c r="H1234" i="16"/>
  <c r="G1234" i="16"/>
  <c r="F1234" i="16"/>
  <c r="E1234" i="16"/>
  <c r="D1234" i="16"/>
  <c r="C1234" i="16"/>
  <c r="B1234" i="16"/>
  <c r="A1234" i="16"/>
  <c r="J1233" i="16"/>
  <c r="H1233" i="16"/>
  <c r="G1233" i="16"/>
  <c r="F1233" i="16"/>
  <c r="E1233" i="16"/>
  <c r="D1233" i="16"/>
  <c r="C1233" i="16"/>
  <c r="B1233" i="16"/>
  <c r="A1233" i="16"/>
  <c r="J1232" i="16"/>
  <c r="H1232" i="16"/>
  <c r="G1232" i="16"/>
  <c r="F1232" i="16"/>
  <c r="E1232" i="16"/>
  <c r="D1232" i="16"/>
  <c r="C1232" i="16"/>
  <c r="B1232" i="16"/>
  <c r="A1232" i="16"/>
  <c r="J1231" i="16"/>
  <c r="H1231" i="16"/>
  <c r="G1231" i="16"/>
  <c r="F1231" i="16"/>
  <c r="E1231" i="16"/>
  <c r="D1231" i="16"/>
  <c r="C1231" i="16"/>
  <c r="B1231" i="16"/>
  <c r="A1231" i="16"/>
  <c r="J1230" i="16"/>
  <c r="H1230" i="16"/>
  <c r="G1230" i="16"/>
  <c r="F1230" i="16"/>
  <c r="E1230" i="16"/>
  <c r="D1230" i="16"/>
  <c r="C1230" i="16"/>
  <c r="B1230" i="16"/>
  <c r="A1230" i="16"/>
  <c r="J1229" i="16"/>
  <c r="H1229" i="16"/>
  <c r="G1229" i="16"/>
  <c r="F1229" i="16"/>
  <c r="E1229" i="16"/>
  <c r="D1229" i="16"/>
  <c r="C1229" i="16"/>
  <c r="B1229" i="16"/>
  <c r="A1229" i="16"/>
  <c r="J1228" i="16"/>
  <c r="H1228" i="16"/>
  <c r="G1228" i="16"/>
  <c r="F1228" i="16"/>
  <c r="E1228" i="16"/>
  <c r="D1228" i="16"/>
  <c r="C1228" i="16"/>
  <c r="B1228" i="16"/>
  <c r="A1228" i="16"/>
  <c r="J1227" i="16"/>
  <c r="H1227" i="16"/>
  <c r="G1227" i="16"/>
  <c r="F1227" i="16"/>
  <c r="E1227" i="16"/>
  <c r="D1227" i="16"/>
  <c r="C1227" i="16"/>
  <c r="B1227" i="16"/>
  <c r="A1227" i="16"/>
  <c r="J1226" i="16"/>
  <c r="H1226" i="16"/>
  <c r="G1226" i="16"/>
  <c r="F1226" i="16"/>
  <c r="E1226" i="16"/>
  <c r="D1226" i="16"/>
  <c r="C1226" i="16"/>
  <c r="B1226" i="16"/>
  <c r="A1226" i="16"/>
  <c r="J1225" i="16"/>
  <c r="H1225" i="16"/>
  <c r="G1225" i="16"/>
  <c r="F1225" i="16"/>
  <c r="E1225" i="16"/>
  <c r="D1225" i="16"/>
  <c r="C1225" i="16"/>
  <c r="B1225" i="16"/>
  <c r="A1225" i="16"/>
  <c r="J1224" i="16"/>
  <c r="H1224" i="16"/>
  <c r="G1224" i="16"/>
  <c r="F1224" i="16"/>
  <c r="E1224" i="16"/>
  <c r="D1224" i="16"/>
  <c r="C1224" i="16"/>
  <c r="B1224" i="16"/>
  <c r="A1224" i="16"/>
  <c r="J1223" i="16"/>
  <c r="H1223" i="16"/>
  <c r="G1223" i="16"/>
  <c r="F1223" i="16"/>
  <c r="E1223" i="16"/>
  <c r="D1223" i="16"/>
  <c r="C1223" i="16"/>
  <c r="B1223" i="16"/>
  <c r="A1223" i="16"/>
  <c r="J1222" i="16"/>
  <c r="H1222" i="16"/>
  <c r="G1222" i="16"/>
  <c r="F1222" i="16"/>
  <c r="E1222" i="16"/>
  <c r="D1222" i="16"/>
  <c r="C1222" i="16"/>
  <c r="B1222" i="16"/>
  <c r="A1222" i="16"/>
  <c r="J1221" i="16"/>
  <c r="H1221" i="16"/>
  <c r="G1221" i="16"/>
  <c r="F1221" i="16"/>
  <c r="E1221" i="16"/>
  <c r="D1221" i="16"/>
  <c r="C1221" i="16"/>
  <c r="B1221" i="16"/>
  <c r="A1221" i="16"/>
  <c r="J1220" i="16"/>
  <c r="H1220" i="16"/>
  <c r="G1220" i="16"/>
  <c r="F1220" i="16"/>
  <c r="E1220" i="16"/>
  <c r="D1220" i="16"/>
  <c r="C1220" i="16"/>
  <c r="B1220" i="16"/>
  <c r="A1220" i="16"/>
  <c r="J1219" i="16"/>
  <c r="H1219" i="16"/>
  <c r="G1219" i="16"/>
  <c r="F1219" i="16"/>
  <c r="E1219" i="16"/>
  <c r="D1219" i="16"/>
  <c r="C1219" i="16"/>
  <c r="B1219" i="16"/>
  <c r="A1219" i="16"/>
  <c r="J1218" i="16"/>
  <c r="H1218" i="16"/>
  <c r="G1218" i="16"/>
  <c r="F1218" i="16"/>
  <c r="E1218" i="16"/>
  <c r="D1218" i="16"/>
  <c r="C1218" i="16"/>
  <c r="B1218" i="16"/>
  <c r="A1218" i="16"/>
  <c r="J1217" i="16"/>
  <c r="H1217" i="16"/>
  <c r="G1217" i="16"/>
  <c r="F1217" i="16"/>
  <c r="E1217" i="16"/>
  <c r="D1217" i="16"/>
  <c r="C1217" i="16"/>
  <c r="B1217" i="16"/>
  <c r="A1217" i="16"/>
  <c r="J1216" i="16"/>
  <c r="H1216" i="16"/>
  <c r="G1216" i="16"/>
  <c r="F1216" i="16"/>
  <c r="E1216" i="16"/>
  <c r="D1216" i="16"/>
  <c r="C1216" i="16"/>
  <c r="B1216" i="16"/>
  <c r="A1216" i="16"/>
  <c r="J1215" i="16"/>
  <c r="H1215" i="16"/>
  <c r="G1215" i="16"/>
  <c r="F1215" i="16"/>
  <c r="E1215" i="16"/>
  <c r="D1215" i="16"/>
  <c r="C1215" i="16"/>
  <c r="B1215" i="16"/>
  <c r="A1215" i="16"/>
  <c r="J1214" i="16"/>
  <c r="H1214" i="16"/>
  <c r="G1214" i="16"/>
  <c r="F1214" i="16"/>
  <c r="E1214" i="16"/>
  <c r="D1214" i="16"/>
  <c r="C1214" i="16"/>
  <c r="B1214" i="16"/>
  <c r="A1214" i="16"/>
  <c r="J1213" i="16"/>
  <c r="H1213" i="16"/>
  <c r="G1213" i="16"/>
  <c r="F1213" i="16"/>
  <c r="E1213" i="16"/>
  <c r="D1213" i="16"/>
  <c r="C1213" i="16"/>
  <c r="B1213" i="16"/>
  <c r="A1213" i="16"/>
  <c r="J1212" i="16"/>
  <c r="F1212" i="16"/>
  <c r="E1212" i="16"/>
  <c r="D1212" i="16"/>
  <c r="C1212" i="16"/>
  <c r="B1212" i="16"/>
  <c r="A1212" i="16"/>
  <c r="J1211" i="16"/>
  <c r="F1211" i="16"/>
  <c r="E1211" i="16"/>
  <c r="D1211" i="16"/>
  <c r="C1211" i="16"/>
  <c r="B1211" i="16"/>
  <c r="A1211" i="16"/>
  <c r="J1210" i="16"/>
  <c r="F1210" i="16"/>
  <c r="E1210" i="16"/>
  <c r="D1210" i="16"/>
  <c r="C1210" i="16"/>
  <c r="B1210" i="16"/>
  <c r="A1210" i="16"/>
  <c r="J1209" i="16"/>
  <c r="F1209" i="16"/>
  <c r="E1209" i="16"/>
  <c r="D1209" i="16"/>
  <c r="C1209" i="16"/>
  <c r="B1209" i="16"/>
  <c r="A1209" i="16"/>
  <c r="J1208" i="16"/>
  <c r="F1208" i="16"/>
  <c r="E1208" i="16"/>
  <c r="D1208" i="16"/>
  <c r="C1208" i="16"/>
  <c r="B1208" i="16"/>
  <c r="A1208" i="16"/>
  <c r="J1207" i="16"/>
  <c r="F1207" i="16"/>
  <c r="E1207" i="16"/>
  <c r="D1207" i="16"/>
  <c r="C1207" i="16"/>
  <c r="B1207" i="16"/>
  <c r="A1207" i="16"/>
  <c r="J1206" i="16"/>
  <c r="F1206" i="16"/>
  <c r="E1206" i="16"/>
  <c r="D1206" i="16"/>
  <c r="C1206" i="16"/>
  <c r="B1206" i="16"/>
  <c r="A1206" i="16"/>
  <c r="J1205" i="16"/>
  <c r="H1205" i="16"/>
  <c r="G1205" i="16"/>
  <c r="F1205" i="16"/>
  <c r="E1205" i="16"/>
  <c r="D1205" i="16"/>
  <c r="C1205" i="16"/>
  <c r="B1205" i="16"/>
  <c r="A1205" i="16"/>
  <c r="J1204" i="16"/>
  <c r="H1204" i="16"/>
  <c r="G1204" i="16"/>
  <c r="F1204" i="16"/>
  <c r="E1204" i="16"/>
  <c r="D1204" i="16"/>
  <c r="C1204" i="16"/>
  <c r="B1204" i="16"/>
  <c r="A1204" i="16"/>
  <c r="J1203" i="16"/>
  <c r="H1203" i="16"/>
  <c r="G1203" i="16"/>
  <c r="F1203" i="16"/>
  <c r="E1203" i="16"/>
  <c r="D1203" i="16"/>
  <c r="C1203" i="16"/>
  <c r="B1203" i="16"/>
  <c r="A1203" i="16"/>
  <c r="J1202" i="16"/>
  <c r="H1202" i="16"/>
  <c r="G1202" i="16"/>
  <c r="F1202" i="16"/>
  <c r="E1202" i="16"/>
  <c r="D1202" i="16"/>
  <c r="C1202" i="16"/>
  <c r="B1202" i="16"/>
  <c r="A1202" i="16"/>
  <c r="J1201" i="16"/>
  <c r="H1201" i="16"/>
  <c r="G1201" i="16"/>
  <c r="F1201" i="16"/>
  <c r="E1201" i="16"/>
  <c r="D1201" i="16"/>
  <c r="C1201" i="16"/>
  <c r="B1201" i="16"/>
  <c r="A1201" i="16"/>
  <c r="J1200" i="16"/>
  <c r="H1200" i="16"/>
  <c r="G1200" i="16"/>
  <c r="F1200" i="16"/>
  <c r="E1200" i="16"/>
  <c r="D1200" i="16"/>
  <c r="C1200" i="16"/>
  <c r="B1200" i="16"/>
  <c r="A1200" i="16"/>
  <c r="J1199" i="16"/>
  <c r="H1199" i="16"/>
  <c r="G1199" i="16"/>
  <c r="F1199" i="16"/>
  <c r="E1199" i="16"/>
  <c r="D1199" i="16"/>
  <c r="C1199" i="16"/>
  <c r="B1199" i="16"/>
  <c r="A1199" i="16"/>
  <c r="J1198" i="16"/>
  <c r="H1198" i="16"/>
  <c r="G1198" i="16"/>
  <c r="F1198" i="16"/>
  <c r="E1198" i="16"/>
  <c r="D1198" i="16"/>
  <c r="C1198" i="16"/>
  <c r="B1198" i="16"/>
  <c r="A1198" i="16"/>
  <c r="J1197" i="16"/>
  <c r="H1197" i="16"/>
  <c r="G1197" i="16"/>
  <c r="F1197" i="16"/>
  <c r="E1197" i="16"/>
  <c r="D1197" i="16"/>
  <c r="C1197" i="16"/>
  <c r="B1197" i="16"/>
  <c r="A1197" i="16"/>
  <c r="J1196" i="16"/>
  <c r="H1196" i="16"/>
  <c r="G1196" i="16"/>
  <c r="F1196" i="16"/>
  <c r="E1196" i="16"/>
  <c r="D1196" i="16"/>
  <c r="C1196" i="16"/>
  <c r="B1196" i="16"/>
  <c r="A1196" i="16"/>
  <c r="J1195" i="16"/>
  <c r="H1195" i="16"/>
  <c r="G1195" i="16"/>
  <c r="F1195" i="16"/>
  <c r="E1195" i="16"/>
  <c r="D1195" i="16"/>
  <c r="C1195" i="16"/>
  <c r="B1195" i="16"/>
  <c r="A1195" i="16"/>
  <c r="J1194" i="16"/>
  <c r="H1194" i="16"/>
  <c r="G1194" i="16"/>
  <c r="F1194" i="16"/>
  <c r="E1194" i="16"/>
  <c r="D1194" i="16"/>
  <c r="C1194" i="16"/>
  <c r="B1194" i="16"/>
  <c r="A1194" i="16"/>
  <c r="J1193" i="16"/>
  <c r="H1193" i="16"/>
  <c r="G1193" i="16"/>
  <c r="F1193" i="16"/>
  <c r="E1193" i="16"/>
  <c r="D1193" i="16"/>
  <c r="C1193" i="16"/>
  <c r="B1193" i="16"/>
  <c r="A1193" i="16"/>
  <c r="J1192" i="16"/>
  <c r="H1192" i="16"/>
  <c r="G1192" i="16"/>
  <c r="F1192" i="16"/>
  <c r="E1192" i="16"/>
  <c r="D1192" i="16"/>
  <c r="C1192" i="16"/>
  <c r="B1192" i="16"/>
  <c r="A1192" i="16"/>
  <c r="J1191" i="16"/>
  <c r="H1191" i="16"/>
  <c r="G1191" i="16"/>
  <c r="F1191" i="16"/>
  <c r="E1191" i="16"/>
  <c r="D1191" i="16"/>
  <c r="C1191" i="16"/>
  <c r="B1191" i="16"/>
  <c r="A1191" i="16"/>
  <c r="J1190" i="16"/>
  <c r="H1190" i="16"/>
  <c r="G1190" i="16"/>
  <c r="F1190" i="16"/>
  <c r="E1190" i="16"/>
  <c r="D1190" i="16"/>
  <c r="C1190" i="16"/>
  <c r="B1190" i="16"/>
  <c r="A1190" i="16"/>
  <c r="J1189" i="16"/>
  <c r="H1189" i="16"/>
  <c r="G1189" i="16"/>
  <c r="F1189" i="16"/>
  <c r="E1189" i="16"/>
  <c r="D1189" i="16"/>
  <c r="C1189" i="16"/>
  <c r="B1189" i="16"/>
  <c r="A1189" i="16"/>
  <c r="J1188" i="16"/>
  <c r="H1188" i="16"/>
  <c r="G1188" i="16"/>
  <c r="F1188" i="16"/>
  <c r="E1188" i="16"/>
  <c r="D1188" i="16"/>
  <c r="C1188" i="16"/>
  <c r="B1188" i="16"/>
  <c r="A1188" i="16"/>
  <c r="J1187" i="16"/>
  <c r="H1187" i="16"/>
  <c r="G1187" i="16"/>
  <c r="F1187" i="16"/>
  <c r="E1187" i="16"/>
  <c r="D1187" i="16"/>
  <c r="C1187" i="16"/>
  <c r="B1187" i="16"/>
  <c r="A1187" i="16"/>
  <c r="J1186" i="16"/>
  <c r="H1186" i="16"/>
  <c r="G1186" i="16"/>
  <c r="F1186" i="16"/>
  <c r="E1186" i="16"/>
  <c r="D1186" i="16"/>
  <c r="C1186" i="16"/>
  <c r="B1186" i="16"/>
  <c r="A1186" i="16"/>
  <c r="J1185" i="16"/>
  <c r="H1185" i="16"/>
  <c r="G1185" i="16"/>
  <c r="F1185" i="16"/>
  <c r="E1185" i="16"/>
  <c r="D1185" i="16"/>
  <c r="C1185" i="16"/>
  <c r="B1185" i="16"/>
  <c r="A1185" i="16"/>
  <c r="J1184" i="16"/>
  <c r="H1184" i="16"/>
  <c r="G1184" i="16"/>
  <c r="F1184" i="16"/>
  <c r="E1184" i="16"/>
  <c r="D1184" i="16"/>
  <c r="C1184" i="16"/>
  <c r="B1184" i="16"/>
  <c r="A1184" i="16"/>
  <c r="J1183" i="16"/>
  <c r="H1183" i="16"/>
  <c r="G1183" i="16"/>
  <c r="F1183" i="16"/>
  <c r="E1183" i="16"/>
  <c r="D1183" i="16"/>
  <c r="C1183" i="16"/>
  <c r="B1183" i="16"/>
  <c r="A1183" i="16"/>
  <c r="J1182" i="16"/>
  <c r="H1182" i="16"/>
  <c r="G1182" i="16"/>
  <c r="F1182" i="16"/>
  <c r="E1182" i="16"/>
  <c r="D1182" i="16"/>
  <c r="C1182" i="16"/>
  <c r="B1182" i="16"/>
  <c r="A1182" i="16"/>
  <c r="J1181" i="16"/>
  <c r="H1181" i="16"/>
  <c r="G1181" i="16"/>
  <c r="F1181" i="16"/>
  <c r="E1181" i="16"/>
  <c r="D1181" i="16"/>
  <c r="C1181" i="16"/>
  <c r="B1181" i="16"/>
  <c r="A1181" i="16"/>
  <c r="J1180" i="16"/>
  <c r="H1180" i="16"/>
  <c r="G1180" i="16"/>
  <c r="F1180" i="16"/>
  <c r="E1180" i="16"/>
  <c r="D1180" i="16"/>
  <c r="C1180" i="16"/>
  <c r="B1180" i="16"/>
  <c r="A1180" i="16"/>
  <c r="J1179" i="16"/>
  <c r="H1179" i="16"/>
  <c r="G1179" i="16"/>
  <c r="F1179" i="16"/>
  <c r="E1179" i="16"/>
  <c r="D1179" i="16"/>
  <c r="C1179" i="16"/>
  <c r="B1179" i="16"/>
  <c r="A1179" i="16"/>
  <c r="J1178" i="16"/>
  <c r="H1178" i="16"/>
  <c r="G1178" i="16"/>
  <c r="F1178" i="16"/>
  <c r="E1178" i="16"/>
  <c r="D1178" i="16"/>
  <c r="C1178" i="16"/>
  <c r="B1178" i="16"/>
  <c r="A1178" i="16"/>
  <c r="J1177" i="16"/>
  <c r="H1177" i="16"/>
  <c r="G1177" i="16"/>
  <c r="F1177" i="16"/>
  <c r="E1177" i="16"/>
  <c r="D1177" i="16"/>
  <c r="C1177" i="16"/>
  <c r="B1177" i="16"/>
  <c r="A1177" i="16"/>
  <c r="J1176" i="16"/>
  <c r="H1176" i="16"/>
  <c r="G1176" i="16"/>
  <c r="F1176" i="16"/>
  <c r="E1176" i="16"/>
  <c r="D1176" i="16"/>
  <c r="C1176" i="16"/>
  <c r="B1176" i="16"/>
  <c r="A1176" i="16"/>
  <c r="J1175" i="16"/>
  <c r="H1175" i="16"/>
  <c r="G1175" i="16"/>
  <c r="F1175" i="16"/>
  <c r="E1175" i="16"/>
  <c r="D1175" i="16"/>
  <c r="C1175" i="16"/>
  <c r="B1175" i="16"/>
  <c r="A1175" i="16"/>
  <c r="J1174" i="16"/>
  <c r="H1174" i="16"/>
  <c r="G1174" i="16"/>
  <c r="F1174" i="16"/>
  <c r="E1174" i="16"/>
  <c r="D1174" i="16"/>
  <c r="C1174" i="16"/>
  <c r="B1174" i="16"/>
  <c r="A1174" i="16"/>
  <c r="J1173" i="16"/>
  <c r="H1173" i="16"/>
  <c r="G1173" i="16"/>
  <c r="F1173" i="16"/>
  <c r="E1173" i="16"/>
  <c r="D1173" i="16"/>
  <c r="C1173" i="16"/>
  <c r="B1173" i="16"/>
  <c r="A1173" i="16"/>
  <c r="J1172" i="16"/>
  <c r="H1172" i="16"/>
  <c r="G1172" i="16"/>
  <c r="F1172" i="16"/>
  <c r="E1172" i="16"/>
  <c r="D1172" i="16"/>
  <c r="C1172" i="16"/>
  <c r="B1172" i="16"/>
  <c r="A1172" i="16"/>
  <c r="J1171" i="16"/>
  <c r="H1171" i="16"/>
  <c r="G1171" i="16"/>
  <c r="F1171" i="16"/>
  <c r="E1171" i="16"/>
  <c r="D1171" i="16"/>
  <c r="C1171" i="16"/>
  <c r="B1171" i="16"/>
  <c r="A1171" i="16"/>
  <c r="J1170" i="16"/>
  <c r="H1170" i="16"/>
  <c r="G1170" i="16"/>
  <c r="F1170" i="16"/>
  <c r="E1170" i="16"/>
  <c r="D1170" i="16"/>
  <c r="C1170" i="16"/>
  <c r="B1170" i="16"/>
  <c r="A1170" i="16"/>
  <c r="J1169" i="16"/>
  <c r="H1169" i="16"/>
  <c r="G1169" i="16"/>
  <c r="F1169" i="16"/>
  <c r="E1169" i="16"/>
  <c r="D1169" i="16"/>
  <c r="C1169" i="16"/>
  <c r="B1169" i="16"/>
  <c r="A1169" i="16"/>
  <c r="J1168" i="16"/>
  <c r="H1168" i="16"/>
  <c r="G1168" i="16"/>
  <c r="F1168" i="16"/>
  <c r="E1168" i="16"/>
  <c r="D1168" i="16"/>
  <c r="C1168" i="16"/>
  <c r="B1168" i="16"/>
  <c r="A1168" i="16"/>
  <c r="J1167" i="16"/>
  <c r="H1167" i="16"/>
  <c r="G1167" i="16"/>
  <c r="F1167" i="16"/>
  <c r="E1167" i="16"/>
  <c r="D1167" i="16"/>
  <c r="C1167" i="16"/>
  <c r="B1167" i="16"/>
  <c r="A1167" i="16"/>
  <c r="J1166" i="16"/>
  <c r="H1166" i="16"/>
  <c r="G1166" i="16"/>
  <c r="F1166" i="16"/>
  <c r="E1166" i="16"/>
  <c r="D1166" i="16"/>
  <c r="C1166" i="16"/>
  <c r="B1166" i="16"/>
  <c r="A1166" i="16"/>
  <c r="J1165" i="16"/>
  <c r="H1165" i="16"/>
  <c r="G1165" i="16"/>
  <c r="F1165" i="16"/>
  <c r="E1165" i="16"/>
  <c r="D1165" i="16"/>
  <c r="C1165" i="16"/>
  <c r="B1165" i="16"/>
  <c r="A1165" i="16"/>
  <c r="J1164" i="16"/>
  <c r="H1164" i="16"/>
  <c r="G1164" i="16"/>
  <c r="F1164" i="16"/>
  <c r="E1164" i="16"/>
  <c r="D1164" i="16"/>
  <c r="C1164" i="16"/>
  <c r="B1164" i="16"/>
  <c r="A1164" i="16"/>
  <c r="J1163" i="16"/>
  <c r="H1163" i="16"/>
  <c r="G1163" i="16"/>
  <c r="F1163" i="16"/>
  <c r="E1163" i="16"/>
  <c r="D1163" i="16"/>
  <c r="C1163" i="16"/>
  <c r="B1163" i="16"/>
  <c r="A1163" i="16"/>
  <c r="J1162" i="16"/>
  <c r="H1162" i="16"/>
  <c r="G1162" i="16"/>
  <c r="F1162" i="16"/>
  <c r="E1162" i="16"/>
  <c r="D1162" i="16"/>
  <c r="C1162" i="16"/>
  <c r="B1162" i="16"/>
  <c r="A1162" i="16"/>
  <c r="J1161" i="16"/>
  <c r="H1161" i="16"/>
  <c r="G1161" i="16"/>
  <c r="F1161" i="16"/>
  <c r="E1161" i="16"/>
  <c r="D1161" i="16"/>
  <c r="C1161" i="16"/>
  <c r="B1161" i="16"/>
  <c r="A1161" i="16"/>
  <c r="J1160" i="16"/>
  <c r="H1160" i="16"/>
  <c r="G1160" i="16"/>
  <c r="F1160" i="16"/>
  <c r="E1160" i="16"/>
  <c r="D1160" i="16"/>
  <c r="C1160" i="16"/>
  <c r="B1160" i="16"/>
  <c r="A1160" i="16"/>
  <c r="J1159" i="16"/>
  <c r="H1159" i="16"/>
  <c r="G1159" i="16"/>
  <c r="F1159" i="16"/>
  <c r="E1159" i="16"/>
  <c r="D1159" i="16"/>
  <c r="C1159" i="16"/>
  <c r="B1159" i="16"/>
  <c r="A1159" i="16"/>
  <c r="J1158" i="16"/>
  <c r="H1158" i="16"/>
  <c r="G1158" i="16"/>
  <c r="F1158" i="16"/>
  <c r="E1158" i="16"/>
  <c r="D1158" i="16"/>
  <c r="C1158" i="16"/>
  <c r="B1158" i="16"/>
  <c r="A1158" i="16"/>
  <c r="J1157" i="16"/>
  <c r="H1157" i="16"/>
  <c r="G1157" i="16"/>
  <c r="F1157" i="16"/>
  <c r="E1157" i="16"/>
  <c r="D1157" i="16"/>
  <c r="C1157" i="16"/>
  <c r="B1157" i="16"/>
  <c r="A1157" i="16"/>
  <c r="J1156" i="16"/>
  <c r="H1156" i="16"/>
  <c r="G1156" i="16"/>
  <c r="F1156" i="16"/>
  <c r="E1156" i="16"/>
  <c r="D1156" i="16"/>
  <c r="C1156" i="16"/>
  <c r="B1156" i="16"/>
  <c r="A1156" i="16"/>
  <c r="J1155" i="16"/>
  <c r="H1155" i="16"/>
  <c r="G1155" i="16"/>
  <c r="F1155" i="16"/>
  <c r="E1155" i="16"/>
  <c r="D1155" i="16"/>
  <c r="C1155" i="16"/>
  <c r="B1155" i="16"/>
  <c r="A1155" i="16"/>
  <c r="J1154" i="16"/>
  <c r="H1154" i="16"/>
  <c r="G1154" i="16"/>
  <c r="F1154" i="16"/>
  <c r="E1154" i="16"/>
  <c r="D1154" i="16"/>
  <c r="C1154" i="16"/>
  <c r="B1154" i="16"/>
  <c r="A1154" i="16"/>
  <c r="J1153" i="16"/>
  <c r="H1153" i="16"/>
  <c r="G1153" i="16"/>
  <c r="F1153" i="16"/>
  <c r="E1153" i="16"/>
  <c r="D1153" i="16"/>
  <c r="C1153" i="16"/>
  <c r="B1153" i="16"/>
  <c r="A1153" i="16"/>
  <c r="J1152" i="16"/>
  <c r="H1152" i="16"/>
  <c r="G1152" i="16"/>
  <c r="F1152" i="16"/>
  <c r="E1152" i="16"/>
  <c r="D1152" i="16"/>
  <c r="C1152" i="16"/>
  <c r="B1152" i="16"/>
  <c r="A1152" i="16"/>
  <c r="J1151" i="16"/>
  <c r="H1151" i="16"/>
  <c r="G1151" i="16"/>
  <c r="F1151" i="16"/>
  <c r="E1151" i="16"/>
  <c r="D1151" i="16"/>
  <c r="C1151" i="16"/>
  <c r="B1151" i="16"/>
  <c r="A1151" i="16"/>
  <c r="J1150" i="16"/>
  <c r="H1150" i="16"/>
  <c r="G1150" i="16"/>
  <c r="F1150" i="16"/>
  <c r="E1150" i="16"/>
  <c r="D1150" i="16"/>
  <c r="C1150" i="16"/>
  <c r="B1150" i="16"/>
  <c r="A1150" i="16"/>
  <c r="J1149" i="16"/>
  <c r="H1149" i="16"/>
  <c r="G1149" i="16"/>
  <c r="F1149" i="16"/>
  <c r="E1149" i="16"/>
  <c r="D1149" i="16"/>
  <c r="C1149" i="16"/>
  <c r="B1149" i="16"/>
  <c r="A1149" i="16"/>
  <c r="J1148" i="16"/>
  <c r="H1148" i="16"/>
  <c r="G1148" i="16"/>
  <c r="F1148" i="16"/>
  <c r="E1148" i="16"/>
  <c r="D1148" i="16"/>
  <c r="C1148" i="16"/>
  <c r="B1148" i="16"/>
  <c r="A1148" i="16"/>
  <c r="J1147" i="16"/>
  <c r="H1147" i="16"/>
  <c r="G1147" i="16"/>
  <c r="F1147" i="16"/>
  <c r="E1147" i="16"/>
  <c r="D1147" i="16"/>
  <c r="C1147" i="16"/>
  <c r="B1147" i="16"/>
  <c r="A1147" i="16"/>
  <c r="J1146" i="16"/>
  <c r="H1146" i="16"/>
  <c r="G1146" i="16"/>
  <c r="F1146" i="16"/>
  <c r="E1146" i="16"/>
  <c r="D1146" i="16"/>
  <c r="C1146" i="16"/>
  <c r="B1146" i="16"/>
  <c r="A1146" i="16"/>
  <c r="J1145" i="16"/>
  <c r="H1145" i="16"/>
  <c r="G1145" i="16"/>
  <c r="F1145" i="16"/>
  <c r="E1145" i="16"/>
  <c r="D1145" i="16"/>
  <c r="C1145" i="16"/>
  <c r="B1145" i="16"/>
  <c r="A1145" i="16"/>
  <c r="J1144" i="16"/>
  <c r="H1144" i="16"/>
  <c r="G1144" i="16"/>
  <c r="F1144" i="16"/>
  <c r="E1144" i="16"/>
  <c r="D1144" i="16"/>
  <c r="C1144" i="16"/>
  <c r="B1144" i="16"/>
  <c r="A1144" i="16"/>
  <c r="J1143" i="16"/>
  <c r="F1143" i="16"/>
  <c r="E1143" i="16"/>
  <c r="D1143" i="16"/>
  <c r="C1143" i="16"/>
  <c r="B1143" i="16"/>
  <c r="A1143" i="16"/>
  <c r="J1142" i="16"/>
  <c r="F1142" i="16"/>
  <c r="E1142" i="16"/>
  <c r="D1142" i="16"/>
  <c r="C1142" i="16"/>
  <c r="B1142" i="16"/>
  <c r="A1142" i="16"/>
  <c r="J1141" i="16"/>
  <c r="F1141" i="16"/>
  <c r="E1141" i="16"/>
  <c r="D1141" i="16"/>
  <c r="C1141" i="16"/>
  <c r="B1141" i="16"/>
  <c r="A1141" i="16"/>
  <c r="J1140" i="16"/>
  <c r="F1140" i="16"/>
  <c r="E1140" i="16"/>
  <c r="D1140" i="16"/>
  <c r="C1140" i="16"/>
  <c r="B1140" i="16"/>
  <c r="A1140" i="16"/>
  <c r="J1139" i="16"/>
  <c r="F1139" i="16"/>
  <c r="E1139" i="16"/>
  <c r="D1139" i="16"/>
  <c r="C1139" i="16"/>
  <c r="B1139" i="16"/>
  <c r="A1139" i="16"/>
  <c r="J1138" i="16"/>
  <c r="F1138" i="16"/>
  <c r="E1138" i="16"/>
  <c r="D1138" i="16"/>
  <c r="C1138" i="16"/>
  <c r="B1138" i="16"/>
  <c r="A1138" i="16"/>
  <c r="J1137" i="16"/>
  <c r="F1137" i="16"/>
  <c r="E1137" i="16"/>
  <c r="D1137" i="16"/>
  <c r="C1137" i="16"/>
  <c r="B1137" i="16"/>
  <c r="A1137" i="16"/>
  <c r="J1136" i="16"/>
  <c r="H1136" i="16"/>
  <c r="G1136" i="16"/>
  <c r="F1136" i="16"/>
  <c r="E1136" i="16"/>
  <c r="D1136" i="16"/>
  <c r="C1136" i="16"/>
  <c r="B1136" i="16"/>
  <c r="A1136" i="16"/>
  <c r="J1135" i="16"/>
  <c r="H1135" i="16"/>
  <c r="G1135" i="16"/>
  <c r="F1135" i="16"/>
  <c r="E1135" i="16"/>
  <c r="D1135" i="16"/>
  <c r="C1135" i="16"/>
  <c r="B1135" i="16"/>
  <c r="A1135" i="16"/>
  <c r="J1134" i="16"/>
  <c r="H1134" i="16"/>
  <c r="G1134" i="16"/>
  <c r="F1134" i="16"/>
  <c r="E1134" i="16"/>
  <c r="D1134" i="16"/>
  <c r="C1134" i="16"/>
  <c r="B1134" i="16"/>
  <c r="A1134" i="16"/>
  <c r="J1133" i="16"/>
  <c r="H1133" i="16"/>
  <c r="G1133" i="16"/>
  <c r="F1133" i="16"/>
  <c r="E1133" i="16"/>
  <c r="D1133" i="16"/>
  <c r="C1133" i="16"/>
  <c r="B1133" i="16"/>
  <c r="A1133" i="16"/>
  <c r="J1132" i="16"/>
  <c r="H1132" i="16"/>
  <c r="G1132" i="16"/>
  <c r="F1132" i="16"/>
  <c r="E1132" i="16"/>
  <c r="D1132" i="16"/>
  <c r="C1132" i="16"/>
  <c r="B1132" i="16"/>
  <c r="A1132" i="16"/>
  <c r="J1131" i="16"/>
  <c r="H1131" i="16"/>
  <c r="G1131" i="16"/>
  <c r="F1131" i="16"/>
  <c r="E1131" i="16"/>
  <c r="D1131" i="16"/>
  <c r="C1131" i="16"/>
  <c r="B1131" i="16"/>
  <c r="A1131" i="16"/>
  <c r="J1130" i="16"/>
  <c r="H1130" i="16"/>
  <c r="G1130" i="16"/>
  <c r="F1130" i="16"/>
  <c r="E1130" i="16"/>
  <c r="D1130" i="16"/>
  <c r="C1130" i="16"/>
  <c r="B1130" i="16"/>
  <c r="A1130" i="16"/>
  <c r="J1129" i="16"/>
  <c r="H1129" i="16"/>
  <c r="G1129" i="16"/>
  <c r="F1129" i="16"/>
  <c r="E1129" i="16"/>
  <c r="D1129" i="16"/>
  <c r="C1129" i="16"/>
  <c r="B1129" i="16"/>
  <c r="A1129" i="16"/>
  <c r="J1128" i="16"/>
  <c r="H1128" i="16"/>
  <c r="G1128" i="16"/>
  <c r="F1128" i="16"/>
  <c r="E1128" i="16"/>
  <c r="D1128" i="16"/>
  <c r="C1128" i="16"/>
  <c r="B1128" i="16"/>
  <c r="A1128" i="16"/>
  <c r="J1127" i="16"/>
  <c r="H1127" i="16"/>
  <c r="G1127" i="16"/>
  <c r="F1127" i="16"/>
  <c r="E1127" i="16"/>
  <c r="D1127" i="16"/>
  <c r="C1127" i="16"/>
  <c r="B1127" i="16"/>
  <c r="A1127" i="16"/>
  <c r="J1126" i="16"/>
  <c r="H1126" i="16"/>
  <c r="G1126" i="16"/>
  <c r="F1126" i="16"/>
  <c r="E1126" i="16"/>
  <c r="D1126" i="16"/>
  <c r="C1126" i="16"/>
  <c r="B1126" i="16"/>
  <c r="A1126" i="16"/>
  <c r="J1125" i="16"/>
  <c r="H1125" i="16"/>
  <c r="G1125" i="16"/>
  <c r="F1125" i="16"/>
  <c r="E1125" i="16"/>
  <c r="D1125" i="16"/>
  <c r="C1125" i="16"/>
  <c r="B1125" i="16"/>
  <c r="A1125" i="16"/>
  <c r="J1124" i="16"/>
  <c r="H1124" i="16"/>
  <c r="G1124" i="16"/>
  <c r="F1124" i="16"/>
  <c r="E1124" i="16"/>
  <c r="D1124" i="16"/>
  <c r="C1124" i="16"/>
  <c r="B1124" i="16"/>
  <c r="A1124" i="16"/>
  <c r="J1123" i="16"/>
  <c r="H1123" i="16"/>
  <c r="G1123" i="16"/>
  <c r="F1123" i="16"/>
  <c r="E1123" i="16"/>
  <c r="D1123" i="16"/>
  <c r="C1123" i="16"/>
  <c r="B1123" i="16"/>
  <c r="A1123" i="16"/>
  <c r="J1122" i="16"/>
  <c r="H1122" i="16"/>
  <c r="G1122" i="16"/>
  <c r="F1122" i="16"/>
  <c r="E1122" i="16"/>
  <c r="D1122" i="16"/>
  <c r="C1122" i="16"/>
  <c r="B1122" i="16"/>
  <c r="A1122" i="16"/>
  <c r="J1121" i="16"/>
  <c r="H1121" i="16"/>
  <c r="G1121" i="16"/>
  <c r="F1121" i="16"/>
  <c r="E1121" i="16"/>
  <c r="D1121" i="16"/>
  <c r="C1121" i="16"/>
  <c r="B1121" i="16"/>
  <c r="A1121" i="16"/>
  <c r="J1120" i="16"/>
  <c r="H1120" i="16"/>
  <c r="G1120" i="16"/>
  <c r="F1120" i="16"/>
  <c r="E1120" i="16"/>
  <c r="D1120" i="16"/>
  <c r="C1120" i="16"/>
  <c r="B1120" i="16"/>
  <c r="A1120" i="16"/>
  <c r="J1119" i="16"/>
  <c r="H1119" i="16"/>
  <c r="G1119" i="16"/>
  <c r="F1119" i="16"/>
  <c r="E1119" i="16"/>
  <c r="D1119" i="16"/>
  <c r="C1119" i="16"/>
  <c r="B1119" i="16"/>
  <c r="A1119" i="16"/>
  <c r="J1118" i="16"/>
  <c r="H1118" i="16"/>
  <c r="G1118" i="16"/>
  <c r="F1118" i="16"/>
  <c r="E1118" i="16"/>
  <c r="D1118" i="16"/>
  <c r="C1118" i="16"/>
  <c r="B1118" i="16"/>
  <c r="A1118" i="16"/>
  <c r="J1117" i="16"/>
  <c r="H1117" i="16"/>
  <c r="G1117" i="16"/>
  <c r="F1117" i="16"/>
  <c r="E1117" i="16"/>
  <c r="D1117" i="16"/>
  <c r="C1117" i="16"/>
  <c r="B1117" i="16"/>
  <c r="A1117" i="16"/>
  <c r="J1116" i="16"/>
  <c r="H1116" i="16"/>
  <c r="G1116" i="16"/>
  <c r="F1116" i="16"/>
  <c r="E1116" i="16"/>
  <c r="D1116" i="16"/>
  <c r="C1116" i="16"/>
  <c r="B1116" i="16"/>
  <c r="A1116" i="16"/>
  <c r="J1115" i="16"/>
  <c r="H1115" i="16"/>
  <c r="G1115" i="16"/>
  <c r="F1115" i="16"/>
  <c r="E1115" i="16"/>
  <c r="D1115" i="16"/>
  <c r="C1115" i="16"/>
  <c r="B1115" i="16"/>
  <c r="A1115" i="16"/>
  <c r="J1114" i="16"/>
  <c r="H1114" i="16"/>
  <c r="G1114" i="16"/>
  <c r="F1114" i="16"/>
  <c r="E1114" i="16"/>
  <c r="D1114" i="16"/>
  <c r="C1114" i="16"/>
  <c r="B1114" i="16"/>
  <c r="A1114" i="16"/>
  <c r="J1113" i="16"/>
  <c r="H1113" i="16"/>
  <c r="G1113" i="16"/>
  <c r="F1113" i="16"/>
  <c r="E1113" i="16"/>
  <c r="D1113" i="16"/>
  <c r="C1113" i="16"/>
  <c r="B1113" i="16"/>
  <c r="A1113" i="16"/>
  <c r="J1112" i="16"/>
  <c r="H1112" i="16"/>
  <c r="G1112" i="16"/>
  <c r="F1112" i="16"/>
  <c r="E1112" i="16"/>
  <c r="D1112" i="16"/>
  <c r="C1112" i="16"/>
  <c r="B1112" i="16"/>
  <c r="A1112" i="16"/>
  <c r="J1111" i="16"/>
  <c r="H1111" i="16"/>
  <c r="G1111" i="16"/>
  <c r="F1111" i="16"/>
  <c r="E1111" i="16"/>
  <c r="D1111" i="16"/>
  <c r="C1111" i="16"/>
  <c r="B1111" i="16"/>
  <c r="A1111" i="16"/>
  <c r="J1110" i="16"/>
  <c r="H1110" i="16"/>
  <c r="G1110" i="16"/>
  <c r="F1110" i="16"/>
  <c r="E1110" i="16"/>
  <c r="D1110" i="16"/>
  <c r="C1110" i="16"/>
  <c r="B1110" i="16"/>
  <c r="A1110" i="16"/>
  <c r="J1109" i="16"/>
  <c r="H1109" i="16"/>
  <c r="G1109" i="16"/>
  <c r="F1109" i="16"/>
  <c r="E1109" i="16"/>
  <c r="D1109" i="16"/>
  <c r="C1109" i="16"/>
  <c r="B1109" i="16"/>
  <c r="A1109" i="16"/>
  <c r="J1108" i="16"/>
  <c r="H1108" i="16"/>
  <c r="G1108" i="16"/>
  <c r="F1108" i="16"/>
  <c r="E1108" i="16"/>
  <c r="D1108" i="16"/>
  <c r="C1108" i="16"/>
  <c r="B1108" i="16"/>
  <c r="A1108" i="16"/>
  <c r="J1107" i="16"/>
  <c r="H1107" i="16"/>
  <c r="G1107" i="16"/>
  <c r="F1107" i="16"/>
  <c r="E1107" i="16"/>
  <c r="D1107" i="16"/>
  <c r="C1107" i="16"/>
  <c r="B1107" i="16"/>
  <c r="A1107" i="16"/>
  <c r="J1106" i="16"/>
  <c r="H1106" i="16"/>
  <c r="G1106" i="16"/>
  <c r="F1106" i="16"/>
  <c r="E1106" i="16"/>
  <c r="D1106" i="16"/>
  <c r="C1106" i="16"/>
  <c r="B1106" i="16"/>
  <c r="A1106" i="16"/>
  <c r="J1105" i="16"/>
  <c r="H1105" i="16"/>
  <c r="G1105" i="16"/>
  <c r="F1105" i="16"/>
  <c r="E1105" i="16"/>
  <c r="D1105" i="16"/>
  <c r="C1105" i="16"/>
  <c r="B1105" i="16"/>
  <c r="A1105" i="16"/>
  <c r="J1104" i="16"/>
  <c r="H1104" i="16"/>
  <c r="G1104" i="16"/>
  <c r="F1104" i="16"/>
  <c r="E1104" i="16"/>
  <c r="D1104" i="16"/>
  <c r="C1104" i="16"/>
  <c r="B1104" i="16"/>
  <c r="A1104" i="16"/>
  <c r="J1103" i="16"/>
  <c r="H1103" i="16"/>
  <c r="G1103" i="16"/>
  <c r="F1103" i="16"/>
  <c r="E1103" i="16"/>
  <c r="D1103" i="16"/>
  <c r="C1103" i="16"/>
  <c r="B1103" i="16"/>
  <c r="A1103" i="16"/>
  <c r="J1102" i="16"/>
  <c r="H1102" i="16"/>
  <c r="G1102" i="16"/>
  <c r="F1102" i="16"/>
  <c r="E1102" i="16"/>
  <c r="D1102" i="16"/>
  <c r="C1102" i="16"/>
  <c r="B1102" i="16"/>
  <c r="A1102" i="16"/>
  <c r="J1101" i="16"/>
  <c r="H1101" i="16"/>
  <c r="G1101" i="16"/>
  <c r="F1101" i="16"/>
  <c r="E1101" i="16"/>
  <c r="D1101" i="16"/>
  <c r="C1101" i="16"/>
  <c r="B1101" i="16"/>
  <c r="A1101" i="16"/>
  <c r="J1100" i="16"/>
  <c r="H1100" i="16"/>
  <c r="G1100" i="16"/>
  <c r="F1100" i="16"/>
  <c r="E1100" i="16"/>
  <c r="D1100" i="16"/>
  <c r="C1100" i="16"/>
  <c r="B1100" i="16"/>
  <c r="A1100" i="16"/>
  <c r="J1099" i="16"/>
  <c r="H1099" i="16"/>
  <c r="G1099" i="16"/>
  <c r="F1099" i="16"/>
  <c r="E1099" i="16"/>
  <c r="D1099" i="16"/>
  <c r="C1099" i="16"/>
  <c r="B1099" i="16"/>
  <c r="A1099" i="16"/>
  <c r="J1098" i="16"/>
  <c r="H1098" i="16"/>
  <c r="G1098" i="16"/>
  <c r="F1098" i="16"/>
  <c r="E1098" i="16"/>
  <c r="D1098" i="16"/>
  <c r="C1098" i="16"/>
  <c r="B1098" i="16"/>
  <c r="A1098" i="16"/>
  <c r="J1097" i="16"/>
  <c r="F1097" i="16"/>
  <c r="E1097" i="16"/>
  <c r="D1097" i="16"/>
  <c r="C1097" i="16"/>
  <c r="B1097" i="16"/>
  <c r="A1097" i="16"/>
  <c r="J1096" i="16"/>
  <c r="F1096" i="16"/>
  <c r="E1096" i="16"/>
  <c r="D1096" i="16"/>
  <c r="C1096" i="16"/>
  <c r="B1096" i="16"/>
  <c r="A1096" i="16"/>
  <c r="J1095" i="16"/>
  <c r="F1095" i="16"/>
  <c r="E1095" i="16"/>
  <c r="D1095" i="16"/>
  <c r="C1095" i="16"/>
  <c r="B1095" i="16"/>
  <c r="A1095" i="16"/>
  <c r="J1094" i="16"/>
  <c r="F1094" i="16"/>
  <c r="E1094" i="16"/>
  <c r="D1094" i="16"/>
  <c r="C1094" i="16"/>
  <c r="B1094" i="16"/>
  <c r="A1094" i="16"/>
  <c r="J1093" i="16"/>
  <c r="F1093" i="16"/>
  <c r="E1093" i="16"/>
  <c r="D1093" i="16"/>
  <c r="C1093" i="16"/>
  <c r="B1093" i="16"/>
  <c r="A1093" i="16"/>
  <c r="J1092" i="16"/>
  <c r="F1092" i="16"/>
  <c r="E1092" i="16"/>
  <c r="D1092" i="16"/>
  <c r="C1092" i="16"/>
  <c r="B1092" i="16"/>
  <c r="A1092" i="16"/>
  <c r="J1091" i="16"/>
  <c r="F1091" i="16"/>
  <c r="E1091" i="16"/>
  <c r="D1091" i="16"/>
  <c r="C1091" i="16"/>
  <c r="B1091" i="16"/>
  <c r="A1091" i="16"/>
  <c r="J1090" i="16"/>
  <c r="H1090" i="16"/>
  <c r="G1090" i="16"/>
  <c r="F1090" i="16"/>
  <c r="E1090" i="16"/>
  <c r="D1090" i="16"/>
  <c r="C1090" i="16"/>
  <c r="B1090" i="16"/>
  <c r="A1090" i="16"/>
  <c r="J1089" i="16"/>
  <c r="H1089" i="16"/>
  <c r="G1089" i="16"/>
  <c r="F1089" i="16"/>
  <c r="E1089" i="16"/>
  <c r="D1089" i="16"/>
  <c r="C1089" i="16"/>
  <c r="B1089" i="16"/>
  <c r="A1089" i="16"/>
  <c r="J1088" i="16"/>
  <c r="H1088" i="16"/>
  <c r="G1088" i="16"/>
  <c r="F1088" i="16"/>
  <c r="E1088" i="16"/>
  <c r="D1088" i="16"/>
  <c r="C1088" i="16"/>
  <c r="B1088" i="16"/>
  <c r="A1088" i="16"/>
  <c r="J1087" i="16"/>
  <c r="H1087" i="16"/>
  <c r="G1087" i="16"/>
  <c r="F1087" i="16"/>
  <c r="E1087" i="16"/>
  <c r="D1087" i="16"/>
  <c r="C1087" i="16"/>
  <c r="B1087" i="16"/>
  <c r="A1087" i="16"/>
  <c r="J1086" i="16"/>
  <c r="F1086" i="16"/>
  <c r="E1086" i="16"/>
  <c r="D1086" i="16"/>
  <c r="C1086" i="16"/>
  <c r="B1086" i="16"/>
  <c r="A1086" i="16"/>
  <c r="J1085" i="16"/>
  <c r="F1085" i="16"/>
  <c r="E1085" i="16"/>
  <c r="D1085" i="16"/>
  <c r="C1085" i="16"/>
  <c r="B1085" i="16"/>
  <c r="A1085" i="16"/>
  <c r="J1084" i="16"/>
  <c r="F1084" i="16"/>
  <c r="E1084" i="16"/>
  <c r="D1084" i="16"/>
  <c r="C1084" i="16"/>
  <c r="B1084" i="16"/>
  <c r="A1084" i="16"/>
  <c r="J1083" i="16"/>
  <c r="F1083" i="16"/>
  <c r="E1083" i="16"/>
  <c r="D1083" i="16"/>
  <c r="C1083" i="16"/>
  <c r="B1083" i="16"/>
  <c r="A1083" i="16"/>
  <c r="J1082" i="16"/>
  <c r="F1082" i="16"/>
  <c r="E1082" i="16"/>
  <c r="D1082" i="16"/>
  <c r="C1082" i="16"/>
  <c r="B1082" i="16"/>
  <c r="A1082" i="16"/>
  <c r="J1081" i="16"/>
  <c r="F1081" i="16"/>
  <c r="E1081" i="16"/>
  <c r="D1081" i="16"/>
  <c r="C1081" i="16"/>
  <c r="B1081" i="16"/>
  <c r="A1081" i="16"/>
  <c r="J1080" i="16"/>
  <c r="F1080" i="16"/>
  <c r="E1080" i="16"/>
  <c r="D1080" i="16"/>
  <c r="C1080" i="16"/>
  <c r="B1080" i="16"/>
  <c r="A1080" i="16"/>
  <c r="J1079" i="16"/>
  <c r="H1079" i="16"/>
  <c r="G1079" i="16"/>
  <c r="E1079" i="16"/>
  <c r="D1079" i="16"/>
  <c r="C1079" i="16"/>
  <c r="B1079" i="16"/>
  <c r="A1079" i="16"/>
  <c r="J1078" i="16"/>
  <c r="H1078" i="16"/>
  <c r="G1078" i="16"/>
  <c r="E1078" i="16"/>
  <c r="D1078" i="16"/>
  <c r="C1078" i="16"/>
  <c r="B1078" i="16"/>
  <c r="A1078" i="16"/>
  <c r="J1077" i="16"/>
  <c r="H1077" i="16"/>
  <c r="G1077" i="16"/>
  <c r="E1077" i="16"/>
  <c r="D1077" i="16"/>
  <c r="C1077" i="16"/>
  <c r="B1077" i="16"/>
  <c r="A1077" i="16"/>
  <c r="J1076" i="16"/>
  <c r="H1076" i="16"/>
  <c r="G1076" i="16"/>
  <c r="E1076" i="16"/>
  <c r="D1076" i="16"/>
  <c r="C1076" i="16"/>
  <c r="B1076" i="16"/>
  <c r="A1076" i="16"/>
  <c r="J1075" i="16"/>
  <c r="H1075" i="16"/>
  <c r="G1075" i="16"/>
  <c r="E1075" i="16"/>
  <c r="D1075" i="16"/>
  <c r="C1075" i="16"/>
  <c r="B1075" i="16"/>
  <c r="A1075" i="16"/>
  <c r="J1074" i="16"/>
  <c r="H1074" i="16"/>
  <c r="G1074" i="16"/>
  <c r="E1074" i="16"/>
  <c r="D1074" i="16"/>
  <c r="C1074" i="16"/>
  <c r="B1074" i="16"/>
  <c r="A1074" i="16"/>
  <c r="J1073" i="16"/>
  <c r="H1073" i="16"/>
  <c r="G1073" i="16"/>
  <c r="E1073" i="16"/>
  <c r="D1073" i="16"/>
  <c r="C1073" i="16"/>
  <c r="B1073" i="16"/>
  <c r="A1073" i="16"/>
  <c r="J1072" i="16"/>
  <c r="H1072" i="16"/>
  <c r="G1072" i="16"/>
  <c r="F1072" i="16"/>
  <c r="E1072" i="16"/>
  <c r="D1072" i="16"/>
  <c r="C1072" i="16"/>
  <c r="B1072" i="16"/>
  <c r="A1072" i="16"/>
  <c r="J1071" i="16"/>
  <c r="H1071" i="16"/>
  <c r="G1071" i="16"/>
  <c r="F1071" i="16"/>
  <c r="E1071" i="16"/>
  <c r="D1071" i="16"/>
  <c r="C1071" i="16"/>
  <c r="B1071" i="16"/>
  <c r="A1071" i="16"/>
  <c r="J1070" i="16"/>
  <c r="H1070" i="16"/>
  <c r="G1070" i="16"/>
  <c r="F1070" i="16"/>
  <c r="E1070" i="16"/>
  <c r="D1070" i="16"/>
  <c r="C1070" i="16"/>
  <c r="B1070" i="16"/>
  <c r="A1070" i="16"/>
  <c r="J1069" i="16"/>
  <c r="H1069" i="16"/>
  <c r="G1069" i="16"/>
  <c r="F1069" i="16"/>
  <c r="E1069" i="16"/>
  <c r="D1069" i="16"/>
  <c r="C1069" i="16"/>
  <c r="B1069" i="16"/>
  <c r="A1069" i="16"/>
  <c r="J1068" i="16"/>
  <c r="H1068" i="16"/>
  <c r="G1068" i="16"/>
  <c r="F1068" i="16"/>
  <c r="E1068" i="16"/>
  <c r="D1068" i="16"/>
  <c r="C1068" i="16"/>
  <c r="B1068" i="16"/>
  <c r="A1068" i="16"/>
  <c r="J1067" i="16"/>
  <c r="H1067" i="16"/>
  <c r="G1067" i="16"/>
  <c r="F1067" i="16"/>
  <c r="E1067" i="16"/>
  <c r="D1067" i="16"/>
  <c r="C1067" i="16"/>
  <c r="B1067" i="16"/>
  <c r="A1067" i="16"/>
  <c r="J1066" i="16"/>
  <c r="H1066" i="16"/>
  <c r="G1066" i="16"/>
  <c r="F1066" i="16"/>
  <c r="E1066" i="16"/>
  <c r="D1066" i="16"/>
  <c r="C1066" i="16"/>
  <c r="B1066" i="16"/>
  <c r="A1066" i="16"/>
  <c r="J1065" i="16"/>
  <c r="H1065" i="16"/>
  <c r="G1065" i="16"/>
  <c r="F1065" i="16"/>
  <c r="E1065" i="16"/>
  <c r="D1065" i="16"/>
  <c r="C1065" i="16"/>
  <c r="B1065" i="16"/>
  <c r="A1065" i="16"/>
  <c r="J1064" i="16"/>
  <c r="H1064" i="16"/>
  <c r="G1064" i="16"/>
  <c r="F1064" i="16"/>
  <c r="E1064" i="16"/>
  <c r="D1064" i="16"/>
  <c r="C1064" i="16"/>
  <c r="B1064" i="16"/>
  <c r="A1064" i="16"/>
  <c r="J1063" i="16"/>
  <c r="H1063" i="16"/>
  <c r="G1063" i="16"/>
  <c r="F1063" i="16"/>
  <c r="E1063" i="16"/>
  <c r="D1063" i="16"/>
  <c r="C1063" i="16"/>
  <c r="B1063" i="16"/>
  <c r="A1063" i="16"/>
  <c r="J1062" i="16"/>
  <c r="H1062" i="16"/>
  <c r="G1062" i="16"/>
  <c r="F1062" i="16"/>
  <c r="E1062" i="16"/>
  <c r="D1062" i="16"/>
  <c r="C1062" i="16"/>
  <c r="B1062" i="16"/>
  <c r="A1062" i="16"/>
  <c r="J1061" i="16"/>
  <c r="H1061" i="16"/>
  <c r="G1061" i="16"/>
  <c r="F1061" i="16"/>
  <c r="E1061" i="16"/>
  <c r="D1061" i="16"/>
  <c r="C1061" i="16"/>
  <c r="B1061" i="16"/>
  <c r="A1061" i="16"/>
  <c r="J1060" i="16"/>
  <c r="H1060" i="16"/>
  <c r="G1060" i="16"/>
  <c r="F1060" i="16"/>
  <c r="E1060" i="16"/>
  <c r="D1060" i="16"/>
  <c r="C1060" i="16"/>
  <c r="B1060" i="16"/>
  <c r="A1060" i="16"/>
  <c r="J1059" i="16"/>
  <c r="H1059" i="16"/>
  <c r="G1059" i="16"/>
  <c r="F1059" i="16"/>
  <c r="E1059" i="16"/>
  <c r="D1059" i="16"/>
  <c r="C1059" i="16"/>
  <c r="B1059" i="16"/>
  <c r="A1059" i="16"/>
  <c r="J1058" i="16"/>
  <c r="H1058" i="16"/>
  <c r="G1058" i="16"/>
  <c r="F1058" i="16"/>
  <c r="E1058" i="16"/>
  <c r="D1058" i="16"/>
  <c r="C1058" i="16"/>
  <c r="B1058" i="16"/>
  <c r="A1058" i="16"/>
  <c r="J1057" i="16"/>
  <c r="H1057" i="16"/>
  <c r="G1057" i="16"/>
  <c r="F1057" i="16"/>
  <c r="E1057" i="16"/>
  <c r="D1057" i="16"/>
  <c r="C1057" i="16"/>
  <c r="B1057" i="16"/>
  <c r="A1057" i="16"/>
  <c r="J1056" i="16"/>
  <c r="H1056" i="16"/>
  <c r="G1056" i="16"/>
  <c r="F1056" i="16"/>
  <c r="E1056" i="16"/>
  <c r="D1056" i="16"/>
  <c r="C1056" i="16"/>
  <c r="B1056" i="16"/>
  <c r="A1056" i="16"/>
  <c r="J1055" i="16"/>
  <c r="H1055" i="16"/>
  <c r="G1055" i="16"/>
  <c r="F1055" i="16"/>
  <c r="E1055" i="16"/>
  <c r="D1055" i="16"/>
  <c r="C1055" i="16"/>
  <c r="B1055" i="16"/>
  <c r="A1055" i="16"/>
  <c r="J1054" i="16"/>
  <c r="H1054" i="16"/>
  <c r="G1054" i="16"/>
  <c r="F1054" i="16"/>
  <c r="E1054" i="16"/>
  <c r="D1054" i="16"/>
  <c r="C1054" i="16"/>
  <c r="B1054" i="16"/>
  <c r="A1054" i="16"/>
  <c r="J1053" i="16"/>
  <c r="H1053" i="16"/>
  <c r="G1053" i="16"/>
  <c r="F1053" i="16"/>
  <c r="E1053" i="16"/>
  <c r="D1053" i="16"/>
  <c r="C1053" i="16"/>
  <c r="B1053" i="16"/>
  <c r="A1053" i="16"/>
  <c r="J1052" i="16"/>
  <c r="H1052" i="16"/>
  <c r="G1052" i="16"/>
  <c r="F1052" i="16"/>
  <c r="E1052" i="16"/>
  <c r="D1052" i="16"/>
  <c r="C1052" i="16"/>
  <c r="B1052" i="16"/>
  <c r="A1052" i="16"/>
  <c r="J1051" i="16"/>
  <c r="H1051" i="16"/>
  <c r="G1051" i="16"/>
  <c r="F1051" i="16"/>
  <c r="E1051" i="16"/>
  <c r="D1051" i="16"/>
  <c r="C1051" i="16"/>
  <c r="B1051" i="16"/>
  <c r="A1051" i="16"/>
  <c r="J1050" i="16"/>
  <c r="H1050" i="16"/>
  <c r="G1050" i="16"/>
  <c r="F1050" i="16"/>
  <c r="E1050" i="16"/>
  <c r="D1050" i="16"/>
  <c r="C1050" i="16"/>
  <c r="B1050" i="16"/>
  <c r="A1050" i="16"/>
  <c r="J1049" i="16"/>
  <c r="H1049" i="16"/>
  <c r="G1049" i="16"/>
  <c r="F1049" i="16"/>
  <c r="E1049" i="16"/>
  <c r="D1049" i="16"/>
  <c r="C1049" i="16"/>
  <c r="B1049" i="16"/>
  <c r="A1049" i="16"/>
  <c r="J1048" i="16"/>
  <c r="H1048" i="16"/>
  <c r="G1048" i="16"/>
  <c r="F1048" i="16"/>
  <c r="E1048" i="16"/>
  <c r="D1048" i="16"/>
  <c r="C1048" i="16"/>
  <c r="B1048" i="16"/>
  <c r="A1048" i="16"/>
  <c r="J1047" i="16"/>
  <c r="H1047" i="16"/>
  <c r="G1047" i="16"/>
  <c r="F1047" i="16"/>
  <c r="E1047" i="16"/>
  <c r="D1047" i="16"/>
  <c r="C1047" i="16"/>
  <c r="B1047" i="16"/>
  <c r="A1047" i="16"/>
  <c r="J1046" i="16"/>
  <c r="H1046" i="16"/>
  <c r="G1046" i="16"/>
  <c r="F1046" i="16"/>
  <c r="E1046" i="16"/>
  <c r="D1046" i="16"/>
  <c r="C1046" i="16"/>
  <c r="B1046" i="16"/>
  <c r="A1046" i="16"/>
  <c r="J1045" i="16"/>
  <c r="H1045" i="16"/>
  <c r="G1045" i="16"/>
  <c r="F1045" i="16"/>
  <c r="E1045" i="16"/>
  <c r="D1045" i="16"/>
  <c r="C1045" i="16"/>
  <c r="B1045" i="16"/>
  <c r="A1045" i="16"/>
  <c r="J1044" i="16"/>
  <c r="H1044" i="16"/>
  <c r="G1044" i="16"/>
  <c r="E1044" i="16"/>
  <c r="D1044" i="16"/>
  <c r="C1044" i="16"/>
  <c r="B1044" i="16"/>
  <c r="A1044" i="16"/>
  <c r="J1043" i="16"/>
  <c r="H1043" i="16"/>
  <c r="G1043" i="16"/>
  <c r="E1043" i="16"/>
  <c r="D1043" i="16"/>
  <c r="C1043" i="16"/>
  <c r="B1043" i="16"/>
  <c r="A1043" i="16"/>
  <c r="J1042" i="16"/>
  <c r="H1042" i="16"/>
  <c r="G1042" i="16"/>
  <c r="E1042" i="16"/>
  <c r="D1042" i="16"/>
  <c r="C1042" i="16"/>
  <c r="B1042" i="16"/>
  <c r="A1042" i="16"/>
  <c r="J1041" i="16"/>
  <c r="H1041" i="16"/>
  <c r="G1041" i="16"/>
  <c r="E1041" i="16"/>
  <c r="D1041" i="16"/>
  <c r="C1041" i="16"/>
  <c r="B1041" i="16"/>
  <c r="A1041" i="16"/>
  <c r="J1040" i="16"/>
  <c r="H1040" i="16"/>
  <c r="G1040" i="16"/>
  <c r="E1040" i="16"/>
  <c r="D1040" i="16"/>
  <c r="C1040" i="16"/>
  <c r="B1040" i="16"/>
  <c r="A1040" i="16"/>
  <c r="J1039" i="16"/>
  <c r="H1039" i="16"/>
  <c r="G1039" i="16"/>
  <c r="E1039" i="16"/>
  <c r="D1039" i="16"/>
  <c r="C1039" i="16"/>
  <c r="B1039" i="16"/>
  <c r="A1039" i="16"/>
  <c r="J1038" i="16"/>
  <c r="H1038" i="16"/>
  <c r="G1038" i="16"/>
  <c r="E1038" i="16"/>
  <c r="D1038" i="16"/>
  <c r="C1038" i="16"/>
  <c r="B1038" i="16"/>
  <c r="A1038" i="16"/>
  <c r="J1037" i="16"/>
  <c r="H1037" i="16"/>
  <c r="G1037" i="16"/>
  <c r="E1037" i="16"/>
  <c r="D1037" i="16"/>
  <c r="C1037" i="16"/>
  <c r="B1037" i="16"/>
  <c r="A1037" i="16"/>
  <c r="J1036" i="16"/>
  <c r="H1036" i="16"/>
  <c r="G1036" i="16"/>
  <c r="E1036" i="16"/>
  <c r="D1036" i="16"/>
  <c r="C1036" i="16"/>
  <c r="B1036" i="16"/>
  <c r="A1036" i="16"/>
  <c r="J1035" i="16"/>
  <c r="H1035" i="16"/>
  <c r="G1035" i="16"/>
  <c r="E1035" i="16"/>
  <c r="D1035" i="16"/>
  <c r="C1035" i="16"/>
  <c r="B1035" i="16"/>
  <c r="A1035" i="16"/>
  <c r="J1034" i="16"/>
  <c r="H1034" i="16"/>
  <c r="G1034" i="16"/>
  <c r="E1034" i="16"/>
  <c r="D1034" i="16"/>
  <c r="C1034" i="16"/>
  <c r="B1034" i="16"/>
  <c r="A1034" i="16"/>
  <c r="J1033" i="16"/>
  <c r="H1033" i="16"/>
  <c r="G1033" i="16"/>
  <c r="E1033" i="16"/>
  <c r="D1033" i="16"/>
  <c r="C1033" i="16"/>
  <c r="B1033" i="16"/>
  <c r="A1033" i="16"/>
  <c r="J1032" i="16"/>
  <c r="H1032" i="16"/>
  <c r="G1032" i="16"/>
  <c r="E1032" i="16"/>
  <c r="D1032" i="16"/>
  <c r="C1032" i="16"/>
  <c r="B1032" i="16"/>
  <c r="A1032" i="16"/>
  <c r="J1031" i="16"/>
  <c r="H1031" i="16"/>
  <c r="G1031" i="16"/>
  <c r="F1031" i="16"/>
  <c r="E1031" i="16"/>
  <c r="D1031" i="16"/>
  <c r="C1031" i="16"/>
  <c r="B1031" i="16"/>
  <c r="A1031" i="16"/>
  <c r="J1030" i="16"/>
  <c r="H1030" i="16"/>
  <c r="G1030" i="16"/>
  <c r="F1030" i="16"/>
  <c r="E1030" i="16"/>
  <c r="D1030" i="16"/>
  <c r="C1030" i="16"/>
  <c r="B1030" i="16"/>
  <c r="A1030" i="16"/>
  <c r="J1029" i="16"/>
  <c r="H1029" i="16"/>
  <c r="G1029" i="16"/>
  <c r="F1029" i="16"/>
  <c r="E1029" i="16"/>
  <c r="D1029" i="16"/>
  <c r="C1029" i="16"/>
  <c r="B1029" i="16"/>
  <c r="A1029" i="16"/>
  <c r="J1028" i="16"/>
  <c r="H1028" i="16"/>
  <c r="G1028" i="16"/>
  <c r="F1028" i="16"/>
  <c r="E1028" i="16"/>
  <c r="D1028" i="16"/>
  <c r="C1028" i="16"/>
  <c r="B1028" i="16"/>
  <c r="A1028" i="16"/>
  <c r="J1027" i="16"/>
  <c r="H1027" i="16"/>
  <c r="G1027" i="16"/>
  <c r="F1027" i="16"/>
  <c r="E1027" i="16"/>
  <c r="D1027" i="16"/>
  <c r="C1027" i="16"/>
  <c r="B1027" i="16"/>
  <c r="A1027" i="16"/>
  <c r="J1026" i="16"/>
  <c r="H1026" i="16"/>
  <c r="G1026" i="16"/>
  <c r="F1026" i="16"/>
  <c r="E1026" i="16"/>
  <c r="D1026" i="16"/>
  <c r="C1026" i="16"/>
  <c r="B1026" i="16"/>
  <c r="A1026" i="16"/>
  <c r="J1025" i="16"/>
  <c r="H1025" i="16"/>
  <c r="G1025" i="16"/>
  <c r="F1025" i="16"/>
  <c r="E1025" i="16"/>
  <c r="D1025" i="16"/>
  <c r="C1025" i="16"/>
  <c r="B1025" i="16"/>
  <c r="A1025" i="16"/>
  <c r="J1024" i="16"/>
  <c r="H1024" i="16"/>
  <c r="G1024" i="16"/>
  <c r="F1024" i="16"/>
  <c r="E1024" i="16"/>
  <c r="D1024" i="16"/>
  <c r="C1024" i="16"/>
  <c r="B1024" i="16"/>
  <c r="A1024" i="16"/>
  <c r="J1023" i="16"/>
  <c r="H1023" i="16"/>
  <c r="G1023" i="16"/>
  <c r="F1023" i="16"/>
  <c r="E1023" i="16"/>
  <c r="D1023" i="16"/>
  <c r="C1023" i="16"/>
  <c r="B1023" i="16"/>
  <c r="A1023" i="16"/>
  <c r="J1022" i="16"/>
  <c r="H1022" i="16"/>
  <c r="G1022" i="16"/>
  <c r="F1022" i="16"/>
  <c r="E1022" i="16"/>
  <c r="D1022" i="16"/>
  <c r="C1022" i="16"/>
  <c r="B1022" i="16"/>
  <c r="A1022" i="16"/>
  <c r="J1021" i="16"/>
  <c r="H1021" i="16"/>
  <c r="G1021" i="16"/>
  <c r="F1021" i="16"/>
  <c r="E1021" i="16"/>
  <c r="D1021" i="16"/>
  <c r="C1021" i="16"/>
  <c r="B1021" i="16"/>
  <c r="A1021" i="16"/>
  <c r="J1020" i="16"/>
  <c r="H1020" i="16"/>
  <c r="G1020" i="16"/>
  <c r="F1020" i="16"/>
  <c r="E1020" i="16"/>
  <c r="D1020" i="16"/>
  <c r="C1020" i="16"/>
  <c r="B1020" i="16"/>
  <c r="A1020" i="16"/>
  <c r="J1019" i="16"/>
  <c r="H1019" i="16"/>
  <c r="G1019" i="16"/>
  <c r="F1019" i="16"/>
  <c r="E1019" i="16"/>
  <c r="D1019" i="16"/>
  <c r="C1019" i="16"/>
  <c r="B1019" i="16"/>
  <c r="A1019" i="16"/>
  <c r="J1018" i="16"/>
  <c r="H1018" i="16"/>
  <c r="G1018" i="16"/>
  <c r="F1018" i="16"/>
  <c r="E1018" i="16"/>
  <c r="D1018" i="16"/>
  <c r="C1018" i="16"/>
  <c r="B1018" i="16"/>
  <c r="A1018" i="16"/>
  <c r="J1017" i="16"/>
  <c r="H1017" i="16"/>
  <c r="G1017" i="16"/>
  <c r="F1017" i="16"/>
  <c r="E1017" i="16"/>
  <c r="D1017" i="16"/>
  <c r="C1017" i="16"/>
  <c r="B1017" i="16"/>
  <c r="A1017" i="16"/>
  <c r="J1016" i="16"/>
  <c r="H1016" i="16"/>
  <c r="G1016" i="16"/>
  <c r="F1016" i="16"/>
  <c r="E1016" i="16"/>
  <c r="D1016" i="16"/>
  <c r="C1016" i="16"/>
  <c r="B1016" i="16"/>
  <c r="A1016" i="16"/>
  <c r="J1015" i="16"/>
  <c r="H1015" i="16"/>
  <c r="G1015" i="16"/>
  <c r="F1015" i="16"/>
  <c r="E1015" i="16"/>
  <c r="D1015" i="16"/>
  <c r="C1015" i="16"/>
  <c r="B1015" i="16"/>
  <c r="A1015" i="16"/>
  <c r="J1014" i="16"/>
  <c r="H1014" i="16"/>
  <c r="G1014" i="16"/>
  <c r="F1014" i="16"/>
  <c r="E1014" i="16"/>
  <c r="D1014" i="16"/>
  <c r="C1014" i="16"/>
  <c r="B1014" i="16"/>
  <c r="A1014" i="16"/>
  <c r="J1013" i="16"/>
  <c r="H1013" i="16"/>
  <c r="G1013" i="16"/>
  <c r="F1013" i="16"/>
  <c r="E1013" i="16"/>
  <c r="D1013" i="16"/>
  <c r="C1013" i="16"/>
  <c r="B1013" i="16"/>
  <c r="A1013" i="16"/>
  <c r="J1012" i="16"/>
  <c r="H1012" i="16"/>
  <c r="G1012" i="16"/>
  <c r="F1012" i="16"/>
  <c r="E1012" i="16"/>
  <c r="D1012" i="16"/>
  <c r="C1012" i="16"/>
  <c r="B1012" i="16"/>
  <c r="A1012" i="16"/>
  <c r="J1011" i="16"/>
  <c r="H1011" i="16"/>
  <c r="G1011" i="16"/>
  <c r="F1011" i="16"/>
  <c r="E1011" i="16"/>
  <c r="D1011" i="16"/>
  <c r="C1011" i="16"/>
  <c r="B1011" i="16"/>
  <c r="A1011" i="16"/>
  <c r="J1010" i="16"/>
  <c r="H1010" i="16"/>
  <c r="G1010" i="16"/>
  <c r="F1010" i="16"/>
  <c r="E1010" i="16"/>
  <c r="D1010" i="16"/>
  <c r="C1010" i="16"/>
  <c r="B1010" i="16"/>
  <c r="A1010" i="16"/>
  <c r="J1009" i="16"/>
  <c r="H1009" i="16"/>
  <c r="G1009" i="16"/>
  <c r="F1009" i="16"/>
  <c r="E1009" i="16"/>
  <c r="D1009" i="16"/>
  <c r="C1009" i="16"/>
  <c r="B1009" i="16"/>
  <c r="A1009" i="16"/>
  <c r="J1008" i="16"/>
  <c r="F1008" i="16"/>
  <c r="E1008" i="16"/>
  <c r="D1008" i="16"/>
  <c r="C1008" i="16"/>
  <c r="B1008" i="16"/>
  <c r="A1008" i="16"/>
  <c r="J1007" i="16"/>
  <c r="H1007" i="16"/>
  <c r="G1007" i="16"/>
  <c r="F1007" i="16"/>
  <c r="E1007" i="16"/>
  <c r="D1007" i="16"/>
  <c r="C1007" i="16"/>
  <c r="B1007" i="16"/>
  <c r="A1007" i="16"/>
  <c r="J1006" i="16"/>
  <c r="H1006" i="16"/>
  <c r="G1006" i="16"/>
  <c r="F1006" i="16"/>
  <c r="E1006" i="16"/>
  <c r="D1006" i="16"/>
  <c r="C1006" i="16"/>
  <c r="B1006" i="16"/>
  <c r="A1006" i="16"/>
  <c r="J1005" i="16"/>
  <c r="H1005" i="16"/>
  <c r="G1005" i="16"/>
  <c r="F1005" i="16"/>
  <c r="E1005" i="16"/>
  <c r="D1005" i="16"/>
  <c r="C1005" i="16"/>
  <c r="B1005" i="16"/>
  <c r="A1005" i="16"/>
  <c r="J1004" i="16"/>
  <c r="H1004" i="16"/>
  <c r="G1004" i="16"/>
  <c r="F1004" i="16"/>
  <c r="E1004" i="16"/>
  <c r="D1004" i="16"/>
  <c r="C1004" i="16"/>
  <c r="B1004" i="16"/>
  <c r="A1004" i="16"/>
  <c r="J1003" i="16"/>
  <c r="H1003" i="16"/>
  <c r="G1003" i="16"/>
  <c r="F1003" i="16"/>
  <c r="E1003" i="16"/>
  <c r="D1003" i="16"/>
  <c r="C1003" i="16"/>
  <c r="B1003" i="16"/>
  <c r="A1003" i="16"/>
  <c r="J1002" i="16"/>
  <c r="H1002" i="16"/>
  <c r="G1002" i="16"/>
  <c r="F1002" i="16"/>
  <c r="E1002" i="16"/>
  <c r="D1002" i="16"/>
  <c r="C1002" i="16"/>
  <c r="B1002" i="16"/>
  <c r="A1002" i="16"/>
  <c r="J1001" i="16"/>
  <c r="H1001" i="16"/>
  <c r="G1001" i="16"/>
  <c r="F1001" i="16"/>
  <c r="E1001" i="16"/>
  <c r="D1001" i="16"/>
  <c r="C1001" i="16"/>
  <c r="B1001" i="16"/>
  <c r="A1001" i="16"/>
  <c r="J1000" i="16"/>
  <c r="H1000" i="16"/>
  <c r="G1000" i="16"/>
  <c r="F1000" i="16"/>
  <c r="E1000" i="16"/>
  <c r="D1000" i="16"/>
  <c r="C1000" i="16"/>
  <c r="B1000" i="16"/>
  <c r="A1000" i="16"/>
  <c r="J999" i="16"/>
  <c r="H999" i="16"/>
  <c r="G999" i="16"/>
  <c r="F999" i="16"/>
  <c r="E999" i="16"/>
  <c r="D999" i="16"/>
  <c r="C999" i="16"/>
  <c r="B999" i="16"/>
  <c r="A999" i="16"/>
  <c r="J998" i="16"/>
  <c r="H998" i="16"/>
  <c r="G998" i="16"/>
  <c r="F998" i="16"/>
  <c r="E998" i="16"/>
  <c r="D998" i="16"/>
  <c r="C998" i="16"/>
  <c r="B998" i="16"/>
  <c r="A998" i="16"/>
  <c r="J997" i="16"/>
  <c r="H997" i="16"/>
  <c r="G997" i="16"/>
  <c r="F997" i="16"/>
  <c r="E997" i="16"/>
  <c r="D997" i="16"/>
  <c r="C997" i="16"/>
  <c r="B997" i="16"/>
  <c r="A997" i="16"/>
  <c r="J996" i="16"/>
  <c r="H996" i="16"/>
  <c r="G996" i="16"/>
  <c r="F996" i="16"/>
  <c r="E996" i="16"/>
  <c r="D996" i="16"/>
  <c r="C996" i="16"/>
  <c r="B996" i="16"/>
  <c r="A996" i="16"/>
  <c r="J995" i="16"/>
  <c r="F995" i="16"/>
  <c r="E995" i="16"/>
  <c r="D995" i="16"/>
  <c r="C995" i="16"/>
  <c r="B995" i="16"/>
  <c r="A995" i="16"/>
  <c r="J994" i="16"/>
  <c r="H994" i="16"/>
  <c r="G994" i="16"/>
  <c r="F994" i="16"/>
  <c r="E994" i="16"/>
  <c r="D994" i="16"/>
  <c r="C994" i="16"/>
  <c r="B994" i="16"/>
  <c r="A994" i="16"/>
  <c r="J993" i="16"/>
  <c r="H993" i="16"/>
  <c r="G993" i="16"/>
  <c r="F993" i="16"/>
  <c r="E993" i="16"/>
  <c r="D993" i="16"/>
  <c r="C993" i="16"/>
  <c r="B993" i="16"/>
  <c r="A993" i="16"/>
  <c r="J992" i="16"/>
  <c r="H992" i="16"/>
  <c r="G992" i="16"/>
  <c r="F992" i="16"/>
  <c r="E992" i="16"/>
  <c r="D992" i="16"/>
  <c r="C992" i="16"/>
  <c r="B992" i="16"/>
  <c r="A992" i="16"/>
  <c r="J991" i="16"/>
  <c r="H991" i="16"/>
  <c r="G991" i="16"/>
  <c r="F991" i="16"/>
  <c r="E991" i="16"/>
  <c r="D991" i="16"/>
  <c r="C991" i="16"/>
  <c r="B991" i="16"/>
  <c r="A991" i="16"/>
  <c r="J990" i="16"/>
  <c r="H990" i="16"/>
  <c r="G990" i="16"/>
  <c r="F990" i="16"/>
  <c r="E990" i="16"/>
  <c r="D990" i="16"/>
  <c r="C990" i="16"/>
  <c r="B990" i="16"/>
  <c r="A990" i="16"/>
  <c r="J989" i="16"/>
  <c r="H989" i="16"/>
  <c r="G989" i="16"/>
  <c r="F989" i="16"/>
  <c r="E989" i="16"/>
  <c r="D989" i="16"/>
  <c r="C989" i="16"/>
  <c r="B989" i="16"/>
  <c r="A989" i="16"/>
  <c r="J988" i="16"/>
  <c r="H988" i="16"/>
  <c r="G988" i="16"/>
  <c r="F988" i="16"/>
  <c r="E988" i="16"/>
  <c r="D988" i="16"/>
  <c r="C988" i="16"/>
  <c r="B988" i="16"/>
  <c r="A988" i="16"/>
  <c r="J987" i="16"/>
  <c r="H987" i="16"/>
  <c r="G987" i="16"/>
  <c r="F987" i="16"/>
  <c r="E987" i="16"/>
  <c r="D987" i="16"/>
  <c r="C987" i="16"/>
  <c r="B987" i="16"/>
  <c r="A987" i="16"/>
  <c r="J986" i="16"/>
  <c r="H986" i="16"/>
  <c r="G986" i="16"/>
  <c r="F986" i="16"/>
  <c r="E986" i="16"/>
  <c r="D986" i="16"/>
  <c r="C986" i="16"/>
  <c r="B986" i="16"/>
  <c r="A986" i="16"/>
  <c r="J985" i="16"/>
  <c r="H985" i="16"/>
  <c r="G985" i="16"/>
  <c r="F985" i="16"/>
  <c r="E985" i="16"/>
  <c r="D985" i="16"/>
  <c r="C985" i="16"/>
  <c r="B985" i="16"/>
  <c r="A985" i="16"/>
  <c r="J984" i="16"/>
  <c r="H984" i="16"/>
  <c r="G984" i="16"/>
  <c r="F984" i="16"/>
  <c r="E984" i="16"/>
  <c r="D984" i="16"/>
  <c r="C984" i="16"/>
  <c r="B984" i="16"/>
  <c r="A984" i="16"/>
  <c r="J983" i="16"/>
  <c r="H983" i="16"/>
  <c r="G983" i="16"/>
  <c r="F983" i="16"/>
  <c r="E983" i="16"/>
  <c r="D983" i="16"/>
  <c r="C983" i="16"/>
  <c r="B983" i="16"/>
  <c r="A983" i="16"/>
  <c r="J982" i="16"/>
  <c r="H982" i="16"/>
  <c r="G982" i="16"/>
  <c r="F982" i="16"/>
  <c r="E982" i="16"/>
  <c r="D982" i="16"/>
  <c r="C982" i="16"/>
  <c r="B982" i="16"/>
  <c r="A982" i="16"/>
  <c r="J981" i="16"/>
  <c r="H981" i="16"/>
  <c r="G981" i="16"/>
  <c r="F981" i="16"/>
  <c r="E981" i="16"/>
  <c r="D981" i="16"/>
  <c r="C981" i="16"/>
  <c r="B981" i="16"/>
  <c r="A981" i="16"/>
  <c r="J980" i="16"/>
  <c r="H980" i="16"/>
  <c r="G980" i="16"/>
  <c r="F980" i="16"/>
  <c r="E980" i="16"/>
  <c r="D980" i="16"/>
  <c r="C980" i="16"/>
  <c r="B980" i="16"/>
  <c r="A980" i="16"/>
  <c r="J979" i="16"/>
  <c r="H979" i="16"/>
  <c r="G979" i="16"/>
  <c r="F979" i="16"/>
  <c r="E979" i="16"/>
  <c r="D979" i="16"/>
  <c r="C979" i="16"/>
  <c r="B979" i="16"/>
  <c r="A979" i="16"/>
  <c r="J978" i="16"/>
  <c r="H978" i="16"/>
  <c r="G978" i="16"/>
  <c r="F978" i="16"/>
  <c r="E978" i="16"/>
  <c r="D978" i="16"/>
  <c r="C978" i="16"/>
  <c r="B978" i="16"/>
  <c r="A978" i="16"/>
  <c r="J977" i="16"/>
  <c r="H977" i="16"/>
  <c r="G977" i="16"/>
  <c r="F977" i="16"/>
  <c r="E977" i="16"/>
  <c r="D977" i="16"/>
  <c r="C977" i="16"/>
  <c r="B977" i="16"/>
  <c r="A977" i="16"/>
  <c r="J976" i="16"/>
  <c r="H976" i="16"/>
  <c r="G976" i="16"/>
  <c r="F976" i="16"/>
  <c r="E976" i="16"/>
  <c r="D976" i="16"/>
  <c r="C976" i="16"/>
  <c r="B976" i="16"/>
  <c r="A976" i="16"/>
  <c r="J975" i="16"/>
  <c r="F975" i="16"/>
  <c r="E975" i="16"/>
  <c r="D975" i="16"/>
  <c r="C975" i="16"/>
  <c r="B975" i="16"/>
  <c r="A975" i="16"/>
  <c r="J974" i="16"/>
  <c r="H974" i="16"/>
  <c r="G974" i="16"/>
  <c r="F974" i="16"/>
  <c r="E974" i="16"/>
  <c r="D974" i="16"/>
  <c r="C974" i="16"/>
  <c r="B974" i="16"/>
  <c r="A974" i="16"/>
  <c r="J973" i="16"/>
  <c r="H973" i="16"/>
  <c r="G973" i="16"/>
  <c r="F973" i="16"/>
  <c r="E973" i="16"/>
  <c r="D973" i="16"/>
  <c r="C973" i="16"/>
  <c r="B973" i="16"/>
  <c r="A973" i="16"/>
  <c r="J972" i="16"/>
  <c r="H972" i="16"/>
  <c r="G972" i="16"/>
  <c r="F972" i="16"/>
  <c r="E972" i="16"/>
  <c r="D972" i="16"/>
  <c r="C972" i="16"/>
  <c r="B972" i="16"/>
  <c r="A972" i="16"/>
  <c r="J971" i="16"/>
  <c r="H971" i="16"/>
  <c r="G971" i="16"/>
  <c r="F971" i="16"/>
  <c r="E971" i="16"/>
  <c r="D971" i="16"/>
  <c r="C971" i="16"/>
  <c r="B971" i="16"/>
  <c r="A971" i="16"/>
  <c r="J970" i="16"/>
  <c r="H970" i="16"/>
  <c r="G970" i="16"/>
  <c r="F970" i="16"/>
  <c r="E970" i="16"/>
  <c r="D970" i="16"/>
  <c r="C970" i="16"/>
  <c r="B970" i="16"/>
  <c r="A970" i="16"/>
  <c r="J969" i="16"/>
  <c r="H969" i="16"/>
  <c r="G969" i="16"/>
  <c r="F969" i="16"/>
  <c r="E969" i="16"/>
  <c r="D969" i="16"/>
  <c r="C969" i="16"/>
  <c r="B969" i="16"/>
  <c r="A969" i="16"/>
  <c r="J968" i="16"/>
  <c r="H968" i="16"/>
  <c r="G968" i="16"/>
  <c r="F968" i="16"/>
  <c r="E968" i="16"/>
  <c r="D968" i="16"/>
  <c r="C968" i="16"/>
  <c r="B968" i="16"/>
  <c r="A968" i="16"/>
  <c r="J967" i="16"/>
  <c r="H967" i="16"/>
  <c r="G967" i="16"/>
  <c r="F967" i="16"/>
  <c r="E967" i="16"/>
  <c r="D967" i="16"/>
  <c r="C967" i="16"/>
  <c r="B967" i="16"/>
  <c r="A967" i="16"/>
  <c r="J966" i="16"/>
  <c r="H966" i="16"/>
  <c r="G966" i="16"/>
  <c r="F966" i="16"/>
  <c r="E966" i="16"/>
  <c r="D966" i="16"/>
  <c r="C966" i="16"/>
  <c r="B966" i="16"/>
  <c r="A966" i="16"/>
  <c r="J965" i="16"/>
  <c r="H965" i="16"/>
  <c r="G965" i="16"/>
  <c r="F965" i="16"/>
  <c r="E965" i="16"/>
  <c r="D965" i="16"/>
  <c r="C965" i="16"/>
  <c r="B965" i="16"/>
  <c r="A965" i="16"/>
  <c r="J964" i="16"/>
  <c r="F964" i="16"/>
  <c r="E964" i="16"/>
  <c r="D964" i="16"/>
  <c r="C964" i="16"/>
  <c r="B964" i="16"/>
  <c r="A964" i="16"/>
  <c r="J963" i="16"/>
  <c r="F963" i="16"/>
  <c r="E963" i="16"/>
  <c r="D963" i="16"/>
  <c r="C963" i="16"/>
  <c r="B963" i="16"/>
  <c r="A963" i="16"/>
  <c r="J962" i="16"/>
  <c r="F962" i="16"/>
  <c r="E962" i="16"/>
  <c r="D962" i="16"/>
  <c r="C962" i="16"/>
  <c r="B962" i="16"/>
  <c r="A962" i="16"/>
  <c r="J961" i="16"/>
  <c r="F961" i="16"/>
  <c r="E961" i="16"/>
  <c r="D961" i="16"/>
  <c r="C961" i="16"/>
  <c r="B961" i="16"/>
  <c r="A961" i="16"/>
  <c r="J960" i="16"/>
  <c r="F960" i="16"/>
  <c r="E960" i="16"/>
  <c r="D960" i="16"/>
  <c r="C960" i="16"/>
  <c r="B960" i="16"/>
  <c r="A960" i="16"/>
  <c r="J959" i="16"/>
  <c r="F959" i="16"/>
  <c r="E959" i="16"/>
  <c r="D959" i="16"/>
  <c r="C959" i="16"/>
  <c r="B959" i="16"/>
  <c r="A959" i="16"/>
  <c r="J958" i="16"/>
  <c r="F958" i="16"/>
  <c r="E958" i="16"/>
  <c r="D958" i="16"/>
  <c r="C958" i="16"/>
  <c r="B958" i="16"/>
  <c r="A958" i="16"/>
  <c r="J957" i="16"/>
  <c r="H957" i="16"/>
  <c r="G957" i="16"/>
  <c r="F957" i="16"/>
  <c r="E957" i="16"/>
  <c r="D957" i="16"/>
  <c r="C957" i="16"/>
  <c r="B957" i="16"/>
  <c r="A957" i="16"/>
  <c r="J956" i="16"/>
  <c r="H956" i="16"/>
  <c r="G956" i="16"/>
  <c r="F956" i="16"/>
  <c r="E956" i="16"/>
  <c r="D956" i="16"/>
  <c r="C956" i="16"/>
  <c r="B956" i="16"/>
  <c r="A956" i="16"/>
  <c r="J955" i="16"/>
  <c r="H955" i="16"/>
  <c r="G955" i="16"/>
  <c r="F955" i="16"/>
  <c r="E955" i="16"/>
  <c r="D955" i="16"/>
  <c r="C955" i="16"/>
  <c r="B955" i="16"/>
  <c r="A955" i="16"/>
  <c r="J954" i="16"/>
  <c r="H954" i="16"/>
  <c r="G954" i="16"/>
  <c r="F954" i="16"/>
  <c r="E954" i="16"/>
  <c r="D954" i="16"/>
  <c r="C954" i="16"/>
  <c r="B954" i="16"/>
  <c r="A954" i="16"/>
  <c r="J953" i="16"/>
  <c r="H953" i="16"/>
  <c r="G953" i="16"/>
  <c r="F953" i="16"/>
  <c r="E953" i="16"/>
  <c r="D953" i="16"/>
  <c r="C953" i="16"/>
  <c r="B953" i="16"/>
  <c r="A953" i="16"/>
  <c r="J952" i="16"/>
  <c r="H952" i="16"/>
  <c r="G952" i="16"/>
  <c r="F952" i="16"/>
  <c r="E952" i="16"/>
  <c r="D952" i="16"/>
  <c r="C952" i="16"/>
  <c r="B952" i="16"/>
  <c r="A952" i="16"/>
  <c r="J951" i="16"/>
  <c r="H951" i="16"/>
  <c r="G951" i="16"/>
  <c r="F951" i="16"/>
  <c r="E951" i="16"/>
  <c r="D951" i="16"/>
  <c r="C951" i="16"/>
  <c r="B951" i="16"/>
  <c r="A951" i="16"/>
  <c r="J950" i="16"/>
  <c r="H950" i="16"/>
  <c r="G950" i="16"/>
  <c r="F950" i="16"/>
  <c r="E950" i="16"/>
  <c r="D950" i="16"/>
  <c r="C950" i="16"/>
  <c r="B950" i="16"/>
  <c r="A950" i="16"/>
  <c r="J949" i="16"/>
  <c r="H949" i="16"/>
  <c r="G949" i="16"/>
  <c r="F949" i="16"/>
  <c r="E949" i="16"/>
  <c r="D949" i="16"/>
  <c r="C949" i="16"/>
  <c r="B949" i="16"/>
  <c r="A949" i="16"/>
  <c r="J948" i="16"/>
  <c r="H948" i="16"/>
  <c r="G948" i="16"/>
  <c r="F948" i="16"/>
  <c r="E948" i="16"/>
  <c r="D948" i="16"/>
  <c r="C948" i="16"/>
  <c r="B948" i="16"/>
  <c r="A948" i="16"/>
  <c r="J947" i="16"/>
  <c r="H947" i="16"/>
  <c r="G947" i="16"/>
  <c r="F947" i="16"/>
  <c r="E947" i="16"/>
  <c r="D947" i="16"/>
  <c r="C947" i="16"/>
  <c r="B947" i="16"/>
  <c r="A947" i="16"/>
  <c r="J946" i="16"/>
  <c r="H946" i="16"/>
  <c r="G946" i="16"/>
  <c r="F946" i="16"/>
  <c r="E946" i="16"/>
  <c r="D946" i="16"/>
  <c r="C946" i="16"/>
  <c r="B946" i="16"/>
  <c r="A946" i="16"/>
  <c r="J945" i="16"/>
  <c r="H945" i="16"/>
  <c r="G945" i="16"/>
  <c r="F945" i="16"/>
  <c r="E945" i="16"/>
  <c r="D945" i="16"/>
  <c r="C945" i="16"/>
  <c r="B945" i="16"/>
  <c r="A945" i="16"/>
  <c r="J944" i="16"/>
  <c r="H944" i="16"/>
  <c r="G944" i="16"/>
  <c r="F944" i="16"/>
  <c r="E944" i="16"/>
  <c r="D944" i="16"/>
  <c r="C944" i="16"/>
  <c r="B944" i="16"/>
  <c r="A944" i="16"/>
  <c r="J943" i="16"/>
  <c r="H943" i="16"/>
  <c r="G943" i="16"/>
  <c r="F943" i="16"/>
  <c r="E943" i="16"/>
  <c r="D943" i="16"/>
  <c r="C943" i="16"/>
  <c r="B943" i="16"/>
  <c r="A943" i="16"/>
  <c r="J942" i="16"/>
  <c r="H942" i="16"/>
  <c r="G942" i="16"/>
  <c r="F942" i="16"/>
  <c r="E942" i="16"/>
  <c r="D942" i="16"/>
  <c r="C942" i="16"/>
  <c r="B942" i="16"/>
  <c r="A942" i="16"/>
  <c r="J941" i="16"/>
  <c r="H941" i="16"/>
  <c r="G941" i="16"/>
  <c r="F941" i="16"/>
  <c r="E941" i="16"/>
  <c r="D941" i="16"/>
  <c r="C941" i="16"/>
  <c r="B941" i="16"/>
  <c r="A941" i="16"/>
  <c r="J940" i="16"/>
  <c r="H940" i="16"/>
  <c r="G940" i="16"/>
  <c r="F940" i="16"/>
  <c r="E940" i="16"/>
  <c r="D940" i="16"/>
  <c r="C940" i="16"/>
  <c r="B940" i="16"/>
  <c r="A940" i="16"/>
  <c r="J939" i="16"/>
  <c r="H939" i="16"/>
  <c r="G939" i="16"/>
  <c r="F939" i="16"/>
  <c r="E939" i="16"/>
  <c r="D939" i="16"/>
  <c r="C939" i="16"/>
  <c r="B939" i="16"/>
  <c r="A939" i="16"/>
  <c r="J938" i="16"/>
  <c r="H938" i="16"/>
  <c r="G938" i="16"/>
  <c r="F938" i="16"/>
  <c r="E938" i="16"/>
  <c r="D938" i="16"/>
  <c r="C938" i="16"/>
  <c r="B938" i="16"/>
  <c r="A938" i="16"/>
  <c r="J937" i="16"/>
  <c r="H937" i="16"/>
  <c r="G937" i="16"/>
  <c r="F937" i="16"/>
  <c r="E937" i="16"/>
  <c r="D937" i="16"/>
  <c r="C937" i="16"/>
  <c r="B937" i="16"/>
  <c r="A937" i="16"/>
  <c r="J936" i="16"/>
  <c r="H936" i="16"/>
  <c r="G936" i="16"/>
  <c r="F936" i="16"/>
  <c r="E936" i="16"/>
  <c r="D936" i="16"/>
  <c r="C936" i="16"/>
  <c r="B936" i="16"/>
  <c r="A936" i="16"/>
  <c r="J935" i="16"/>
  <c r="H935" i="16"/>
  <c r="G935" i="16"/>
  <c r="F935" i="16"/>
  <c r="E935" i="16"/>
  <c r="D935" i="16"/>
  <c r="C935" i="16"/>
  <c r="B935" i="16"/>
  <c r="A935" i="16"/>
  <c r="J934" i="16"/>
  <c r="H934" i="16"/>
  <c r="G934" i="16"/>
  <c r="F934" i="16"/>
  <c r="E934" i="16"/>
  <c r="D934" i="16"/>
  <c r="C934" i="16"/>
  <c r="B934" i="16"/>
  <c r="A934" i="16"/>
  <c r="J933" i="16"/>
  <c r="H933" i="16"/>
  <c r="G933" i="16"/>
  <c r="F933" i="16"/>
  <c r="E933" i="16"/>
  <c r="D933" i="16"/>
  <c r="C933" i="16"/>
  <c r="B933" i="16"/>
  <c r="A933" i="16"/>
  <c r="J932" i="16"/>
  <c r="H932" i="16"/>
  <c r="G932" i="16"/>
  <c r="F932" i="16"/>
  <c r="E932" i="16"/>
  <c r="D932" i="16"/>
  <c r="C932" i="16"/>
  <c r="B932" i="16"/>
  <c r="A932" i="16"/>
  <c r="J931" i="16"/>
  <c r="H931" i="16"/>
  <c r="G931" i="16"/>
  <c r="F931" i="16"/>
  <c r="E931" i="16"/>
  <c r="D931" i="16"/>
  <c r="C931" i="16"/>
  <c r="B931" i="16"/>
  <c r="A931" i="16"/>
  <c r="J930" i="16"/>
  <c r="H930" i="16"/>
  <c r="G930" i="16"/>
  <c r="F930" i="16"/>
  <c r="E930" i="16"/>
  <c r="D930" i="16"/>
  <c r="C930" i="16"/>
  <c r="B930" i="16"/>
  <c r="A930" i="16"/>
  <c r="J929" i="16"/>
  <c r="H929" i="16"/>
  <c r="G929" i="16"/>
  <c r="F929" i="16"/>
  <c r="E929" i="16"/>
  <c r="D929" i="16"/>
  <c r="C929" i="16"/>
  <c r="B929" i="16"/>
  <c r="A929" i="16"/>
  <c r="J928" i="16"/>
  <c r="H928" i="16"/>
  <c r="G928" i="16"/>
  <c r="F928" i="16"/>
  <c r="E928" i="16"/>
  <c r="D928" i="16"/>
  <c r="C928" i="16"/>
  <c r="B928" i="16"/>
  <c r="A928" i="16"/>
  <c r="J927" i="16"/>
  <c r="H927" i="16"/>
  <c r="G927" i="16"/>
  <c r="F927" i="16"/>
  <c r="E927" i="16"/>
  <c r="D927" i="16"/>
  <c r="C927" i="16"/>
  <c r="B927" i="16"/>
  <c r="A927" i="16"/>
  <c r="J926" i="16"/>
  <c r="H926" i="16"/>
  <c r="G926" i="16"/>
  <c r="F926" i="16"/>
  <c r="E926" i="16"/>
  <c r="D926" i="16"/>
  <c r="C926" i="16"/>
  <c r="B926" i="16"/>
  <c r="A926" i="16"/>
  <c r="J925" i="16"/>
  <c r="H925" i="16"/>
  <c r="G925" i="16"/>
  <c r="F925" i="16"/>
  <c r="E925" i="16"/>
  <c r="D925" i="16"/>
  <c r="C925" i="16"/>
  <c r="B925" i="16"/>
  <c r="A925" i="16"/>
  <c r="J924" i="16"/>
  <c r="H924" i="16"/>
  <c r="G924" i="16"/>
  <c r="F924" i="16"/>
  <c r="E924" i="16"/>
  <c r="D924" i="16"/>
  <c r="C924" i="16"/>
  <c r="B924" i="16"/>
  <c r="A924" i="16"/>
  <c r="J923" i="16"/>
  <c r="H923" i="16"/>
  <c r="G923" i="16"/>
  <c r="F923" i="16"/>
  <c r="E923" i="16"/>
  <c r="D923" i="16"/>
  <c r="C923" i="16"/>
  <c r="B923" i="16"/>
  <c r="A923" i="16"/>
  <c r="J922" i="16"/>
  <c r="H922" i="16"/>
  <c r="G922" i="16"/>
  <c r="F922" i="16"/>
  <c r="E922" i="16"/>
  <c r="D922" i="16"/>
  <c r="C922" i="16"/>
  <c r="B922" i="16"/>
  <c r="A922" i="16"/>
  <c r="J921" i="16"/>
  <c r="H921" i="16"/>
  <c r="G921" i="16"/>
  <c r="F921" i="16"/>
  <c r="E921" i="16"/>
  <c r="D921" i="16"/>
  <c r="C921" i="16"/>
  <c r="B921" i="16"/>
  <c r="A921" i="16"/>
  <c r="J920" i="16"/>
  <c r="H920" i="16"/>
  <c r="G920" i="16"/>
  <c r="F920" i="16"/>
  <c r="E920" i="16"/>
  <c r="D920" i="16"/>
  <c r="C920" i="16"/>
  <c r="B920" i="16"/>
  <c r="A920" i="16"/>
  <c r="J919" i="16"/>
  <c r="H919" i="16"/>
  <c r="G919" i="16"/>
  <c r="F919" i="16"/>
  <c r="E919" i="16"/>
  <c r="D919" i="16"/>
  <c r="C919" i="16"/>
  <c r="B919" i="16"/>
  <c r="A919" i="16"/>
  <c r="J918" i="16"/>
  <c r="H918" i="16"/>
  <c r="G918" i="16"/>
  <c r="F918" i="16"/>
  <c r="E918" i="16"/>
  <c r="D918" i="16"/>
  <c r="C918" i="16"/>
  <c r="B918" i="16"/>
  <c r="A918" i="16"/>
  <c r="J917" i="16"/>
  <c r="H917" i="16"/>
  <c r="G917" i="16"/>
  <c r="F917" i="16"/>
  <c r="E917" i="16"/>
  <c r="D917" i="16"/>
  <c r="C917" i="16"/>
  <c r="B917" i="16"/>
  <c r="A917" i="16"/>
  <c r="J916" i="16"/>
  <c r="H916" i="16"/>
  <c r="G916" i="16"/>
  <c r="F916" i="16"/>
  <c r="E916" i="16"/>
  <c r="D916" i="16"/>
  <c r="C916" i="16"/>
  <c r="B916" i="16"/>
  <c r="A916" i="16"/>
  <c r="J915" i="16"/>
  <c r="H915" i="16"/>
  <c r="G915" i="16"/>
  <c r="F915" i="16"/>
  <c r="E915" i="16"/>
  <c r="D915" i="16"/>
  <c r="C915" i="16"/>
  <c r="B915" i="16"/>
  <c r="A915" i="16"/>
  <c r="J914" i="16"/>
  <c r="H914" i="16"/>
  <c r="G914" i="16"/>
  <c r="F914" i="16"/>
  <c r="E914" i="16"/>
  <c r="D914" i="16"/>
  <c r="C914" i="16"/>
  <c r="B914" i="16"/>
  <c r="A914" i="16"/>
  <c r="J913" i="16"/>
  <c r="H913" i="16"/>
  <c r="G913" i="16"/>
  <c r="F913" i="16"/>
  <c r="E913" i="16"/>
  <c r="D913" i="16"/>
  <c r="C913" i="16"/>
  <c r="B913" i="16"/>
  <c r="A913" i="16"/>
  <c r="J912" i="16"/>
  <c r="H912" i="16"/>
  <c r="G912" i="16"/>
  <c r="F912" i="16"/>
  <c r="E912" i="16"/>
  <c r="D912" i="16"/>
  <c r="C912" i="16"/>
  <c r="B912" i="16"/>
  <c r="A912" i="16"/>
  <c r="J911" i="16"/>
  <c r="H911" i="16"/>
  <c r="G911" i="16"/>
  <c r="F911" i="16"/>
  <c r="E911" i="16"/>
  <c r="D911" i="16"/>
  <c r="C911" i="16"/>
  <c r="B911" i="16"/>
  <c r="A911" i="16"/>
  <c r="J910" i="16"/>
  <c r="H910" i="16"/>
  <c r="G910" i="16"/>
  <c r="F910" i="16"/>
  <c r="E910" i="16"/>
  <c r="D910" i="16"/>
  <c r="C910" i="16"/>
  <c r="B910" i="16"/>
  <c r="A910" i="16"/>
  <c r="J909" i="16"/>
  <c r="H909" i="16"/>
  <c r="G909" i="16"/>
  <c r="F909" i="16"/>
  <c r="E909" i="16"/>
  <c r="D909" i="16"/>
  <c r="C909" i="16"/>
  <c r="B909" i="16"/>
  <c r="A909" i="16"/>
  <c r="J908" i="16"/>
  <c r="H908" i="16"/>
  <c r="G908" i="16"/>
  <c r="F908" i="16"/>
  <c r="E908" i="16"/>
  <c r="D908" i="16"/>
  <c r="C908" i="16"/>
  <c r="B908" i="16"/>
  <c r="A908" i="16"/>
  <c r="J907" i="16"/>
  <c r="H907" i="16"/>
  <c r="G907" i="16"/>
  <c r="F907" i="16"/>
  <c r="E907" i="16"/>
  <c r="D907" i="16"/>
  <c r="C907" i="16"/>
  <c r="B907" i="16"/>
  <c r="A907" i="16"/>
  <c r="J906" i="16"/>
  <c r="H906" i="16"/>
  <c r="G906" i="16"/>
  <c r="F906" i="16"/>
  <c r="E906" i="16"/>
  <c r="D906" i="16"/>
  <c r="C906" i="16"/>
  <c r="B906" i="16"/>
  <c r="A906" i="16"/>
  <c r="J905" i="16"/>
  <c r="H905" i="16"/>
  <c r="G905" i="16"/>
  <c r="F905" i="16"/>
  <c r="E905" i="16"/>
  <c r="D905" i="16"/>
  <c r="C905" i="16"/>
  <c r="B905" i="16"/>
  <c r="A905" i="16"/>
  <c r="J904" i="16"/>
  <c r="H904" i="16"/>
  <c r="G904" i="16"/>
  <c r="F904" i="16"/>
  <c r="E904" i="16"/>
  <c r="D904" i="16"/>
  <c r="C904" i="16"/>
  <c r="B904" i="16"/>
  <c r="A904" i="16"/>
  <c r="J903" i="16"/>
  <c r="H903" i="16"/>
  <c r="G903" i="16"/>
  <c r="F903" i="16"/>
  <c r="E903" i="16"/>
  <c r="D903" i="16"/>
  <c r="C903" i="16"/>
  <c r="B903" i="16"/>
  <c r="A903" i="16"/>
  <c r="J902" i="16"/>
  <c r="H902" i="16"/>
  <c r="G902" i="16"/>
  <c r="F902" i="16"/>
  <c r="E902" i="16"/>
  <c r="D902" i="16"/>
  <c r="C902" i="16"/>
  <c r="B902" i="16"/>
  <c r="A902" i="16"/>
  <c r="J901" i="16"/>
  <c r="H901" i="16"/>
  <c r="G901" i="16"/>
  <c r="F901" i="16"/>
  <c r="E901" i="16"/>
  <c r="D901" i="16"/>
  <c r="C901" i="16"/>
  <c r="B901" i="16"/>
  <c r="A901" i="16"/>
  <c r="J900" i="16"/>
  <c r="H900" i="16"/>
  <c r="G900" i="16"/>
  <c r="F900" i="16"/>
  <c r="E900" i="16"/>
  <c r="D900" i="16"/>
  <c r="C900" i="16"/>
  <c r="B900" i="16"/>
  <c r="A900" i="16"/>
  <c r="J899" i="16"/>
  <c r="H899" i="16"/>
  <c r="G899" i="16"/>
  <c r="F899" i="16"/>
  <c r="E899" i="16"/>
  <c r="D899" i="16"/>
  <c r="C899" i="16"/>
  <c r="B899" i="16"/>
  <c r="A899" i="16"/>
  <c r="J898" i="16"/>
  <c r="H898" i="16"/>
  <c r="G898" i="16"/>
  <c r="F898" i="16"/>
  <c r="E898" i="16"/>
  <c r="D898" i="16"/>
  <c r="C898" i="16"/>
  <c r="B898" i="16"/>
  <c r="A898" i="16"/>
  <c r="J897" i="16"/>
  <c r="H897" i="16"/>
  <c r="G897" i="16"/>
  <c r="F897" i="16"/>
  <c r="E897" i="16"/>
  <c r="D897" i="16"/>
  <c r="C897" i="16"/>
  <c r="B897" i="16"/>
  <c r="A897" i="16"/>
  <c r="J896" i="16"/>
  <c r="H896" i="16"/>
  <c r="G896" i="16"/>
  <c r="F896" i="16"/>
  <c r="E896" i="16"/>
  <c r="D896" i="16"/>
  <c r="C896" i="16"/>
  <c r="B896" i="16"/>
  <c r="A896" i="16"/>
  <c r="J895" i="16"/>
  <c r="H895" i="16"/>
  <c r="G895" i="16"/>
  <c r="F895" i="16"/>
  <c r="E895" i="16"/>
  <c r="D895" i="16"/>
  <c r="C895" i="16"/>
  <c r="B895" i="16"/>
  <c r="A895" i="16"/>
  <c r="J894" i="16"/>
  <c r="H894" i="16"/>
  <c r="G894" i="16"/>
  <c r="F894" i="16"/>
  <c r="E894" i="16"/>
  <c r="D894" i="16"/>
  <c r="C894" i="16"/>
  <c r="B894" i="16"/>
  <c r="A894" i="16"/>
  <c r="J893" i="16"/>
  <c r="H893" i="16"/>
  <c r="G893" i="16"/>
  <c r="F893" i="16"/>
  <c r="E893" i="16"/>
  <c r="D893" i="16"/>
  <c r="C893" i="16"/>
  <c r="B893" i="16"/>
  <c r="A893" i="16"/>
  <c r="J892" i="16"/>
  <c r="H892" i="16"/>
  <c r="G892" i="16"/>
  <c r="F892" i="16"/>
  <c r="E892" i="16"/>
  <c r="D892" i="16"/>
  <c r="C892" i="16"/>
  <c r="B892" i="16"/>
  <c r="A892" i="16"/>
  <c r="J891" i="16"/>
  <c r="H891" i="16"/>
  <c r="G891" i="16"/>
  <c r="F891" i="16"/>
  <c r="E891" i="16"/>
  <c r="D891" i="16"/>
  <c r="C891" i="16"/>
  <c r="B891" i="16"/>
  <c r="A891" i="16"/>
  <c r="J890" i="16"/>
  <c r="H890" i="16"/>
  <c r="G890" i="16"/>
  <c r="F890" i="16"/>
  <c r="E890" i="16"/>
  <c r="D890" i="16"/>
  <c r="C890" i="16"/>
  <c r="B890" i="16"/>
  <c r="A890" i="16"/>
  <c r="J889" i="16"/>
  <c r="H889" i="16"/>
  <c r="G889" i="16"/>
  <c r="F889" i="16"/>
  <c r="E889" i="16"/>
  <c r="D889" i="16"/>
  <c r="C889" i="16"/>
  <c r="B889" i="16"/>
  <c r="A889" i="16"/>
  <c r="J888" i="16"/>
  <c r="H888" i="16"/>
  <c r="G888" i="16"/>
  <c r="F888" i="16"/>
  <c r="E888" i="16"/>
  <c r="D888" i="16"/>
  <c r="C888" i="16"/>
  <c r="B888" i="16"/>
  <c r="A888" i="16"/>
  <c r="J887" i="16"/>
  <c r="H887" i="16"/>
  <c r="G887" i="16"/>
  <c r="F887" i="16"/>
  <c r="E887" i="16"/>
  <c r="D887" i="16"/>
  <c r="C887" i="16"/>
  <c r="B887" i="16"/>
  <c r="A887" i="16"/>
  <c r="J886" i="16"/>
  <c r="H886" i="16"/>
  <c r="G886" i="16"/>
  <c r="F886" i="16"/>
  <c r="E886" i="16"/>
  <c r="D886" i="16"/>
  <c r="C886" i="16"/>
  <c r="B886" i="16"/>
  <c r="A886" i="16"/>
  <c r="J885" i="16"/>
  <c r="H885" i="16"/>
  <c r="G885" i="16"/>
  <c r="F885" i="16"/>
  <c r="E885" i="16"/>
  <c r="D885" i="16"/>
  <c r="C885" i="16"/>
  <c r="B885" i="16"/>
  <c r="A885" i="16"/>
  <c r="J884" i="16"/>
  <c r="H884" i="16"/>
  <c r="G884" i="16"/>
  <c r="F884" i="16"/>
  <c r="E884" i="16"/>
  <c r="D884" i="16"/>
  <c r="C884" i="16"/>
  <c r="B884" i="16"/>
  <c r="A884" i="16"/>
  <c r="J883" i="16"/>
  <c r="H883" i="16"/>
  <c r="G883" i="16"/>
  <c r="F883" i="16"/>
  <c r="E883" i="16"/>
  <c r="D883" i="16"/>
  <c r="C883" i="16"/>
  <c r="B883" i="16"/>
  <c r="A883" i="16"/>
  <c r="J882" i="16"/>
  <c r="H882" i="16"/>
  <c r="G882" i="16"/>
  <c r="F882" i="16"/>
  <c r="E882" i="16"/>
  <c r="D882" i="16"/>
  <c r="C882" i="16"/>
  <c r="B882" i="16"/>
  <c r="A882" i="16"/>
  <c r="J881" i="16"/>
  <c r="H881" i="16"/>
  <c r="G881" i="16"/>
  <c r="F881" i="16"/>
  <c r="E881" i="16"/>
  <c r="D881" i="16"/>
  <c r="C881" i="16"/>
  <c r="B881" i="16"/>
  <c r="A881" i="16"/>
  <c r="J880" i="16"/>
  <c r="H880" i="16"/>
  <c r="G880" i="16"/>
  <c r="F880" i="16"/>
  <c r="E880" i="16"/>
  <c r="D880" i="16"/>
  <c r="C880" i="16"/>
  <c r="B880" i="16"/>
  <c r="A880" i="16"/>
  <c r="J879" i="16"/>
  <c r="H879" i="16"/>
  <c r="G879" i="16"/>
  <c r="F879" i="16"/>
  <c r="E879" i="16"/>
  <c r="D879" i="16"/>
  <c r="C879" i="16"/>
  <c r="B879" i="16"/>
  <c r="A879" i="16"/>
  <c r="J878" i="16"/>
  <c r="H878" i="16"/>
  <c r="G878" i="16"/>
  <c r="F878" i="16"/>
  <c r="E878" i="16"/>
  <c r="D878" i="16"/>
  <c r="C878" i="16"/>
  <c r="B878" i="16"/>
  <c r="A878" i="16"/>
  <c r="J877" i="16"/>
  <c r="H877" i="16"/>
  <c r="G877" i="16"/>
  <c r="F877" i="16"/>
  <c r="E877" i="16"/>
  <c r="D877" i="16"/>
  <c r="C877" i="16"/>
  <c r="B877" i="16"/>
  <c r="A877" i="16"/>
  <c r="J876" i="16"/>
  <c r="H876" i="16"/>
  <c r="G876" i="16"/>
  <c r="F876" i="16"/>
  <c r="E876" i="16"/>
  <c r="D876" i="16"/>
  <c r="C876" i="16"/>
  <c r="B876" i="16"/>
  <c r="A876" i="16"/>
  <c r="J875" i="16"/>
  <c r="H875" i="16"/>
  <c r="G875" i="16"/>
  <c r="F875" i="16"/>
  <c r="E875" i="16"/>
  <c r="D875" i="16"/>
  <c r="C875" i="16"/>
  <c r="B875" i="16"/>
  <c r="A875" i="16"/>
  <c r="J874" i="16"/>
  <c r="H874" i="16"/>
  <c r="G874" i="16"/>
  <c r="F874" i="16"/>
  <c r="E874" i="16"/>
  <c r="D874" i="16"/>
  <c r="C874" i="16"/>
  <c r="B874" i="16"/>
  <c r="A874" i="16"/>
  <c r="J873" i="16"/>
  <c r="H873" i="16"/>
  <c r="G873" i="16"/>
  <c r="F873" i="16"/>
  <c r="E873" i="16"/>
  <c r="D873" i="16"/>
  <c r="C873" i="16"/>
  <c r="B873" i="16"/>
  <c r="A873" i="16"/>
  <c r="J872" i="16"/>
  <c r="H872" i="16"/>
  <c r="G872" i="16"/>
  <c r="F872" i="16"/>
  <c r="E872" i="16"/>
  <c r="D872" i="16"/>
  <c r="C872" i="16"/>
  <c r="B872" i="16"/>
  <c r="A872" i="16"/>
  <c r="J871" i="16"/>
  <c r="H871" i="16"/>
  <c r="G871" i="16"/>
  <c r="F871" i="16"/>
  <c r="E871" i="16"/>
  <c r="D871" i="16"/>
  <c r="C871" i="16"/>
  <c r="B871" i="16"/>
  <c r="A871" i="16"/>
  <c r="J870" i="16"/>
  <c r="H870" i="16"/>
  <c r="G870" i="16"/>
  <c r="F870" i="16"/>
  <c r="E870" i="16"/>
  <c r="D870" i="16"/>
  <c r="C870" i="16"/>
  <c r="B870" i="16"/>
  <c r="A870" i="16"/>
  <c r="J869" i="16"/>
  <c r="H869" i="16"/>
  <c r="G869" i="16"/>
  <c r="F869" i="16"/>
  <c r="E869" i="16"/>
  <c r="D869" i="16"/>
  <c r="C869" i="16"/>
  <c r="B869" i="16"/>
  <c r="A869" i="16"/>
  <c r="J868" i="16"/>
  <c r="H868" i="16"/>
  <c r="G868" i="16"/>
  <c r="F868" i="16"/>
  <c r="E868" i="16"/>
  <c r="D868" i="16"/>
  <c r="C868" i="16"/>
  <c r="B868" i="16"/>
  <c r="A868" i="16"/>
  <c r="J867" i="16"/>
  <c r="H867" i="16"/>
  <c r="G867" i="16"/>
  <c r="F867" i="16"/>
  <c r="E867" i="16"/>
  <c r="D867" i="16"/>
  <c r="C867" i="16"/>
  <c r="B867" i="16"/>
  <c r="A867" i="16"/>
  <c r="J866" i="16"/>
  <c r="H866" i="16"/>
  <c r="G866" i="16"/>
  <c r="F866" i="16"/>
  <c r="E866" i="16"/>
  <c r="D866" i="16"/>
  <c r="C866" i="16"/>
  <c r="B866" i="16"/>
  <c r="A866" i="16"/>
  <c r="J865" i="16"/>
  <c r="H865" i="16"/>
  <c r="G865" i="16"/>
  <c r="F865" i="16"/>
  <c r="E865" i="16"/>
  <c r="D865" i="16"/>
  <c r="C865" i="16"/>
  <c r="B865" i="16"/>
  <c r="A865" i="16"/>
  <c r="J864" i="16"/>
  <c r="H864" i="16"/>
  <c r="G864" i="16"/>
  <c r="F864" i="16"/>
  <c r="E864" i="16"/>
  <c r="D864" i="16"/>
  <c r="C864" i="16"/>
  <c r="B864" i="16"/>
  <c r="A864" i="16"/>
  <c r="J863" i="16"/>
  <c r="H863" i="16"/>
  <c r="G863" i="16"/>
  <c r="F863" i="16"/>
  <c r="E863" i="16"/>
  <c r="D863" i="16"/>
  <c r="C863" i="16"/>
  <c r="B863" i="16"/>
  <c r="A863" i="16"/>
  <c r="J862" i="16"/>
  <c r="H862" i="16"/>
  <c r="G862" i="16"/>
  <c r="F862" i="16"/>
  <c r="E862" i="16"/>
  <c r="D862" i="16"/>
  <c r="C862" i="16"/>
  <c r="B862" i="16"/>
  <c r="A862" i="16"/>
  <c r="J861" i="16"/>
  <c r="H861" i="16"/>
  <c r="G861" i="16"/>
  <c r="F861" i="16"/>
  <c r="E861" i="16"/>
  <c r="D861" i="16"/>
  <c r="C861" i="16"/>
  <c r="B861" i="16"/>
  <c r="A861" i="16"/>
  <c r="J860" i="16"/>
  <c r="H860" i="16"/>
  <c r="G860" i="16"/>
  <c r="F860" i="16"/>
  <c r="E860" i="16"/>
  <c r="D860" i="16"/>
  <c r="C860" i="16"/>
  <c r="B860" i="16"/>
  <c r="A860" i="16"/>
  <c r="J859" i="16"/>
  <c r="H859" i="16"/>
  <c r="G859" i="16"/>
  <c r="F859" i="16"/>
  <c r="E859" i="16"/>
  <c r="D859" i="16"/>
  <c r="C859" i="16"/>
  <c r="B859" i="16"/>
  <c r="A859" i="16"/>
  <c r="J858" i="16"/>
  <c r="H858" i="16"/>
  <c r="G858" i="16"/>
  <c r="F858" i="16"/>
  <c r="E858" i="16"/>
  <c r="D858" i="16"/>
  <c r="C858" i="16"/>
  <c r="B858" i="16"/>
  <c r="A858" i="16"/>
  <c r="J857" i="16"/>
  <c r="H857" i="16"/>
  <c r="G857" i="16"/>
  <c r="F857" i="16"/>
  <c r="E857" i="16"/>
  <c r="D857" i="16"/>
  <c r="C857" i="16"/>
  <c r="B857" i="16"/>
  <c r="A857" i="16"/>
  <c r="J856" i="16"/>
  <c r="H856" i="16"/>
  <c r="G856" i="16"/>
  <c r="F856" i="16"/>
  <c r="E856" i="16"/>
  <c r="D856" i="16"/>
  <c r="C856" i="16"/>
  <c r="B856" i="16"/>
  <c r="A856" i="16"/>
  <c r="J855" i="16"/>
  <c r="H855" i="16"/>
  <c r="G855" i="16"/>
  <c r="F855" i="16"/>
  <c r="E855" i="16"/>
  <c r="D855" i="16"/>
  <c r="C855" i="16"/>
  <c r="B855" i="16"/>
  <c r="A855" i="16"/>
  <c r="J854" i="16"/>
  <c r="F854" i="16"/>
  <c r="E854" i="16"/>
  <c r="D854" i="16"/>
  <c r="C854" i="16"/>
  <c r="B854" i="16"/>
  <c r="A854" i="16"/>
  <c r="J853" i="16"/>
  <c r="F853" i="16"/>
  <c r="E853" i="16"/>
  <c r="D853" i="16"/>
  <c r="C853" i="16"/>
  <c r="B853" i="16"/>
  <c r="A853" i="16"/>
  <c r="J852" i="16"/>
  <c r="F852" i="16"/>
  <c r="E852" i="16"/>
  <c r="D852" i="16"/>
  <c r="C852" i="16"/>
  <c r="B852" i="16"/>
  <c r="A852" i="16"/>
  <c r="J851" i="16"/>
  <c r="F851" i="16"/>
  <c r="E851" i="16"/>
  <c r="D851" i="16"/>
  <c r="C851" i="16"/>
  <c r="B851" i="16"/>
  <c r="A851" i="16"/>
  <c r="J850" i="16"/>
  <c r="F850" i="16"/>
  <c r="E850" i="16"/>
  <c r="D850" i="16"/>
  <c r="C850" i="16"/>
  <c r="B850" i="16"/>
  <c r="A850" i="16"/>
  <c r="J849" i="16"/>
  <c r="F849" i="16"/>
  <c r="E849" i="16"/>
  <c r="D849" i="16"/>
  <c r="C849" i="16"/>
  <c r="B849" i="16"/>
  <c r="A849" i="16"/>
  <c r="J848" i="16"/>
  <c r="H848" i="16"/>
  <c r="G848" i="16"/>
  <c r="F848" i="16"/>
  <c r="E848" i="16"/>
  <c r="D848" i="16"/>
  <c r="C848" i="16"/>
  <c r="B848" i="16"/>
  <c r="A848" i="16"/>
  <c r="J847" i="16"/>
  <c r="H847" i="16"/>
  <c r="G847" i="16"/>
  <c r="F847" i="16"/>
  <c r="E847" i="16"/>
  <c r="D847" i="16"/>
  <c r="C847" i="16"/>
  <c r="B847" i="16"/>
  <c r="A847" i="16"/>
  <c r="J846" i="16"/>
  <c r="H846" i="16"/>
  <c r="G846" i="16"/>
  <c r="F846" i="16"/>
  <c r="E846" i="16"/>
  <c r="D846" i="16"/>
  <c r="C846" i="16"/>
  <c r="B846" i="16"/>
  <c r="A846" i="16"/>
  <c r="J845" i="16"/>
  <c r="H845" i="16"/>
  <c r="G845" i="16"/>
  <c r="F845" i="16"/>
  <c r="E845" i="16"/>
  <c r="D845" i="16"/>
  <c r="C845" i="16"/>
  <c r="B845" i="16"/>
  <c r="A845" i="16"/>
  <c r="J844" i="16"/>
  <c r="H844" i="16"/>
  <c r="G844" i="16"/>
  <c r="F844" i="16"/>
  <c r="E844" i="16"/>
  <c r="D844" i="16"/>
  <c r="C844" i="16"/>
  <c r="B844" i="16"/>
  <c r="A844" i="16"/>
  <c r="J843" i="16"/>
  <c r="F843" i="16"/>
  <c r="E843" i="16"/>
  <c r="D843" i="16"/>
  <c r="C843" i="16"/>
  <c r="B843" i="16"/>
  <c r="A843" i="16"/>
  <c r="J842" i="16"/>
  <c r="F842" i="16"/>
  <c r="E842" i="16"/>
  <c r="D842" i="16"/>
  <c r="C842" i="16"/>
  <c r="B842" i="16"/>
  <c r="A842" i="16"/>
  <c r="J841" i="16"/>
  <c r="E841" i="16"/>
  <c r="D841" i="16"/>
  <c r="C841" i="16"/>
  <c r="B841" i="16"/>
  <c r="A841" i="16"/>
  <c r="J840" i="16"/>
  <c r="E840" i="16"/>
  <c r="D840" i="16"/>
  <c r="C840" i="16"/>
  <c r="B840" i="16"/>
  <c r="A840" i="16"/>
  <c r="J839" i="16"/>
  <c r="E839" i="16"/>
  <c r="D839" i="16"/>
  <c r="C839" i="16"/>
  <c r="B839" i="16"/>
  <c r="A839" i="16"/>
  <c r="J838" i="16"/>
  <c r="E838" i="16"/>
  <c r="D838" i="16"/>
  <c r="C838" i="16"/>
  <c r="B838" i="16"/>
  <c r="A838" i="16"/>
  <c r="J837" i="16"/>
  <c r="E837" i="16"/>
  <c r="D837" i="16"/>
  <c r="C837" i="16"/>
  <c r="B837" i="16"/>
  <c r="A837" i="16"/>
  <c r="J836" i="16"/>
  <c r="E836" i="16"/>
  <c r="D836" i="16"/>
  <c r="C836" i="16"/>
  <c r="B836" i="16"/>
  <c r="A836" i="16"/>
  <c r="J835" i="16"/>
  <c r="H835" i="16"/>
  <c r="G835" i="16"/>
  <c r="F835" i="16"/>
  <c r="E835" i="16"/>
  <c r="D835" i="16"/>
  <c r="C835" i="16"/>
  <c r="B835" i="16"/>
  <c r="A835" i="16"/>
  <c r="J834" i="16"/>
  <c r="H834" i="16"/>
  <c r="G834" i="16"/>
  <c r="F834" i="16"/>
  <c r="E834" i="16"/>
  <c r="D834" i="16"/>
  <c r="C834" i="16"/>
  <c r="B834" i="16"/>
  <c r="A834" i="16"/>
  <c r="J833" i="16"/>
  <c r="H833" i="16"/>
  <c r="G833" i="16"/>
  <c r="F833" i="16"/>
  <c r="E833" i="16"/>
  <c r="D833" i="16"/>
  <c r="C833" i="16"/>
  <c r="B833" i="16"/>
  <c r="A833" i="16"/>
  <c r="J832" i="16"/>
  <c r="H832" i="16"/>
  <c r="G832" i="16"/>
  <c r="F832" i="16"/>
  <c r="E832" i="16"/>
  <c r="D832" i="16"/>
  <c r="C832" i="16"/>
  <c r="B832" i="16"/>
  <c r="A832" i="16"/>
  <c r="J831" i="16"/>
  <c r="H831" i="16"/>
  <c r="G831" i="16"/>
  <c r="F831" i="16"/>
  <c r="E831" i="16"/>
  <c r="D831" i="16"/>
  <c r="C831" i="16"/>
  <c r="B831" i="16"/>
  <c r="A831" i="16"/>
  <c r="J830" i="16"/>
  <c r="H830" i="16"/>
  <c r="G830" i="16"/>
  <c r="F830" i="16"/>
  <c r="E830" i="16"/>
  <c r="D830" i="16"/>
  <c r="C830" i="16"/>
  <c r="B830" i="16"/>
  <c r="A830" i="16"/>
  <c r="J829" i="16"/>
  <c r="H829" i="16"/>
  <c r="G829" i="16"/>
  <c r="F829" i="16"/>
  <c r="E829" i="16"/>
  <c r="D829" i="16"/>
  <c r="C829" i="16"/>
  <c r="B829" i="16"/>
  <c r="A829" i="16"/>
  <c r="J828" i="16"/>
  <c r="H828" i="16"/>
  <c r="G828" i="16"/>
  <c r="F828" i="16"/>
  <c r="E828" i="16"/>
  <c r="D828" i="16"/>
  <c r="C828" i="16"/>
  <c r="B828" i="16"/>
  <c r="A828" i="16"/>
  <c r="J827" i="16"/>
  <c r="H827" i="16"/>
  <c r="G827" i="16"/>
  <c r="F827" i="16"/>
  <c r="E827" i="16"/>
  <c r="D827" i="16"/>
  <c r="C827" i="16"/>
  <c r="B827" i="16"/>
  <c r="A827" i="16"/>
  <c r="J826" i="16"/>
  <c r="H826" i="16"/>
  <c r="G826" i="16"/>
  <c r="F826" i="16"/>
  <c r="E826" i="16"/>
  <c r="D826" i="16"/>
  <c r="C826" i="16"/>
  <c r="B826" i="16"/>
  <c r="A826" i="16"/>
  <c r="J825" i="16"/>
  <c r="H825" i="16"/>
  <c r="G825" i="16"/>
  <c r="F825" i="16"/>
  <c r="E825" i="16"/>
  <c r="D825" i="16"/>
  <c r="C825" i="16"/>
  <c r="B825" i="16"/>
  <c r="A825" i="16"/>
  <c r="J824" i="16"/>
  <c r="H824" i="16"/>
  <c r="G824" i="16"/>
  <c r="F824" i="16"/>
  <c r="E824" i="16"/>
  <c r="D824" i="16"/>
  <c r="C824" i="16"/>
  <c r="B824" i="16"/>
  <c r="A824" i="16"/>
  <c r="J823" i="16"/>
  <c r="H823" i="16"/>
  <c r="G823" i="16"/>
  <c r="F823" i="16"/>
  <c r="E823" i="16"/>
  <c r="D823" i="16"/>
  <c r="C823" i="16"/>
  <c r="B823" i="16"/>
  <c r="A823" i="16"/>
  <c r="J822" i="16"/>
  <c r="H822" i="16"/>
  <c r="G822" i="16"/>
  <c r="F822" i="16"/>
  <c r="E822" i="16"/>
  <c r="D822" i="16"/>
  <c r="C822" i="16"/>
  <c r="B822" i="16"/>
  <c r="A822" i="16"/>
  <c r="J821" i="16"/>
  <c r="H821" i="16"/>
  <c r="G821" i="16"/>
  <c r="F821" i="16"/>
  <c r="E821" i="16"/>
  <c r="D821" i="16"/>
  <c r="C821" i="16"/>
  <c r="B821" i="16"/>
  <c r="A821" i="16"/>
  <c r="J820" i="16"/>
  <c r="H820" i="16"/>
  <c r="G820" i="16"/>
  <c r="F820" i="16"/>
  <c r="E820" i="16"/>
  <c r="D820" i="16"/>
  <c r="C820" i="16"/>
  <c r="B820" i="16"/>
  <c r="A820" i="16"/>
  <c r="J819" i="16"/>
  <c r="H819" i="16"/>
  <c r="G819" i="16"/>
  <c r="F819" i="16"/>
  <c r="E819" i="16"/>
  <c r="D819" i="16"/>
  <c r="C819" i="16"/>
  <c r="B819" i="16"/>
  <c r="A819" i="16"/>
  <c r="J818" i="16"/>
  <c r="H818" i="16"/>
  <c r="G818" i="16"/>
  <c r="F818" i="16"/>
  <c r="E818" i="16"/>
  <c r="D818" i="16"/>
  <c r="C818" i="16"/>
  <c r="B818" i="16"/>
  <c r="A818" i="16"/>
  <c r="J817" i="16"/>
  <c r="H817" i="16"/>
  <c r="G817" i="16"/>
  <c r="F817" i="16"/>
  <c r="E817" i="16"/>
  <c r="D817" i="16"/>
  <c r="C817" i="16"/>
  <c r="B817" i="16"/>
  <c r="A817" i="16"/>
  <c r="J816" i="16"/>
  <c r="H816" i="16"/>
  <c r="G816" i="16"/>
  <c r="F816" i="16"/>
  <c r="E816" i="16"/>
  <c r="D816" i="16"/>
  <c r="C816" i="16"/>
  <c r="B816" i="16"/>
  <c r="A816" i="16"/>
  <c r="J815" i="16"/>
  <c r="H815" i="16"/>
  <c r="G815" i="16"/>
  <c r="F815" i="16"/>
  <c r="E815" i="16"/>
  <c r="D815" i="16"/>
  <c r="C815" i="16"/>
  <c r="B815" i="16"/>
  <c r="A815" i="16"/>
  <c r="J814" i="16"/>
  <c r="H814" i="16"/>
  <c r="G814" i="16"/>
  <c r="F814" i="16"/>
  <c r="E814" i="16"/>
  <c r="D814" i="16"/>
  <c r="C814" i="16"/>
  <c r="B814" i="16"/>
  <c r="A814" i="16"/>
  <c r="J813" i="16"/>
  <c r="H813" i="16"/>
  <c r="G813" i="16"/>
  <c r="F813" i="16"/>
  <c r="E813" i="16"/>
  <c r="D813" i="16"/>
  <c r="C813" i="16"/>
  <c r="B813" i="16"/>
  <c r="A813" i="16"/>
  <c r="J812" i="16"/>
  <c r="H812" i="16"/>
  <c r="G812" i="16"/>
  <c r="F812" i="16"/>
  <c r="E812" i="16"/>
  <c r="D812" i="16"/>
  <c r="C812" i="16"/>
  <c r="B812" i="16"/>
  <c r="A812" i="16"/>
  <c r="J811" i="16"/>
  <c r="H811" i="16"/>
  <c r="G811" i="16"/>
  <c r="F811" i="16"/>
  <c r="E811" i="16"/>
  <c r="D811" i="16"/>
  <c r="C811" i="16"/>
  <c r="B811" i="16"/>
  <c r="A811" i="16"/>
  <c r="J810" i="16"/>
  <c r="H810" i="16"/>
  <c r="G810" i="16"/>
  <c r="F810" i="16"/>
  <c r="E810" i="16"/>
  <c r="D810" i="16"/>
  <c r="C810" i="16"/>
  <c r="B810" i="16"/>
  <c r="A810" i="16"/>
  <c r="J809" i="16"/>
  <c r="H809" i="16"/>
  <c r="G809" i="16"/>
  <c r="F809" i="16"/>
  <c r="E809" i="16"/>
  <c r="D809" i="16"/>
  <c r="C809" i="16"/>
  <c r="B809" i="16"/>
  <c r="A809" i="16"/>
  <c r="J808" i="16"/>
  <c r="H808" i="16"/>
  <c r="G808" i="16"/>
  <c r="F808" i="16"/>
  <c r="E808" i="16"/>
  <c r="D808" i="16"/>
  <c r="C808" i="16"/>
  <c r="B808" i="16"/>
  <c r="A808" i="16"/>
  <c r="J807" i="16"/>
  <c r="H807" i="16"/>
  <c r="G807" i="16"/>
  <c r="F807" i="16"/>
  <c r="E807" i="16"/>
  <c r="D807" i="16"/>
  <c r="C807" i="16"/>
  <c r="B807" i="16"/>
  <c r="A807" i="16"/>
  <c r="J806" i="16"/>
  <c r="H806" i="16"/>
  <c r="G806" i="16"/>
  <c r="F806" i="16"/>
  <c r="E806" i="16"/>
  <c r="D806" i="16"/>
  <c r="C806" i="16"/>
  <c r="B806" i="16"/>
  <c r="A806" i="16"/>
  <c r="J805" i="16"/>
  <c r="H805" i="16"/>
  <c r="G805" i="16"/>
  <c r="F805" i="16"/>
  <c r="E805" i="16"/>
  <c r="D805" i="16"/>
  <c r="C805" i="16"/>
  <c r="B805" i="16"/>
  <c r="A805" i="16"/>
  <c r="J804" i="16"/>
  <c r="H804" i="16"/>
  <c r="G804" i="16"/>
  <c r="F804" i="16"/>
  <c r="E804" i="16"/>
  <c r="D804" i="16"/>
  <c r="C804" i="16"/>
  <c r="B804" i="16"/>
  <c r="A804" i="16"/>
  <c r="J803" i="16"/>
  <c r="H803" i="16"/>
  <c r="G803" i="16"/>
  <c r="F803" i="16"/>
  <c r="E803" i="16"/>
  <c r="D803" i="16"/>
  <c r="C803" i="16"/>
  <c r="B803" i="16"/>
  <c r="A803" i="16"/>
  <c r="J802" i="16"/>
  <c r="H802" i="16"/>
  <c r="G802" i="16"/>
  <c r="F802" i="16"/>
  <c r="E802" i="16"/>
  <c r="D802" i="16"/>
  <c r="C802" i="16"/>
  <c r="B802" i="16"/>
  <c r="A802" i="16"/>
  <c r="J801" i="16"/>
  <c r="H801" i="16"/>
  <c r="G801" i="16"/>
  <c r="F801" i="16"/>
  <c r="E801" i="16"/>
  <c r="D801" i="16"/>
  <c r="C801" i="16"/>
  <c r="B801" i="16"/>
  <c r="A801" i="16"/>
  <c r="J800" i="16"/>
  <c r="H800" i="16"/>
  <c r="G800" i="16"/>
  <c r="F800" i="16"/>
  <c r="E800" i="16"/>
  <c r="D800" i="16"/>
  <c r="C800" i="16"/>
  <c r="B800" i="16"/>
  <c r="A800" i="16"/>
  <c r="J799" i="16"/>
  <c r="H799" i="16"/>
  <c r="G799" i="16"/>
  <c r="F799" i="16"/>
  <c r="E799" i="16"/>
  <c r="D799" i="16"/>
  <c r="C799" i="16"/>
  <c r="B799" i="16"/>
  <c r="A799" i="16"/>
  <c r="J798" i="16"/>
  <c r="H798" i="16"/>
  <c r="G798" i="16"/>
  <c r="F798" i="16"/>
  <c r="E798" i="16"/>
  <c r="D798" i="16"/>
  <c r="C798" i="16"/>
  <c r="B798" i="16"/>
  <c r="A798" i="16"/>
  <c r="J797" i="16"/>
  <c r="H797" i="16"/>
  <c r="G797" i="16"/>
  <c r="F797" i="16"/>
  <c r="E797" i="16"/>
  <c r="D797" i="16"/>
  <c r="C797" i="16"/>
  <c r="B797" i="16"/>
  <c r="A797" i="16"/>
  <c r="J796" i="16"/>
  <c r="H796" i="16"/>
  <c r="G796" i="16"/>
  <c r="F796" i="16"/>
  <c r="E796" i="16"/>
  <c r="D796" i="16"/>
  <c r="C796" i="16"/>
  <c r="B796" i="16"/>
  <c r="A796" i="16"/>
  <c r="J795" i="16"/>
  <c r="H795" i="16"/>
  <c r="G795" i="16"/>
  <c r="F795" i="16"/>
  <c r="E795" i="16"/>
  <c r="D795" i="16"/>
  <c r="C795" i="16"/>
  <c r="B795" i="16"/>
  <c r="A795" i="16"/>
  <c r="J794" i="16"/>
  <c r="H794" i="16"/>
  <c r="G794" i="16"/>
  <c r="F794" i="16"/>
  <c r="E794" i="16"/>
  <c r="D794" i="16"/>
  <c r="C794" i="16"/>
  <c r="B794" i="16"/>
  <c r="A794" i="16"/>
  <c r="J793" i="16"/>
  <c r="H793" i="16"/>
  <c r="G793" i="16"/>
  <c r="F793" i="16"/>
  <c r="E793" i="16"/>
  <c r="D793" i="16"/>
  <c r="C793" i="16"/>
  <c r="B793" i="16"/>
  <c r="A793" i="16"/>
  <c r="J792" i="16"/>
  <c r="H792" i="16"/>
  <c r="G792" i="16"/>
  <c r="F792" i="16"/>
  <c r="E792" i="16"/>
  <c r="D792" i="16"/>
  <c r="C792" i="16"/>
  <c r="B792" i="16"/>
  <c r="A792" i="16"/>
  <c r="J791" i="16"/>
  <c r="H791" i="16"/>
  <c r="G791" i="16"/>
  <c r="F791" i="16"/>
  <c r="E791" i="16"/>
  <c r="D791" i="16"/>
  <c r="C791" i="16"/>
  <c r="B791" i="16"/>
  <c r="A791" i="16"/>
  <c r="J790" i="16"/>
  <c r="H790" i="16"/>
  <c r="G790" i="16"/>
  <c r="F790" i="16"/>
  <c r="E790" i="16"/>
  <c r="D790" i="16"/>
  <c r="C790" i="16"/>
  <c r="B790" i="16"/>
  <c r="A790" i="16"/>
  <c r="J789" i="16"/>
  <c r="H789" i="16"/>
  <c r="G789" i="16"/>
  <c r="F789" i="16"/>
  <c r="E789" i="16"/>
  <c r="D789" i="16"/>
  <c r="C789" i="16"/>
  <c r="B789" i="16"/>
  <c r="A789" i="16"/>
  <c r="J788" i="16"/>
  <c r="H788" i="16"/>
  <c r="G788" i="16"/>
  <c r="F788" i="16"/>
  <c r="E788" i="16"/>
  <c r="D788" i="16"/>
  <c r="C788" i="16"/>
  <c r="B788" i="16"/>
  <c r="A788" i="16"/>
  <c r="J787" i="16"/>
  <c r="H787" i="16"/>
  <c r="G787" i="16"/>
  <c r="F787" i="16"/>
  <c r="E787" i="16"/>
  <c r="D787" i="16"/>
  <c r="C787" i="16"/>
  <c r="B787" i="16"/>
  <c r="A787" i="16"/>
  <c r="J786" i="16"/>
  <c r="H786" i="16"/>
  <c r="G786" i="16"/>
  <c r="F786" i="16"/>
  <c r="E786" i="16"/>
  <c r="D786" i="16"/>
  <c r="C786" i="16"/>
  <c r="B786" i="16"/>
  <c r="A786" i="16"/>
  <c r="J785" i="16"/>
  <c r="H785" i="16"/>
  <c r="G785" i="16"/>
  <c r="F785" i="16"/>
  <c r="E785" i="16"/>
  <c r="D785" i="16"/>
  <c r="C785" i="16"/>
  <c r="B785" i="16"/>
  <c r="A785" i="16"/>
  <c r="J784" i="16"/>
  <c r="H784" i="16"/>
  <c r="G784" i="16"/>
  <c r="F784" i="16"/>
  <c r="E784" i="16"/>
  <c r="D784" i="16"/>
  <c r="C784" i="16"/>
  <c r="B784" i="16"/>
  <c r="A784" i="16"/>
  <c r="J783" i="16"/>
  <c r="H783" i="16"/>
  <c r="G783" i="16"/>
  <c r="F783" i="16"/>
  <c r="E783" i="16"/>
  <c r="D783" i="16"/>
  <c r="C783" i="16"/>
  <c r="B783" i="16"/>
  <c r="A783" i="16"/>
  <c r="J782" i="16"/>
  <c r="H782" i="16"/>
  <c r="G782" i="16"/>
  <c r="F782" i="16"/>
  <c r="E782" i="16"/>
  <c r="D782" i="16"/>
  <c r="C782" i="16"/>
  <c r="B782" i="16"/>
  <c r="A782" i="16"/>
  <c r="J781" i="16"/>
  <c r="H781" i="16"/>
  <c r="G781" i="16"/>
  <c r="F781" i="16"/>
  <c r="E781" i="16"/>
  <c r="D781" i="16"/>
  <c r="C781" i="16"/>
  <c r="B781" i="16"/>
  <c r="A781" i="16"/>
  <c r="J780" i="16"/>
  <c r="H780" i="16"/>
  <c r="G780" i="16"/>
  <c r="F780" i="16"/>
  <c r="E780" i="16"/>
  <c r="D780" i="16"/>
  <c r="C780" i="16"/>
  <c r="B780" i="16"/>
  <c r="A780" i="16"/>
  <c r="J779" i="16"/>
  <c r="H779" i="16"/>
  <c r="G779" i="16"/>
  <c r="F779" i="16"/>
  <c r="E779" i="16"/>
  <c r="D779" i="16"/>
  <c r="C779" i="16"/>
  <c r="B779" i="16"/>
  <c r="A779" i="16"/>
  <c r="J778" i="16"/>
  <c r="H778" i="16"/>
  <c r="G778" i="16"/>
  <c r="F778" i="16"/>
  <c r="E778" i="16"/>
  <c r="D778" i="16"/>
  <c r="C778" i="16"/>
  <c r="B778" i="16"/>
  <c r="A778" i="16"/>
  <c r="J777" i="16"/>
  <c r="H777" i="16"/>
  <c r="G777" i="16"/>
  <c r="F777" i="16"/>
  <c r="E777" i="16"/>
  <c r="D777" i="16"/>
  <c r="C777" i="16"/>
  <c r="B777" i="16"/>
  <c r="A777" i="16"/>
  <c r="J776" i="16"/>
  <c r="H776" i="16"/>
  <c r="G776" i="16"/>
  <c r="F776" i="16"/>
  <c r="E776" i="16"/>
  <c r="D776" i="16"/>
  <c r="C776" i="16"/>
  <c r="B776" i="16"/>
  <c r="A776" i="16"/>
  <c r="J775" i="16"/>
  <c r="H775" i="16"/>
  <c r="G775" i="16"/>
  <c r="F775" i="16"/>
  <c r="E775" i="16"/>
  <c r="D775" i="16"/>
  <c r="C775" i="16"/>
  <c r="B775" i="16"/>
  <c r="A775" i="16"/>
  <c r="J774" i="16"/>
  <c r="H774" i="16"/>
  <c r="G774" i="16"/>
  <c r="F774" i="16"/>
  <c r="E774" i="16"/>
  <c r="D774" i="16"/>
  <c r="C774" i="16"/>
  <c r="B774" i="16"/>
  <c r="A774" i="16"/>
  <c r="J773" i="16"/>
  <c r="H773" i="16"/>
  <c r="G773" i="16"/>
  <c r="F773" i="16"/>
  <c r="E773" i="16"/>
  <c r="D773" i="16"/>
  <c r="C773" i="16"/>
  <c r="B773" i="16"/>
  <c r="A773" i="16"/>
  <c r="J772" i="16"/>
  <c r="H772" i="16"/>
  <c r="G772" i="16"/>
  <c r="F772" i="16"/>
  <c r="E772" i="16"/>
  <c r="D772" i="16"/>
  <c r="C772" i="16"/>
  <c r="B772" i="16"/>
  <c r="A772" i="16"/>
  <c r="J771" i="16"/>
  <c r="H771" i="16"/>
  <c r="G771" i="16"/>
  <c r="F771" i="16"/>
  <c r="E771" i="16"/>
  <c r="D771" i="16"/>
  <c r="C771" i="16"/>
  <c r="B771" i="16"/>
  <c r="A771" i="16"/>
  <c r="J770" i="16"/>
  <c r="H770" i="16"/>
  <c r="G770" i="16"/>
  <c r="F770" i="16"/>
  <c r="E770" i="16"/>
  <c r="D770" i="16"/>
  <c r="C770" i="16"/>
  <c r="B770" i="16"/>
  <c r="A770" i="16"/>
  <c r="J769" i="16"/>
  <c r="H769" i="16"/>
  <c r="G769" i="16"/>
  <c r="F769" i="16"/>
  <c r="E769" i="16"/>
  <c r="D769" i="16"/>
  <c r="C769" i="16"/>
  <c r="B769" i="16"/>
  <c r="A769" i="16"/>
  <c r="J768" i="16"/>
  <c r="H768" i="16"/>
  <c r="G768" i="16"/>
  <c r="F768" i="16"/>
  <c r="E768" i="16"/>
  <c r="D768" i="16"/>
  <c r="C768" i="16"/>
  <c r="B768" i="16"/>
  <c r="A768" i="16"/>
  <c r="J767" i="16"/>
  <c r="H767" i="16"/>
  <c r="G767" i="16"/>
  <c r="F767" i="16"/>
  <c r="E767" i="16"/>
  <c r="D767" i="16"/>
  <c r="C767" i="16"/>
  <c r="B767" i="16"/>
  <c r="A767" i="16"/>
  <c r="J766" i="16"/>
  <c r="H766" i="16"/>
  <c r="G766" i="16"/>
  <c r="F766" i="16"/>
  <c r="E766" i="16"/>
  <c r="D766" i="16"/>
  <c r="C766" i="16"/>
  <c r="B766" i="16"/>
  <c r="A766" i="16"/>
  <c r="J765" i="16"/>
  <c r="H765" i="16"/>
  <c r="G765" i="16"/>
  <c r="F765" i="16"/>
  <c r="E765" i="16"/>
  <c r="D765" i="16"/>
  <c r="C765" i="16"/>
  <c r="B765" i="16"/>
  <c r="A765" i="16"/>
  <c r="J764" i="16"/>
  <c r="H764" i="16"/>
  <c r="G764" i="16"/>
  <c r="F764" i="16"/>
  <c r="E764" i="16"/>
  <c r="D764" i="16"/>
  <c r="C764" i="16"/>
  <c r="B764" i="16"/>
  <c r="A764" i="16"/>
  <c r="J763" i="16"/>
  <c r="H763" i="16"/>
  <c r="G763" i="16"/>
  <c r="F763" i="16"/>
  <c r="E763" i="16"/>
  <c r="D763" i="16"/>
  <c r="C763" i="16"/>
  <c r="B763" i="16"/>
  <c r="A763" i="16"/>
  <c r="J762" i="16"/>
  <c r="H762" i="16"/>
  <c r="G762" i="16"/>
  <c r="F762" i="16"/>
  <c r="E762" i="16"/>
  <c r="D762" i="16"/>
  <c r="C762" i="16"/>
  <c r="B762" i="16"/>
  <c r="A762" i="16"/>
  <c r="J761" i="16"/>
  <c r="H761" i="16"/>
  <c r="G761" i="16"/>
  <c r="F761" i="16"/>
  <c r="E761" i="16"/>
  <c r="D761" i="16"/>
  <c r="C761" i="16"/>
  <c r="B761" i="16"/>
  <c r="A761" i="16"/>
  <c r="J760" i="16"/>
  <c r="H760" i="16"/>
  <c r="G760" i="16"/>
  <c r="F760" i="16"/>
  <c r="E760" i="16"/>
  <c r="D760" i="16"/>
  <c r="C760" i="16"/>
  <c r="B760" i="16"/>
  <c r="A760" i="16"/>
  <c r="J759" i="16"/>
  <c r="H759" i="16"/>
  <c r="G759" i="16"/>
  <c r="F759" i="16"/>
  <c r="E759" i="16"/>
  <c r="D759" i="16"/>
  <c r="C759" i="16"/>
  <c r="B759" i="16"/>
  <c r="A759" i="16"/>
  <c r="J758" i="16"/>
  <c r="H758" i="16"/>
  <c r="G758" i="16"/>
  <c r="F758" i="16"/>
  <c r="E758" i="16"/>
  <c r="D758" i="16"/>
  <c r="C758" i="16"/>
  <c r="B758" i="16"/>
  <c r="A758" i="16"/>
  <c r="J757" i="16"/>
  <c r="H757" i="16"/>
  <c r="G757" i="16"/>
  <c r="F757" i="16"/>
  <c r="E757" i="16"/>
  <c r="D757" i="16"/>
  <c r="C757" i="16"/>
  <c r="B757" i="16"/>
  <c r="A757" i="16"/>
  <c r="J756" i="16"/>
  <c r="H756" i="16"/>
  <c r="G756" i="16"/>
  <c r="F756" i="16"/>
  <c r="E756" i="16"/>
  <c r="D756" i="16"/>
  <c r="C756" i="16"/>
  <c r="B756" i="16"/>
  <c r="A756" i="16"/>
  <c r="J755" i="16"/>
  <c r="H755" i="16"/>
  <c r="G755" i="16"/>
  <c r="F755" i="16"/>
  <c r="E755" i="16"/>
  <c r="D755" i="16"/>
  <c r="C755" i="16"/>
  <c r="B755" i="16"/>
  <c r="A755" i="16"/>
  <c r="J754" i="16"/>
  <c r="H754" i="16"/>
  <c r="G754" i="16"/>
  <c r="F754" i="16"/>
  <c r="E754" i="16"/>
  <c r="D754" i="16"/>
  <c r="C754" i="16"/>
  <c r="B754" i="16"/>
  <c r="A754" i="16"/>
  <c r="J753" i="16"/>
  <c r="H753" i="16"/>
  <c r="G753" i="16"/>
  <c r="F753" i="16"/>
  <c r="E753" i="16"/>
  <c r="D753" i="16"/>
  <c r="C753" i="16"/>
  <c r="B753" i="16"/>
  <c r="A753" i="16"/>
  <c r="J752" i="16"/>
  <c r="H752" i="16"/>
  <c r="G752" i="16"/>
  <c r="F752" i="16"/>
  <c r="E752" i="16"/>
  <c r="D752" i="16"/>
  <c r="C752" i="16"/>
  <c r="B752" i="16"/>
  <c r="A752" i="16"/>
  <c r="J751" i="16"/>
  <c r="H751" i="16"/>
  <c r="G751" i="16"/>
  <c r="F751" i="16"/>
  <c r="E751" i="16"/>
  <c r="D751" i="16"/>
  <c r="C751" i="16"/>
  <c r="B751" i="16"/>
  <c r="A751" i="16"/>
  <c r="J750" i="16"/>
  <c r="H750" i="16"/>
  <c r="G750" i="16"/>
  <c r="F750" i="16"/>
  <c r="E750" i="16"/>
  <c r="D750" i="16"/>
  <c r="C750" i="16"/>
  <c r="B750" i="16"/>
  <c r="A750" i="16"/>
  <c r="J749" i="16"/>
  <c r="H749" i="16"/>
  <c r="G749" i="16"/>
  <c r="F749" i="16"/>
  <c r="E749" i="16"/>
  <c r="D749" i="16"/>
  <c r="C749" i="16"/>
  <c r="B749" i="16"/>
  <c r="A749" i="16"/>
  <c r="J748" i="16"/>
  <c r="H748" i="16"/>
  <c r="G748" i="16"/>
  <c r="F748" i="16"/>
  <c r="E748" i="16"/>
  <c r="D748" i="16"/>
  <c r="C748" i="16"/>
  <c r="B748" i="16"/>
  <c r="A748" i="16"/>
  <c r="J747" i="16"/>
  <c r="H747" i="16"/>
  <c r="G747" i="16"/>
  <c r="F747" i="16"/>
  <c r="E747" i="16"/>
  <c r="D747" i="16"/>
  <c r="C747" i="16"/>
  <c r="B747" i="16"/>
  <c r="A747" i="16"/>
  <c r="J746" i="16"/>
  <c r="H746" i="16"/>
  <c r="G746" i="16"/>
  <c r="F746" i="16"/>
  <c r="E746" i="16"/>
  <c r="D746" i="16"/>
  <c r="C746" i="16"/>
  <c r="B746" i="16"/>
  <c r="A746" i="16"/>
  <c r="J745" i="16"/>
  <c r="H745" i="16"/>
  <c r="G745" i="16"/>
  <c r="F745" i="16"/>
  <c r="E745" i="16"/>
  <c r="D745" i="16"/>
  <c r="C745" i="16"/>
  <c r="B745" i="16"/>
  <c r="A745" i="16"/>
  <c r="J744" i="16"/>
  <c r="H744" i="16"/>
  <c r="G744" i="16"/>
  <c r="F744" i="16"/>
  <c r="E744" i="16"/>
  <c r="D744" i="16"/>
  <c r="C744" i="16"/>
  <c r="B744" i="16"/>
  <c r="A744" i="16"/>
  <c r="J743" i="16"/>
  <c r="H743" i="16"/>
  <c r="G743" i="16"/>
  <c r="F743" i="16"/>
  <c r="E743" i="16"/>
  <c r="D743" i="16"/>
  <c r="C743" i="16"/>
  <c r="B743" i="16"/>
  <c r="A743" i="16"/>
  <c r="J742" i="16"/>
  <c r="H742" i="16"/>
  <c r="G742" i="16"/>
  <c r="F742" i="16"/>
  <c r="E742" i="16"/>
  <c r="D742" i="16"/>
  <c r="C742" i="16"/>
  <c r="B742" i="16"/>
  <c r="A742" i="16"/>
  <c r="J741" i="16"/>
  <c r="H741" i="16"/>
  <c r="G741" i="16"/>
  <c r="F741" i="16"/>
  <c r="E741" i="16"/>
  <c r="D741" i="16"/>
  <c r="C741" i="16"/>
  <c r="B741" i="16"/>
  <c r="A741" i="16"/>
  <c r="J740" i="16"/>
  <c r="H740" i="16"/>
  <c r="G740" i="16"/>
  <c r="F740" i="16"/>
  <c r="E740" i="16"/>
  <c r="D740" i="16"/>
  <c r="C740" i="16"/>
  <c r="B740" i="16"/>
  <c r="A740" i="16"/>
  <c r="J739" i="16"/>
  <c r="H739" i="16"/>
  <c r="G739" i="16"/>
  <c r="F739" i="16"/>
  <c r="E739" i="16"/>
  <c r="D739" i="16"/>
  <c r="C739" i="16"/>
  <c r="B739" i="16"/>
  <c r="A739" i="16"/>
  <c r="J738" i="16"/>
  <c r="H738" i="16"/>
  <c r="G738" i="16"/>
  <c r="F738" i="16"/>
  <c r="E738" i="16"/>
  <c r="D738" i="16"/>
  <c r="C738" i="16"/>
  <c r="B738" i="16"/>
  <c r="A738" i="16"/>
  <c r="J737" i="16"/>
  <c r="H737" i="16"/>
  <c r="G737" i="16"/>
  <c r="F737" i="16"/>
  <c r="E737" i="16"/>
  <c r="D737" i="16"/>
  <c r="C737" i="16"/>
  <c r="B737" i="16"/>
  <c r="A737" i="16"/>
  <c r="J736" i="16"/>
  <c r="H736" i="16"/>
  <c r="G736" i="16"/>
  <c r="F736" i="16"/>
  <c r="E736" i="16"/>
  <c r="D736" i="16"/>
  <c r="C736" i="16"/>
  <c r="B736" i="16"/>
  <c r="A736" i="16"/>
  <c r="J735" i="16"/>
  <c r="H735" i="16"/>
  <c r="G735" i="16"/>
  <c r="F735" i="16"/>
  <c r="E735" i="16"/>
  <c r="D735" i="16"/>
  <c r="C735" i="16"/>
  <c r="B735" i="16"/>
  <c r="A735" i="16"/>
  <c r="J734" i="16"/>
  <c r="H734" i="16"/>
  <c r="G734" i="16"/>
  <c r="F734" i="16"/>
  <c r="E734" i="16"/>
  <c r="D734" i="16"/>
  <c r="C734" i="16"/>
  <c r="B734" i="16"/>
  <c r="A734" i="16"/>
  <c r="J733" i="16"/>
  <c r="H733" i="16"/>
  <c r="G733" i="16"/>
  <c r="F733" i="16"/>
  <c r="E733" i="16"/>
  <c r="D733" i="16"/>
  <c r="C733" i="16"/>
  <c r="B733" i="16"/>
  <c r="A733" i="16"/>
  <c r="J732" i="16"/>
  <c r="H732" i="16"/>
  <c r="G732" i="16"/>
  <c r="F732" i="16"/>
  <c r="E732" i="16"/>
  <c r="D732" i="16"/>
  <c r="C732" i="16"/>
  <c r="B732" i="16"/>
  <c r="A732" i="16"/>
  <c r="J731" i="16"/>
  <c r="H731" i="16"/>
  <c r="G731" i="16"/>
  <c r="F731" i="16"/>
  <c r="E731" i="16"/>
  <c r="D731" i="16"/>
  <c r="C731" i="16"/>
  <c r="B731" i="16"/>
  <c r="A731" i="16"/>
  <c r="J730" i="16"/>
  <c r="H730" i="16"/>
  <c r="G730" i="16"/>
  <c r="F730" i="16"/>
  <c r="E730" i="16"/>
  <c r="D730" i="16"/>
  <c r="C730" i="16"/>
  <c r="B730" i="16"/>
  <c r="A730" i="16"/>
  <c r="J729" i="16"/>
  <c r="H729" i="16"/>
  <c r="G729" i="16"/>
  <c r="F729" i="16"/>
  <c r="E729" i="16"/>
  <c r="D729" i="16"/>
  <c r="C729" i="16"/>
  <c r="B729" i="16"/>
  <c r="A729" i="16"/>
  <c r="J728" i="16"/>
  <c r="H728" i="16"/>
  <c r="G728" i="16"/>
  <c r="F728" i="16"/>
  <c r="E728" i="16"/>
  <c r="D728" i="16"/>
  <c r="C728" i="16"/>
  <c r="B728" i="16"/>
  <c r="A728" i="16"/>
  <c r="J727" i="16"/>
  <c r="H727" i="16"/>
  <c r="G727" i="16"/>
  <c r="F727" i="16"/>
  <c r="E727" i="16"/>
  <c r="D727" i="16"/>
  <c r="C727" i="16"/>
  <c r="B727" i="16"/>
  <c r="A727" i="16"/>
  <c r="J726" i="16"/>
  <c r="H726" i="16"/>
  <c r="G726" i="16"/>
  <c r="F726" i="16"/>
  <c r="E726" i="16"/>
  <c r="D726" i="16"/>
  <c r="C726" i="16"/>
  <c r="B726" i="16"/>
  <c r="A726" i="16"/>
  <c r="J725" i="16"/>
  <c r="H725" i="16"/>
  <c r="G725" i="16"/>
  <c r="F725" i="16"/>
  <c r="E725" i="16"/>
  <c r="D725" i="16"/>
  <c r="C725" i="16"/>
  <c r="B725" i="16"/>
  <c r="A725" i="16"/>
  <c r="J724" i="16"/>
  <c r="H724" i="16"/>
  <c r="G724" i="16"/>
  <c r="F724" i="16"/>
  <c r="E724" i="16"/>
  <c r="D724" i="16"/>
  <c r="C724" i="16"/>
  <c r="B724" i="16"/>
  <c r="A724" i="16"/>
  <c r="J723" i="16"/>
  <c r="H723" i="16"/>
  <c r="G723" i="16"/>
  <c r="F723" i="16"/>
  <c r="E723" i="16"/>
  <c r="D723" i="16"/>
  <c r="C723" i="16"/>
  <c r="B723" i="16"/>
  <c r="A723" i="16"/>
  <c r="J722" i="16"/>
  <c r="H722" i="16"/>
  <c r="G722" i="16"/>
  <c r="F722" i="16"/>
  <c r="E722" i="16"/>
  <c r="D722" i="16"/>
  <c r="C722" i="16"/>
  <c r="B722" i="16"/>
  <c r="A722" i="16"/>
  <c r="J721" i="16"/>
  <c r="H721" i="16"/>
  <c r="G721" i="16"/>
  <c r="F721" i="16"/>
  <c r="E721" i="16"/>
  <c r="D721" i="16"/>
  <c r="C721" i="16"/>
  <c r="B721" i="16"/>
  <c r="A721" i="16"/>
  <c r="J720" i="16"/>
  <c r="H720" i="16"/>
  <c r="G720" i="16"/>
  <c r="F720" i="16"/>
  <c r="E720" i="16"/>
  <c r="D720" i="16"/>
  <c r="C720" i="16"/>
  <c r="B720" i="16"/>
  <c r="A720" i="16"/>
  <c r="J719" i="16"/>
  <c r="H719" i="16"/>
  <c r="G719" i="16"/>
  <c r="F719" i="16"/>
  <c r="E719" i="16"/>
  <c r="D719" i="16"/>
  <c r="C719" i="16"/>
  <c r="B719" i="16"/>
  <c r="A719" i="16"/>
  <c r="J718" i="16"/>
  <c r="H718" i="16"/>
  <c r="G718" i="16"/>
  <c r="F718" i="16"/>
  <c r="E718" i="16"/>
  <c r="D718" i="16"/>
  <c r="C718" i="16"/>
  <c r="B718" i="16"/>
  <c r="A718" i="16"/>
  <c r="J717" i="16"/>
  <c r="H717" i="16"/>
  <c r="G717" i="16"/>
  <c r="F717" i="16"/>
  <c r="E717" i="16"/>
  <c r="D717" i="16"/>
  <c r="C717" i="16"/>
  <c r="B717" i="16"/>
  <c r="A717" i="16"/>
  <c r="J716" i="16"/>
  <c r="H716" i="16"/>
  <c r="G716" i="16"/>
  <c r="F716" i="16"/>
  <c r="E716" i="16"/>
  <c r="D716" i="16"/>
  <c r="C716" i="16"/>
  <c r="B716" i="16"/>
  <c r="A716" i="16"/>
  <c r="J715" i="16"/>
  <c r="H715" i="16"/>
  <c r="G715" i="16"/>
  <c r="F715" i="16"/>
  <c r="E715" i="16"/>
  <c r="D715" i="16"/>
  <c r="C715" i="16"/>
  <c r="B715" i="16"/>
  <c r="A715" i="16"/>
  <c r="J714" i="16"/>
  <c r="H714" i="16"/>
  <c r="G714" i="16"/>
  <c r="F714" i="16"/>
  <c r="E714" i="16"/>
  <c r="D714" i="16"/>
  <c r="C714" i="16"/>
  <c r="B714" i="16"/>
  <c r="A714" i="16"/>
  <c r="J713" i="16"/>
  <c r="H713" i="16"/>
  <c r="G713" i="16"/>
  <c r="F713" i="16"/>
  <c r="E713" i="16"/>
  <c r="D713" i="16"/>
  <c r="C713" i="16"/>
  <c r="B713" i="16"/>
  <c r="A713" i="16"/>
  <c r="J712" i="16"/>
  <c r="H712" i="16"/>
  <c r="G712" i="16"/>
  <c r="F712" i="16"/>
  <c r="E712" i="16"/>
  <c r="D712" i="16"/>
  <c r="C712" i="16"/>
  <c r="B712" i="16"/>
  <c r="A712" i="16"/>
  <c r="J711" i="16"/>
  <c r="H711" i="16"/>
  <c r="G711" i="16"/>
  <c r="F711" i="16"/>
  <c r="E711" i="16"/>
  <c r="D711" i="16"/>
  <c r="C711" i="16"/>
  <c r="B711" i="16"/>
  <c r="A711" i="16"/>
  <c r="J710" i="16"/>
  <c r="H710" i="16"/>
  <c r="G710" i="16"/>
  <c r="F710" i="16"/>
  <c r="E710" i="16"/>
  <c r="D710" i="16"/>
  <c r="C710" i="16"/>
  <c r="B710" i="16"/>
  <c r="A710" i="16"/>
  <c r="J709" i="16"/>
  <c r="H709" i="16"/>
  <c r="G709" i="16"/>
  <c r="F709" i="16"/>
  <c r="E709" i="16"/>
  <c r="D709" i="16"/>
  <c r="C709" i="16"/>
  <c r="B709" i="16"/>
  <c r="A709" i="16"/>
  <c r="J708" i="16"/>
  <c r="H708" i="16"/>
  <c r="G708" i="16"/>
  <c r="F708" i="16"/>
  <c r="E708" i="16"/>
  <c r="D708" i="16"/>
  <c r="C708" i="16"/>
  <c r="B708" i="16"/>
  <c r="A708" i="16"/>
  <c r="J707" i="16"/>
  <c r="H707" i="16"/>
  <c r="G707" i="16"/>
  <c r="F707" i="16"/>
  <c r="E707" i="16"/>
  <c r="D707" i="16"/>
  <c r="C707" i="16"/>
  <c r="B707" i="16"/>
  <c r="A707" i="16"/>
  <c r="J706" i="16"/>
  <c r="H706" i="16"/>
  <c r="G706" i="16"/>
  <c r="F706" i="16"/>
  <c r="E706" i="16"/>
  <c r="D706" i="16"/>
  <c r="C706" i="16"/>
  <c r="B706" i="16"/>
  <c r="A706" i="16"/>
  <c r="J705" i="16"/>
  <c r="H705" i="16"/>
  <c r="G705" i="16"/>
  <c r="F705" i="16"/>
  <c r="E705" i="16"/>
  <c r="D705" i="16"/>
  <c r="C705" i="16"/>
  <c r="B705" i="16"/>
  <c r="A705" i="16"/>
  <c r="J704" i="16"/>
  <c r="H704" i="16"/>
  <c r="G704" i="16"/>
  <c r="F704" i="16"/>
  <c r="E704" i="16"/>
  <c r="D704" i="16"/>
  <c r="C704" i="16"/>
  <c r="B704" i="16"/>
  <c r="A704" i="16"/>
  <c r="J703" i="16"/>
  <c r="H703" i="16"/>
  <c r="G703" i="16"/>
  <c r="F703" i="16"/>
  <c r="E703" i="16"/>
  <c r="D703" i="16"/>
  <c r="C703" i="16"/>
  <c r="B703" i="16"/>
  <c r="A703" i="16"/>
  <c r="J702" i="16"/>
  <c r="H702" i="16"/>
  <c r="G702" i="16"/>
  <c r="F702" i="16"/>
  <c r="E702" i="16"/>
  <c r="D702" i="16"/>
  <c r="C702" i="16"/>
  <c r="B702" i="16"/>
  <c r="A702" i="16"/>
  <c r="J701" i="16"/>
  <c r="H701" i="16"/>
  <c r="G701" i="16"/>
  <c r="F701" i="16"/>
  <c r="E701" i="16"/>
  <c r="D701" i="16"/>
  <c r="C701" i="16"/>
  <c r="B701" i="16"/>
  <c r="A701" i="16"/>
  <c r="J700" i="16"/>
  <c r="H700" i="16"/>
  <c r="G700" i="16"/>
  <c r="F700" i="16"/>
  <c r="E700" i="16"/>
  <c r="D700" i="16"/>
  <c r="C700" i="16"/>
  <c r="B700" i="16"/>
  <c r="A700" i="16"/>
  <c r="J699" i="16"/>
  <c r="H699" i="16"/>
  <c r="G699" i="16"/>
  <c r="F699" i="16"/>
  <c r="E699" i="16"/>
  <c r="D699" i="16"/>
  <c r="C699" i="16"/>
  <c r="B699" i="16"/>
  <c r="A699" i="16"/>
  <c r="J698" i="16"/>
  <c r="H698" i="16"/>
  <c r="G698" i="16"/>
  <c r="F698" i="16"/>
  <c r="E698" i="16"/>
  <c r="D698" i="16"/>
  <c r="C698" i="16"/>
  <c r="B698" i="16"/>
  <c r="A698" i="16"/>
  <c r="J697" i="16"/>
  <c r="H697" i="16"/>
  <c r="G697" i="16"/>
  <c r="F697" i="16"/>
  <c r="E697" i="16"/>
  <c r="D697" i="16"/>
  <c r="C697" i="16"/>
  <c r="B697" i="16"/>
  <c r="A697" i="16"/>
  <c r="J696" i="16"/>
  <c r="H696" i="16"/>
  <c r="G696" i="16"/>
  <c r="F696" i="16"/>
  <c r="E696" i="16"/>
  <c r="D696" i="16"/>
  <c r="C696" i="16"/>
  <c r="B696" i="16"/>
  <c r="A696" i="16"/>
  <c r="J695" i="16"/>
  <c r="H695" i="16"/>
  <c r="G695" i="16"/>
  <c r="F695" i="16"/>
  <c r="E695" i="16"/>
  <c r="D695" i="16"/>
  <c r="C695" i="16"/>
  <c r="B695" i="16"/>
  <c r="A695" i="16"/>
  <c r="J694" i="16"/>
  <c r="H694" i="16"/>
  <c r="G694" i="16"/>
  <c r="F694" i="16"/>
  <c r="E694" i="16"/>
  <c r="D694" i="16"/>
  <c r="C694" i="16"/>
  <c r="B694" i="16"/>
  <c r="A694" i="16"/>
  <c r="J693" i="16"/>
  <c r="H693" i="16"/>
  <c r="G693" i="16"/>
  <c r="F693" i="16"/>
  <c r="E693" i="16"/>
  <c r="D693" i="16"/>
  <c r="C693" i="16"/>
  <c r="B693" i="16"/>
  <c r="A693" i="16"/>
  <c r="J692" i="16"/>
  <c r="H692" i="16"/>
  <c r="G692" i="16"/>
  <c r="F692" i="16"/>
  <c r="E692" i="16"/>
  <c r="D692" i="16"/>
  <c r="C692" i="16"/>
  <c r="B692" i="16"/>
  <c r="A692" i="16"/>
  <c r="J691" i="16"/>
  <c r="H691" i="16"/>
  <c r="G691" i="16"/>
  <c r="F691" i="16"/>
  <c r="E691" i="16"/>
  <c r="D691" i="16"/>
  <c r="C691" i="16"/>
  <c r="B691" i="16"/>
  <c r="A691" i="16"/>
  <c r="J690" i="16"/>
  <c r="H690" i="16"/>
  <c r="G690" i="16"/>
  <c r="F690" i="16"/>
  <c r="E690" i="16"/>
  <c r="D690" i="16"/>
  <c r="C690" i="16"/>
  <c r="B690" i="16"/>
  <c r="A690" i="16"/>
  <c r="J689" i="16"/>
  <c r="H689" i="16"/>
  <c r="G689" i="16"/>
  <c r="F689" i="16"/>
  <c r="E689" i="16"/>
  <c r="D689" i="16"/>
  <c r="C689" i="16"/>
  <c r="B689" i="16"/>
  <c r="A689" i="16"/>
  <c r="J688" i="16"/>
  <c r="H688" i="16"/>
  <c r="G688" i="16"/>
  <c r="F688" i="16"/>
  <c r="E688" i="16"/>
  <c r="D688" i="16"/>
  <c r="C688" i="16"/>
  <c r="B688" i="16"/>
  <c r="A688" i="16"/>
  <c r="J687" i="16"/>
  <c r="H687" i="16"/>
  <c r="G687" i="16"/>
  <c r="F687" i="16"/>
  <c r="E687" i="16"/>
  <c r="D687" i="16"/>
  <c r="C687" i="16"/>
  <c r="B687" i="16"/>
  <c r="A687" i="16"/>
  <c r="J686" i="16"/>
  <c r="H686" i="16"/>
  <c r="G686" i="16"/>
  <c r="F686" i="16"/>
  <c r="E686" i="16"/>
  <c r="D686" i="16"/>
  <c r="C686" i="16"/>
  <c r="B686" i="16"/>
  <c r="A686" i="16"/>
  <c r="J685" i="16"/>
  <c r="H685" i="16"/>
  <c r="G685" i="16"/>
  <c r="F685" i="16"/>
  <c r="E685" i="16"/>
  <c r="D685" i="16"/>
  <c r="C685" i="16"/>
  <c r="B685" i="16"/>
  <c r="A685" i="16"/>
  <c r="J684" i="16"/>
  <c r="H684" i="16"/>
  <c r="G684" i="16"/>
  <c r="F684" i="16"/>
  <c r="E684" i="16"/>
  <c r="D684" i="16"/>
  <c r="C684" i="16"/>
  <c r="B684" i="16"/>
  <c r="A684" i="16"/>
  <c r="J683" i="16"/>
  <c r="H683" i="16"/>
  <c r="G683" i="16"/>
  <c r="F683" i="16"/>
  <c r="E683" i="16"/>
  <c r="D683" i="16"/>
  <c r="C683" i="16"/>
  <c r="B683" i="16"/>
  <c r="A683" i="16"/>
  <c r="J682" i="16"/>
  <c r="H682" i="16"/>
  <c r="G682" i="16"/>
  <c r="F682" i="16"/>
  <c r="E682" i="16"/>
  <c r="D682" i="16"/>
  <c r="C682" i="16"/>
  <c r="B682" i="16"/>
  <c r="A682" i="16"/>
  <c r="J681" i="16"/>
  <c r="H681" i="16"/>
  <c r="G681" i="16"/>
  <c r="F681" i="16"/>
  <c r="E681" i="16"/>
  <c r="D681" i="16"/>
  <c r="C681" i="16"/>
  <c r="B681" i="16"/>
  <c r="A681" i="16"/>
  <c r="J680" i="16"/>
  <c r="H680" i="16"/>
  <c r="G680" i="16"/>
  <c r="F680" i="16"/>
  <c r="E680" i="16"/>
  <c r="D680" i="16"/>
  <c r="C680" i="16"/>
  <c r="B680" i="16"/>
  <c r="A680" i="16"/>
  <c r="J679" i="16"/>
  <c r="H679" i="16"/>
  <c r="G679" i="16"/>
  <c r="F679" i="16"/>
  <c r="E679" i="16"/>
  <c r="D679" i="16"/>
  <c r="C679" i="16"/>
  <c r="B679" i="16"/>
  <c r="A679" i="16"/>
  <c r="J678" i="16"/>
  <c r="H678" i="16"/>
  <c r="G678" i="16"/>
  <c r="F678" i="16"/>
  <c r="E678" i="16"/>
  <c r="D678" i="16"/>
  <c r="C678" i="16"/>
  <c r="B678" i="16"/>
  <c r="A678" i="16"/>
  <c r="J677" i="16"/>
  <c r="H677" i="16"/>
  <c r="G677" i="16"/>
  <c r="F677" i="16"/>
  <c r="E677" i="16"/>
  <c r="D677" i="16"/>
  <c r="C677" i="16"/>
  <c r="B677" i="16"/>
  <c r="A677" i="16"/>
  <c r="J676" i="16"/>
  <c r="H676" i="16"/>
  <c r="G676" i="16"/>
  <c r="F676" i="16"/>
  <c r="E676" i="16"/>
  <c r="D676" i="16"/>
  <c r="C676" i="16"/>
  <c r="B676" i="16"/>
  <c r="A676" i="16"/>
  <c r="J675" i="16"/>
  <c r="H675" i="16"/>
  <c r="G675" i="16"/>
  <c r="F675" i="16"/>
  <c r="E675" i="16"/>
  <c r="D675" i="16"/>
  <c r="C675" i="16"/>
  <c r="B675" i="16"/>
  <c r="A675" i="16"/>
  <c r="J674" i="16"/>
  <c r="H674" i="16"/>
  <c r="G674" i="16"/>
  <c r="F674" i="16"/>
  <c r="E674" i="16"/>
  <c r="D674" i="16"/>
  <c r="C674" i="16"/>
  <c r="B674" i="16"/>
  <c r="A674" i="16"/>
  <c r="J673" i="16"/>
  <c r="H673" i="16"/>
  <c r="G673" i="16"/>
  <c r="F673" i="16"/>
  <c r="E673" i="16"/>
  <c r="D673" i="16"/>
  <c r="C673" i="16"/>
  <c r="B673" i="16"/>
  <c r="A673" i="16"/>
  <c r="J672" i="16"/>
  <c r="H672" i="16"/>
  <c r="G672" i="16"/>
  <c r="F672" i="16"/>
  <c r="E672" i="16"/>
  <c r="D672" i="16"/>
  <c r="C672" i="16"/>
  <c r="B672" i="16"/>
  <c r="A672" i="16"/>
  <c r="J671" i="16"/>
  <c r="H671" i="16"/>
  <c r="G671" i="16"/>
  <c r="F671" i="16"/>
  <c r="E671" i="16"/>
  <c r="D671" i="16"/>
  <c r="C671" i="16"/>
  <c r="B671" i="16"/>
  <c r="A671" i="16"/>
  <c r="J670" i="16"/>
  <c r="H670" i="16"/>
  <c r="G670" i="16"/>
  <c r="F670" i="16"/>
  <c r="E670" i="16"/>
  <c r="D670" i="16"/>
  <c r="C670" i="16"/>
  <c r="B670" i="16"/>
  <c r="A670" i="16"/>
  <c r="J669" i="16"/>
  <c r="H669" i="16"/>
  <c r="G669" i="16"/>
  <c r="F669" i="16"/>
  <c r="E669" i="16"/>
  <c r="D669" i="16"/>
  <c r="C669" i="16"/>
  <c r="B669" i="16"/>
  <c r="A669" i="16"/>
  <c r="J668" i="16"/>
  <c r="H668" i="16"/>
  <c r="G668" i="16"/>
  <c r="F668" i="16"/>
  <c r="E668" i="16"/>
  <c r="D668" i="16"/>
  <c r="C668" i="16"/>
  <c r="B668" i="16"/>
  <c r="A668" i="16"/>
  <c r="J667" i="16"/>
  <c r="H667" i="16"/>
  <c r="G667" i="16"/>
  <c r="F667" i="16"/>
  <c r="E667" i="16"/>
  <c r="D667" i="16"/>
  <c r="C667" i="16"/>
  <c r="B667" i="16"/>
  <c r="A667" i="16"/>
  <c r="J666" i="16"/>
  <c r="H666" i="16"/>
  <c r="G666" i="16"/>
  <c r="F666" i="16"/>
  <c r="E666" i="16"/>
  <c r="D666" i="16"/>
  <c r="C666" i="16"/>
  <c r="B666" i="16"/>
  <c r="A666" i="16"/>
  <c r="J665" i="16"/>
  <c r="H665" i="16"/>
  <c r="G665" i="16"/>
  <c r="F665" i="16"/>
  <c r="E665" i="16"/>
  <c r="D665" i="16"/>
  <c r="C665" i="16"/>
  <c r="B665" i="16"/>
  <c r="A665" i="16"/>
  <c r="J664" i="16"/>
  <c r="H664" i="16"/>
  <c r="G664" i="16"/>
  <c r="F664" i="16"/>
  <c r="E664" i="16"/>
  <c r="D664" i="16"/>
  <c r="C664" i="16"/>
  <c r="B664" i="16"/>
  <c r="A664" i="16"/>
  <c r="J663" i="16"/>
  <c r="H663" i="16"/>
  <c r="G663" i="16"/>
  <c r="F663" i="16"/>
  <c r="E663" i="16"/>
  <c r="D663" i="16"/>
  <c r="C663" i="16"/>
  <c r="B663" i="16"/>
  <c r="A663" i="16"/>
  <c r="J662" i="16"/>
  <c r="H662" i="16"/>
  <c r="G662" i="16"/>
  <c r="F662" i="16"/>
  <c r="E662" i="16"/>
  <c r="D662" i="16"/>
  <c r="C662" i="16"/>
  <c r="B662" i="16"/>
  <c r="A662" i="16"/>
  <c r="J661" i="16"/>
  <c r="H661" i="16"/>
  <c r="G661" i="16"/>
  <c r="F661" i="16"/>
  <c r="E661" i="16"/>
  <c r="D661" i="16"/>
  <c r="C661" i="16"/>
  <c r="B661" i="16"/>
  <c r="A661" i="16"/>
  <c r="J660" i="16"/>
  <c r="H660" i="16"/>
  <c r="G660" i="16"/>
  <c r="F660" i="16"/>
  <c r="E660" i="16"/>
  <c r="D660" i="16"/>
  <c r="C660" i="16"/>
  <c r="B660" i="16"/>
  <c r="A660" i="16"/>
  <c r="J659" i="16"/>
  <c r="H659" i="16"/>
  <c r="G659" i="16"/>
  <c r="F659" i="16"/>
  <c r="E659" i="16"/>
  <c r="D659" i="16"/>
  <c r="C659" i="16"/>
  <c r="B659" i="16"/>
  <c r="A659" i="16"/>
  <c r="J658" i="16"/>
  <c r="H658" i="16"/>
  <c r="G658" i="16"/>
  <c r="F658" i="16"/>
  <c r="E658" i="16"/>
  <c r="D658" i="16"/>
  <c r="C658" i="16"/>
  <c r="B658" i="16"/>
  <c r="A658" i="16"/>
  <c r="J657" i="16"/>
  <c r="H657" i="16"/>
  <c r="G657" i="16"/>
  <c r="F657" i="16"/>
  <c r="E657" i="16"/>
  <c r="D657" i="16"/>
  <c r="C657" i="16"/>
  <c r="B657" i="16"/>
  <c r="A657" i="16"/>
  <c r="J656" i="16"/>
  <c r="H656" i="16"/>
  <c r="G656" i="16"/>
  <c r="F656" i="16"/>
  <c r="E656" i="16"/>
  <c r="D656" i="16"/>
  <c r="C656" i="16"/>
  <c r="B656" i="16"/>
  <c r="A656" i="16"/>
  <c r="J655" i="16"/>
  <c r="H655" i="16"/>
  <c r="G655" i="16"/>
  <c r="F655" i="16"/>
  <c r="E655" i="16"/>
  <c r="D655" i="16"/>
  <c r="C655" i="16"/>
  <c r="B655" i="16"/>
  <c r="A655" i="16"/>
  <c r="J654" i="16"/>
  <c r="H654" i="16"/>
  <c r="G654" i="16"/>
  <c r="F654" i="16"/>
  <c r="E654" i="16"/>
  <c r="D654" i="16"/>
  <c r="C654" i="16"/>
  <c r="B654" i="16"/>
  <c r="A654" i="16"/>
  <c r="J653" i="16"/>
  <c r="H653" i="16"/>
  <c r="G653" i="16"/>
  <c r="F653" i="16"/>
  <c r="E653" i="16"/>
  <c r="D653" i="16"/>
  <c r="C653" i="16"/>
  <c r="B653" i="16"/>
  <c r="A653" i="16"/>
  <c r="J652" i="16"/>
  <c r="H652" i="16"/>
  <c r="G652" i="16"/>
  <c r="F652" i="16"/>
  <c r="E652" i="16"/>
  <c r="D652" i="16"/>
  <c r="C652" i="16"/>
  <c r="B652" i="16"/>
  <c r="A652" i="16"/>
  <c r="J651" i="16"/>
  <c r="F651" i="16"/>
  <c r="E651" i="16"/>
  <c r="D651" i="16"/>
  <c r="C651" i="16"/>
  <c r="B651" i="16"/>
  <c r="A651" i="16"/>
  <c r="J650" i="16"/>
  <c r="F650" i="16"/>
  <c r="E650" i="16"/>
  <c r="D650" i="16"/>
  <c r="C650" i="16"/>
  <c r="B650" i="16"/>
  <c r="A650" i="16"/>
  <c r="J649" i="16"/>
  <c r="F649" i="16"/>
  <c r="E649" i="16"/>
  <c r="D649" i="16"/>
  <c r="C649" i="16"/>
  <c r="B649" i="16"/>
  <c r="A649" i="16"/>
  <c r="J648" i="16"/>
  <c r="F648" i="16"/>
  <c r="E648" i="16"/>
  <c r="D648" i="16"/>
  <c r="C648" i="16"/>
  <c r="B648" i="16"/>
  <c r="A648" i="16"/>
  <c r="J647" i="16"/>
  <c r="F647" i="16"/>
  <c r="E647" i="16"/>
  <c r="D647" i="16"/>
  <c r="C647" i="16"/>
  <c r="B647" i="16"/>
  <c r="A647" i="16"/>
  <c r="J646" i="16"/>
  <c r="F646" i="16"/>
  <c r="E646" i="16"/>
  <c r="D646" i="16"/>
  <c r="C646" i="16"/>
  <c r="B646" i="16"/>
  <c r="A646" i="16"/>
  <c r="J645" i="16"/>
  <c r="F645" i="16"/>
  <c r="E645" i="16"/>
  <c r="D645" i="16"/>
  <c r="C645" i="16"/>
  <c r="B645" i="16"/>
  <c r="A645" i="16"/>
  <c r="J644" i="16"/>
  <c r="H644" i="16"/>
  <c r="G644" i="16"/>
  <c r="F644" i="16"/>
  <c r="E644" i="16"/>
  <c r="D644" i="16"/>
  <c r="C644" i="16"/>
  <c r="B644" i="16"/>
  <c r="A644" i="16"/>
  <c r="J643" i="16"/>
  <c r="H643" i="16"/>
  <c r="G643" i="16"/>
  <c r="F643" i="16"/>
  <c r="E643" i="16"/>
  <c r="D643" i="16"/>
  <c r="C643" i="16"/>
  <c r="B643" i="16"/>
  <c r="A643" i="16"/>
  <c r="J642" i="16"/>
  <c r="F642" i="16"/>
  <c r="E642" i="16"/>
  <c r="D642" i="16"/>
  <c r="C642" i="16"/>
  <c r="B642" i="16"/>
  <c r="A642" i="16"/>
  <c r="J641" i="16"/>
  <c r="F641" i="16"/>
  <c r="E641" i="16"/>
  <c r="D641" i="16"/>
  <c r="C641" i="16"/>
  <c r="B641" i="16"/>
  <c r="A641" i="16"/>
  <c r="J640" i="16"/>
  <c r="F640" i="16"/>
  <c r="E640" i="16"/>
  <c r="D640" i="16"/>
  <c r="C640" i="16"/>
  <c r="B640" i="16"/>
  <c r="A640" i="16"/>
  <c r="J639" i="16"/>
  <c r="F639" i="16"/>
  <c r="E639" i="16"/>
  <c r="D639" i="16"/>
  <c r="C639" i="16"/>
  <c r="B639" i="16"/>
  <c r="A639" i="16"/>
  <c r="J638" i="16"/>
  <c r="F638" i="16"/>
  <c r="E638" i="16"/>
  <c r="D638" i="16"/>
  <c r="C638" i="16"/>
  <c r="B638" i="16"/>
  <c r="A638" i="16"/>
  <c r="J637" i="16"/>
  <c r="F637" i="16"/>
  <c r="E637" i="16"/>
  <c r="D637" i="16"/>
  <c r="C637" i="16"/>
  <c r="B637" i="16"/>
  <c r="A637" i="16"/>
  <c r="J636" i="16"/>
  <c r="F636" i="16"/>
  <c r="E636" i="16"/>
  <c r="D636" i="16"/>
  <c r="C636" i="16"/>
  <c r="B636" i="16"/>
  <c r="A636" i="16"/>
  <c r="J635" i="16"/>
  <c r="H635" i="16"/>
  <c r="G635" i="16"/>
  <c r="F635" i="16"/>
  <c r="E635" i="16"/>
  <c r="D635" i="16"/>
  <c r="C635" i="16"/>
  <c r="B635" i="16"/>
  <c r="A635" i="16"/>
  <c r="J634" i="16"/>
  <c r="H634" i="16"/>
  <c r="G634" i="16"/>
  <c r="F634" i="16"/>
  <c r="E634" i="16"/>
  <c r="D634" i="16"/>
  <c r="C634" i="16"/>
  <c r="B634" i="16"/>
  <c r="A634" i="16"/>
  <c r="J633" i="16"/>
  <c r="H633" i="16"/>
  <c r="G633" i="16"/>
  <c r="F633" i="16"/>
  <c r="E633" i="16"/>
  <c r="D633" i="16"/>
  <c r="C633" i="16"/>
  <c r="B633" i="16"/>
  <c r="A633" i="16"/>
  <c r="J632" i="16"/>
  <c r="H632" i="16"/>
  <c r="G632" i="16"/>
  <c r="F632" i="16"/>
  <c r="E632" i="16"/>
  <c r="D632" i="16"/>
  <c r="C632" i="16"/>
  <c r="B632" i="16"/>
  <c r="A632" i="16"/>
  <c r="J631" i="16"/>
  <c r="H631" i="16"/>
  <c r="G631" i="16"/>
  <c r="F631" i="16"/>
  <c r="E631" i="16"/>
  <c r="D631" i="16"/>
  <c r="C631" i="16"/>
  <c r="B631" i="16"/>
  <c r="A631" i="16"/>
  <c r="J630" i="16"/>
  <c r="H630" i="16"/>
  <c r="G630" i="16"/>
  <c r="F630" i="16"/>
  <c r="E630" i="16"/>
  <c r="D630" i="16"/>
  <c r="C630" i="16"/>
  <c r="B630" i="16"/>
  <c r="A630" i="16"/>
  <c r="J629" i="16"/>
  <c r="H629" i="16"/>
  <c r="G629" i="16"/>
  <c r="F629" i="16"/>
  <c r="E629" i="16"/>
  <c r="D629" i="16"/>
  <c r="C629" i="16"/>
  <c r="B629" i="16"/>
  <c r="A629" i="16"/>
  <c r="J628" i="16"/>
  <c r="H628" i="16"/>
  <c r="G628" i="16"/>
  <c r="F628" i="16"/>
  <c r="E628" i="16"/>
  <c r="D628" i="16"/>
  <c r="C628" i="16"/>
  <c r="B628" i="16"/>
  <c r="A628" i="16"/>
  <c r="J627" i="16"/>
  <c r="H627" i="16"/>
  <c r="G627" i="16"/>
  <c r="F627" i="16"/>
  <c r="E627" i="16"/>
  <c r="D627" i="16"/>
  <c r="C627" i="16"/>
  <c r="B627" i="16"/>
  <c r="A627" i="16"/>
  <c r="J626" i="16"/>
  <c r="H626" i="16"/>
  <c r="G626" i="16"/>
  <c r="F626" i="16"/>
  <c r="E626" i="16"/>
  <c r="D626" i="16"/>
  <c r="C626" i="16"/>
  <c r="B626" i="16"/>
  <c r="A626" i="16"/>
  <c r="J625" i="16"/>
  <c r="H625" i="16"/>
  <c r="G625" i="16"/>
  <c r="F625" i="16"/>
  <c r="E625" i="16"/>
  <c r="D625" i="16"/>
  <c r="C625" i="16"/>
  <c r="B625" i="16"/>
  <c r="A625" i="16"/>
  <c r="J624" i="16"/>
  <c r="H624" i="16"/>
  <c r="G624" i="16"/>
  <c r="F624" i="16"/>
  <c r="E624" i="16"/>
  <c r="D624" i="16"/>
  <c r="C624" i="16"/>
  <c r="B624" i="16"/>
  <c r="A624" i="16"/>
  <c r="J623" i="16"/>
  <c r="H623" i="16"/>
  <c r="G623" i="16"/>
  <c r="F623" i="16"/>
  <c r="E623" i="16"/>
  <c r="D623" i="16"/>
  <c r="C623" i="16"/>
  <c r="B623" i="16"/>
  <c r="A623" i="16"/>
  <c r="J622" i="16"/>
  <c r="H622" i="16"/>
  <c r="G622" i="16"/>
  <c r="F622" i="16"/>
  <c r="E622" i="16"/>
  <c r="D622" i="16"/>
  <c r="C622" i="16"/>
  <c r="B622" i="16"/>
  <c r="A622" i="16"/>
  <c r="J621" i="16"/>
  <c r="H621" i="16"/>
  <c r="G621" i="16"/>
  <c r="F621" i="16"/>
  <c r="E621" i="16"/>
  <c r="D621" i="16"/>
  <c r="C621" i="16"/>
  <c r="B621" i="16"/>
  <c r="A621" i="16"/>
  <c r="J620" i="16"/>
  <c r="H620" i="16"/>
  <c r="G620" i="16"/>
  <c r="F620" i="16"/>
  <c r="E620" i="16"/>
  <c r="D620" i="16"/>
  <c r="C620" i="16"/>
  <c r="B620" i="16"/>
  <c r="A620" i="16"/>
  <c r="J619" i="16"/>
  <c r="H619" i="16"/>
  <c r="G619" i="16"/>
  <c r="F619" i="16"/>
  <c r="E619" i="16"/>
  <c r="D619" i="16"/>
  <c r="C619" i="16"/>
  <c r="B619" i="16"/>
  <c r="A619" i="16"/>
  <c r="J618" i="16"/>
  <c r="H618" i="16"/>
  <c r="G618" i="16"/>
  <c r="F618" i="16"/>
  <c r="E618" i="16"/>
  <c r="D618" i="16"/>
  <c r="C618" i="16"/>
  <c r="B618" i="16"/>
  <c r="A618" i="16"/>
  <c r="J617" i="16"/>
  <c r="H617" i="16"/>
  <c r="G617" i="16"/>
  <c r="F617" i="16"/>
  <c r="E617" i="16"/>
  <c r="D617" i="16"/>
  <c r="C617" i="16"/>
  <c r="B617" i="16"/>
  <c r="A617" i="16"/>
  <c r="J616" i="16"/>
  <c r="H616" i="16"/>
  <c r="G616" i="16"/>
  <c r="F616" i="16"/>
  <c r="E616" i="16"/>
  <c r="D616" i="16"/>
  <c r="C616" i="16"/>
  <c r="B616" i="16"/>
  <c r="A616" i="16"/>
  <c r="J615" i="16"/>
  <c r="H615" i="16"/>
  <c r="G615" i="16"/>
  <c r="F615" i="16"/>
  <c r="E615" i="16"/>
  <c r="D615" i="16"/>
  <c r="C615" i="16"/>
  <c r="B615" i="16"/>
  <c r="A615" i="16"/>
  <c r="J614" i="16"/>
  <c r="H614" i="16"/>
  <c r="G614" i="16"/>
  <c r="F614" i="16"/>
  <c r="E614" i="16"/>
  <c r="D614" i="16"/>
  <c r="C614" i="16"/>
  <c r="B614" i="16"/>
  <c r="A614" i="16"/>
  <c r="J613" i="16"/>
  <c r="H613" i="16"/>
  <c r="G613" i="16"/>
  <c r="F613" i="16"/>
  <c r="E613" i="16"/>
  <c r="D613" i="16"/>
  <c r="C613" i="16"/>
  <c r="B613" i="16"/>
  <c r="A613" i="16"/>
  <c r="J612" i="16"/>
  <c r="H612" i="16"/>
  <c r="G612" i="16"/>
  <c r="F612" i="16"/>
  <c r="E612" i="16"/>
  <c r="D612" i="16"/>
  <c r="C612" i="16"/>
  <c r="B612" i="16"/>
  <c r="A612" i="16"/>
  <c r="J611" i="16"/>
  <c r="H611" i="16"/>
  <c r="G611" i="16"/>
  <c r="F611" i="16"/>
  <c r="E611" i="16"/>
  <c r="D611" i="16"/>
  <c r="C611" i="16"/>
  <c r="B611" i="16"/>
  <c r="A611" i="16"/>
  <c r="J610" i="16"/>
  <c r="H610" i="16"/>
  <c r="G610" i="16"/>
  <c r="F610" i="16"/>
  <c r="E610" i="16"/>
  <c r="D610" i="16"/>
  <c r="C610" i="16"/>
  <c r="B610" i="16"/>
  <c r="A610" i="16"/>
  <c r="J609" i="16"/>
  <c r="H609" i="16"/>
  <c r="G609" i="16"/>
  <c r="F609" i="16"/>
  <c r="E609" i="16"/>
  <c r="D609" i="16"/>
  <c r="C609" i="16"/>
  <c r="B609" i="16"/>
  <c r="A609" i="16"/>
  <c r="J608" i="16"/>
  <c r="H608" i="16"/>
  <c r="G608" i="16"/>
  <c r="F608" i="16"/>
  <c r="E608" i="16"/>
  <c r="D608" i="16"/>
  <c r="C608" i="16"/>
  <c r="B608" i="16"/>
  <c r="A608" i="16"/>
  <c r="J607" i="16"/>
  <c r="H607" i="16"/>
  <c r="G607" i="16"/>
  <c r="F607" i="16"/>
  <c r="E607" i="16"/>
  <c r="D607" i="16"/>
  <c r="C607" i="16"/>
  <c r="B607" i="16"/>
  <c r="A607" i="16"/>
  <c r="J606" i="16"/>
  <c r="H606" i="16"/>
  <c r="G606" i="16"/>
  <c r="F606" i="16"/>
  <c r="E606" i="16"/>
  <c r="D606" i="16"/>
  <c r="C606" i="16"/>
  <c r="B606" i="16"/>
  <c r="A606" i="16"/>
  <c r="J605" i="16"/>
  <c r="H605" i="16"/>
  <c r="G605" i="16"/>
  <c r="F605" i="16"/>
  <c r="E605" i="16"/>
  <c r="D605" i="16"/>
  <c r="C605" i="16"/>
  <c r="B605" i="16"/>
  <c r="A605" i="16"/>
  <c r="J604" i="16"/>
  <c r="H604" i="16"/>
  <c r="G604" i="16"/>
  <c r="F604" i="16"/>
  <c r="E604" i="16"/>
  <c r="D604" i="16"/>
  <c r="C604" i="16"/>
  <c r="B604" i="16"/>
  <c r="A604" i="16"/>
  <c r="J603" i="16"/>
  <c r="H603" i="16"/>
  <c r="G603" i="16"/>
  <c r="F603" i="16"/>
  <c r="E603" i="16"/>
  <c r="D603" i="16"/>
  <c r="C603" i="16"/>
  <c r="B603" i="16"/>
  <c r="A603" i="16"/>
  <c r="J602" i="16"/>
  <c r="H602" i="16"/>
  <c r="G602" i="16"/>
  <c r="F602" i="16"/>
  <c r="E602" i="16"/>
  <c r="D602" i="16"/>
  <c r="C602" i="16"/>
  <c r="B602" i="16"/>
  <c r="A602" i="16"/>
  <c r="J601" i="16"/>
  <c r="H601" i="16"/>
  <c r="G601" i="16"/>
  <c r="F601" i="16"/>
  <c r="E601" i="16"/>
  <c r="D601" i="16"/>
  <c r="C601" i="16"/>
  <c r="B601" i="16"/>
  <c r="A601" i="16"/>
  <c r="J600" i="16"/>
  <c r="H600" i="16"/>
  <c r="G600" i="16"/>
  <c r="F600" i="16"/>
  <c r="E600" i="16"/>
  <c r="D600" i="16"/>
  <c r="C600" i="16"/>
  <c r="B600" i="16"/>
  <c r="A600" i="16"/>
  <c r="J599" i="16"/>
  <c r="H599" i="16"/>
  <c r="G599" i="16"/>
  <c r="F599" i="16"/>
  <c r="E599" i="16"/>
  <c r="D599" i="16"/>
  <c r="C599" i="16"/>
  <c r="B599" i="16"/>
  <c r="A599" i="16"/>
  <c r="J598" i="16"/>
  <c r="F598" i="16"/>
  <c r="E598" i="16"/>
  <c r="D598" i="16"/>
  <c r="C598" i="16"/>
  <c r="B598" i="16"/>
  <c r="A598" i="16"/>
  <c r="J597" i="16"/>
  <c r="F597" i="16"/>
  <c r="E597" i="16"/>
  <c r="D597" i="16"/>
  <c r="C597" i="16"/>
  <c r="B597" i="16"/>
  <c r="A597" i="16"/>
  <c r="J596" i="16"/>
  <c r="F596" i="16"/>
  <c r="E596" i="16"/>
  <c r="D596" i="16"/>
  <c r="C596" i="16"/>
  <c r="B596" i="16"/>
  <c r="A596" i="16"/>
  <c r="J595" i="16"/>
  <c r="F595" i="16"/>
  <c r="E595" i="16"/>
  <c r="D595" i="16"/>
  <c r="C595" i="16"/>
  <c r="B595" i="16"/>
  <c r="A595" i="16"/>
  <c r="J594" i="16"/>
  <c r="F594" i="16"/>
  <c r="E594" i="16"/>
  <c r="D594" i="16"/>
  <c r="C594" i="16"/>
  <c r="B594" i="16"/>
  <c r="A594" i="16"/>
  <c r="J593" i="16"/>
  <c r="F593" i="16"/>
  <c r="E593" i="16"/>
  <c r="D593" i="16"/>
  <c r="C593" i="16"/>
  <c r="B593" i="16"/>
  <c r="A593" i="16"/>
  <c r="J592" i="16"/>
  <c r="F592" i="16"/>
  <c r="E592" i="16"/>
  <c r="D592" i="16"/>
  <c r="C592" i="16"/>
  <c r="B592" i="16"/>
  <c r="A592" i="16"/>
  <c r="J591" i="16"/>
  <c r="H591" i="16"/>
  <c r="G591" i="16"/>
  <c r="F591" i="16"/>
  <c r="E591" i="16"/>
  <c r="D591" i="16"/>
  <c r="C591" i="16"/>
  <c r="B591" i="16"/>
  <c r="A591" i="16"/>
  <c r="J590" i="16"/>
  <c r="H590" i="16"/>
  <c r="G590" i="16"/>
  <c r="F590" i="16"/>
  <c r="E590" i="16"/>
  <c r="D590" i="16"/>
  <c r="C590" i="16"/>
  <c r="B590" i="16"/>
  <c r="A590" i="16"/>
  <c r="J589" i="16"/>
  <c r="H589" i="16"/>
  <c r="G589" i="16"/>
  <c r="F589" i="16"/>
  <c r="E589" i="16"/>
  <c r="D589" i="16"/>
  <c r="C589" i="16"/>
  <c r="B589" i="16"/>
  <c r="A589" i="16"/>
  <c r="J588" i="16"/>
  <c r="H588" i="16"/>
  <c r="G588" i="16"/>
  <c r="F588" i="16"/>
  <c r="E588" i="16"/>
  <c r="D588" i="16"/>
  <c r="C588" i="16"/>
  <c r="B588" i="16"/>
  <c r="A588" i="16"/>
  <c r="J587" i="16"/>
  <c r="H587" i="16"/>
  <c r="G587" i="16"/>
  <c r="F587" i="16"/>
  <c r="E587" i="16"/>
  <c r="D587" i="16"/>
  <c r="C587" i="16"/>
  <c r="B587" i="16"/>
  <c r="A587" i="16"/>
  <c r="J586" i="16"/>
  <c r="H586" i="16"/>
  <c r="G586" i="16"/>
  <c r="F586" i="16"/>
  <c r="E586" i="16"/>
  <c r="D586" i="16"/>
  <c r="C586" i="16"/>
  <c r="B586" i="16"/>
  <c r="A586" i="16"/>
  <c r="J585" i="16"/>
  <c r="H585" i="16"/>
  <c r="G585" i="16"/>
  <c r="F585" i="16"/>
  <c r="E585" i="16"/>
  <c r="D585" i="16"/>
  <c r="C585" i="16"/>
  <c r="B585" i="16"/>
  <c r="A585" i="16"/>
  <c r="J584" i="16"/>
  <c r="H584" i="16"/>
  <c r="G584" i="16"/>
  <c r="F584" i="16"/>
  <c r="E584" i="16"/>
  <c r="D584" i="16"/>
  <c r="C584" i="16"/>
  <c r="B584" i="16"/>
  <c r="A584" i="16"/>
  <c r="J583" i="16"/>
  <c r="H583" i="16"/>
  <c r="G583" i="16"/>
  <c r="F583" i="16"/>
  <c r="E583" i="16"/>
  <c r="D583" i="16"/>
  <c r="C583" i="16"/>
  <c r="B583" i="16"/>
  <c r="A583" i="16"/>
  <c r="J582" i="16"/>
  <c r="H582" i="16"/>
  <c r="G582" i="16"/>
  <c r="F582" i="16"/>
  <c r="E582" i="16"/>
  <c r="D582" i="16"/>
  <c r="C582" i="16"/>
  <c r="B582" i="16"/>
  <c r="A582" i="16"/>
  <c r="J581" i="16"/>
  <c r="H581" i="16"/>
  <c r="G581" i="16"/>
  <c r="F581" i="16"/>
  <c r="E581" i="16"/>
  <c r="D581" i="16"/>
  <c r="C581" i="16"/>
  <c r="B581" i="16"/>
  <c r="A581" i="16"/>
  <c r="J580" i="16"/>
  <c r="H580" i="16"/>
  <c r="G580" i="16"/>
  <c r="F580" i="16"/>
  <c r="E580" i="16"/>
  <c r="D580" i="16"/>
  <c r="C580" i="16"/>
  <c r="B580" i="16"/>
  <c r="A580" i="16"/>
  <c r="J579" i="16"/>
  <c r="H579" i="16"/>
  <c r="G579" i="16"/>
  <c r="F579" i="16"/>
  <c r="E579" i="16"/>
  <c r="D579" i="16"/>
  <c r="C579" i="16"/>
  <c r="B579" i="16"/>
  <c r="A579" i="16"/>
  <c r="J578" i="16"/>
  <c r="H578" i="16"/>
  <c r="G578" i="16"/>
  <c r="F578" i="16"/>
  <c r="E578" i="16"/>
  <c r="D578" i="16"/>
  <c r="C578" i="16"/>
  <c r="B578" i="16"/>
  <c r="A578" i="16"/>
  <c r="J577" i="16"/>
  <c r="H577" i="16"/>
  <c r="G577" i="16"/>
  <c r="F577" i="16"/>
  <c r="E577" i="16"/>
  <c r="D577" i="16"/>
  <c r="C577" i="16"/>
  <c r="B577" i="16"/>
  <c r="A577" i="16"/>
  <c r="J576" i="16"/>
  <c r="H576" i="16"/>
  <c r="G576" i="16"/>
  <c r="F576" i="16"/>
  <c r="E576" i="16"/>
  <c r="D576" i="16"/>
  <c r="C576" i="16"/>
  <c r="B576" i="16"/>
  <c r="A576" i="16"/>
  <c r="J575" i="16"/>
  <c r="H575" i="16"/>
  <c r="G575" i="16"/>
  <c r="F575" i="16"/>
  <c r="E575" i="16"/>
  <c r="D575" i="16"/>
  <c r="C575" i="16"/>
  <c r="B575" i="16"/>
  <c r="A575" i="16"/>
  <c r="J574" i="16"/>
  <c r="H574" i="16"/>
  <c r="G574" i="16"/>
  <c r="F574" i="16"/>
  <c r="E574" i="16"/>
  <c r="D574" i="16"/>
  <c r="C574" i="16"/>
  <c r="B574" i="16"/>
  <c r="A574" i="16"/>
  <c r="J573" i="16"/>
  <c r="H573" i="16"/>
  <c r="G573" i="16"/>
  <c r="F573" i="16"/>
  <c r="E573" i="16"/>
  <c r="D573" i="16"/>
  <c r="C573" i="16"/>
  <c r="B573" i="16"/>
  <c r="A573" i="16"/>
  <c r="J572" i="16"/>
  <c r="H572" i="16"/>
  <c r="G572" i="16"/>
  <c r="F572" i="16"/>
  <c r="E572" i="16"/>
  <c r="D572" i="16"/>
  <c r="C572" i="16"/>
  <c r="B572" i="16"/>
  <c r="A572" i="16"/>
  <c r="J571" i="16"/>
  <c r="H571" i="16"/>
  <c r="G571" i="16"/>
  <c r="F571" i="16"/>
  <c r="E571" i="16"/>
  <c r="D571" i="16"/>
  <c r="C571" i="16"/>
  <c r="B571" i="16"/>
  <c r="A571" i="16"/>
  <c r="J570" i="16"/>
  <c r="H570" i="16"/>
  <c r="G570" i="16"/>
  <c r="F570" i="16"/>
  <c r="E570" i="16"/>
  <c r="D570" i="16"/>
  <c r="C570" i="16"/>
  <c r="B570" i="16"/>
  <c r="A570" i="16"/>
  <c r="J569" i="16"/>
  <c r="H569" i="16"/>
  <c r="G569" i="16"/>
  <c r="F569" i="16"/>
  <c r="E569" i="16"/>
  <c r="D569" i="16"/>
  <c r="C569" i="16"/>
  <c r="B569" i="16"/>
  <c r="A569" i="16"/>
  <c r="J568" i="16"/>
  <c r="H568" i="16"/>
  <c r="G568" i="16"/>
  <c r="F568" i="16"/>
  <c r="E568" i="16"/>
  <c r="D568" i="16"/>
  <c r="C568" i="16"/>
  <c r="B568" i="16"/>
  <c r="A568" i="16"/>
  <c r="J567" i="16"/>
  <c r="H567" i="16"/>
  <c r="G567" i="16"/>
  <c r="F567" i="16"/>
  <c r="E567" i="16"/>
  <c r="D567" i="16"/>
  <c r="C567" i="16"/>
  <c r="B567" i="16"/>
  <c r="A567" i="16"/>
  <c r="J566" i="16"/>
  <c r="H566" i="16"/>
  <c r="G566" i="16"/>
  <c r="F566" i="16"/>
  <c r="E566" i="16"/>
  <c r="D566" i="16"/>
  <c r="C566" i="16"/>
  <c r="B566" i="16"/>
  <c r="A566" i="16"/>
  <c r="J565" i="16"/>
  <c r="H565" i="16"/>
  <c r="G565" i="16"/>
  <c r="F565" i="16"/>
  <c r="E565" i="16"/>
  <c r="D565" i="16"/>
  <c r="C565" i="16"/>
  <c r="B565" i="16"/>
  <c r="A565" i="16"/>
  <c r="J564" i="16"/>
  <c r="H564" i="16"/>
  <c r="G564" i="16"/>
  <c r="F564" i="16"/>
  <c r="E564" i="16"/>
  <c r="D564" i="16"/>
  <c r="C564" i="16"/>
  <c r="B564" i="16"/>
  <c r="A564" i="16"/>
  <c r="J563" i="16"/>
  <c r="H563" i="16"/>
  <c r="G563" i="16"/>
  <c r="F563" i="16"/>
  <c r="E563" i="16"/>
  <c r="D563" i="16"/>
  <c r="C563" i="16"/>
  <c r="B563" i="16"/>
  <c r="A563" i="16"/>
  <c r="J562" i="16"/>
  <c r="H562" i="16"/>
  <c r="G562" i="16"/>
  <c r="F562" i="16"/>
  <c r="E562" i="16"/>
  <c r="D562" i="16"/>
  <c r="C562" i="16"/>
  <c r="B562" i="16"/>
  <c r="A562" i="16"/>
  <c r="J561" i="16"/>
  <c r="H561" i="16"/>
  <c r="G561" i="16"/>
  <c r="F561" i="16"/>
  <c r="E561" i="16"/>
  <c r="D561" i="16"/>
  <c r="C561" i="16"/>
  <c r="B561" i="16"/>
  <c r="A561" i="16"/>
  <c r="J560" i="16"/>
  <c r="H560" i="16"/>
  <c r="G560" i="16"/>
  <c r="F560" i="16"/>
  <c r="E560" i="16"/>
  <c r="D560" i="16"/>
  <c r="C560" i="16"/>
  <c r="B560" i="16"/>
  <c r="A560" i="16"/>
  <c r="J559" i="16"/>
  <c r="H559" i="16"/>
  <c r="G559" i="16"/>
  <c r="F559" i="16"/>
  <c r="E559" i="16"/>
  <c r="D559" i="16"/>
  <c r="C559" i="16"/>
  <c r="B559" i="16"/>
  <c r="A559" i="16"/>
  <c r="J558" i="16"/>
  <c r="H558" i="16"/>
  <c r="G558" i="16"/>
  <c r="F558" i="16"/>
  <c r="E558" i="16"/>
  <c r="D558" i="16"/>
  <c r="C558" i="16"/>
  <c r="B558" i="16"/>
  <c r="A558" i="16"/>
  <c r="J557" i="16"/>
  <c r="H557" i="16"/>
  <c r="G557" i="16"/>
  <c r="F557" i="16"/>
  <c r="E557" i="16"/>
  <c r="D557" i="16"/>
  <c r="C557" i="16"/>
  <c r="B557" i="16"/>
  <c r="A557" i="16"/>
  <c r="J556" i="16"/>
  <c r="H556" i="16"/>
  <c r="G556" i="16"/>
  <c r="F556" i="16"/>
  <c r="E556" i="16"/>
  <c r="D556" i="16"/>
  <c r="C556" i="16"/>
  <c r="B556" i="16"/>
  <c r="A556" i="16"/>
  <c r="J555" i="16"/>
  <c r="H555" i="16"/>
  <c r="G555" i="16"/>
  <c r="F555" i="16"/>
  <c r="E555" i="16"/>
  <c r="D555" i="16"/>
  <c r="C555" i="16"/>
  <c r="B555" i="16"/>
  <c r="A555" i="16"/>
  <c r="J554" i="16"/>
  <c r="H554" i="16"/>
  <c r="G554" i="16"/>
  <c r="F554" i="16"/>
  <c r="E554" i="16"/>
  <c r="D554" i="16"/>
  <c r="C554" i="16"/>
  <c r="B554" i="16"/>
  <c r="A554" i="16"/>
  <c r="J553" i="16"/>
  <c r="H553" i="16"/>
  <c r="G553" i="16"/>
  <c r="F553" i="16"/>
  <c r="E553" i="16"/>
  <c r="D553" i="16"/>
  <c r="C553" i="16"/>
  <c r="B553" i="16"/>
  <c r="A553" i="16"/>
  <c r="J552" i="16"/>
  <c r="H552" i="16"/>
  <c r="G552" i="16"/>
  <c r="F552" i="16"/>
  <c r="E552" i="16"/>
  <c r="D552" i="16"/>
  <c r="C552" i="16"/>
  <c r="B552" i="16"/>
  <c r="A552" i="16"/>
  <c r="J551" i="16"/>
  <c r="H551" i="16"/>
  <c r="G551" i="16"/>
  <c r="F551" i="16"/>
  <c r="E551" i="16"/>
  <c r="D551" i="16"/>
  <c r="C551" i="16"/>
  <c r="B551" i="16"/>
  <c r="A551" i="16"/>
  <c r="J550" i="16"/>
  <c r="H550" i="16"/>
  <c r="G550" i="16"/>
  <c r="F550" i="16"/>
  <c r="E550" i="16"/>
  <c r="D550" i="16"/>
  <c r="C550" i="16"/>
  <c r="B550" i="16"/>
  <c r="A550" i="16"/>
  <c r="J549" i="16"/>
  <c r="H549" i="16"/>
  <c r="G549" i="16"/>
  <c r="F549" i="16"/>
  <c r="E549" i="16"/>
  <c r="D549" i="16"/>
  <c r="C549" i="16"/>
  <c r="B549" i="16"/>
  <c r="A549" i="16"/>
  <c r="J548" i="16"/>
  <c r="H548" i="16"/>
  <c r="G548" i="16"/>
  <c r="F548" i="16"/>
  <c r="E548" i="16"/>
  <c r="D548" i="16"/>
  <c r="C548" i="16"/>
  <c r="B548" i="16"/>
  <c r="A548" i="16"/>
  <c r="J547" i="16"/>
  <c r="H547" i="16"/>
  <c r="G547" i="16"/>
  <c r="F547" i="16"/>
  <c r="E547" i="16"/>
  <c r="D547" i="16"/>
  <c r="C547" i="16"/>
  <c r="B547" i="16"/>
  <c r="A547" i="16"/>
  <c r="J546" i="16"/>
  <c r="H546" i="16"/>
  <c r="G546" i="16"/>
  <c r="F546" i="16"/>
  <c r="E546" i="16"/>
  <c r="D546" i="16"/>
  <c r="C546" i="16"/>
  <c r="B546" i="16"/>
  <c r="A546" i="16"/>
  <c r="J545" i="16"/>
  <c r="H545" i="16"/>
  <c r="G545" i="16"/>
  <c r="F545" i="16"/>
  <c r="E545" i="16"/>
  <c r="D545" i="16"/>
  <c r="C545" i="16"/>
  <c r="B545" i="16"/>
  <c r="A545" i="16"/>
  <c r="J544" i="16"/>
  <c r="H544" i="16"/>
  <c r="G544" i="16"/>
  <c r="F544" i="16"/>
  <c r="E544" i="16"/>
  <c r="D544" i="16"/>
  <c r="C544" i="16"/>
  <c r="B544" i="16"/>
  <c r="A544" i="16"/>
  <c r="J543" i="16"/>
  <c r="H543" i="16"/>
  <c r="G543" i="16"/>
  <c r="F543" i="16"/>
  <c r="E543" i="16"/>
  <c r="D543" i="16"/>
  <c r="C543" i="16"/>
  <c r="B543" i="16"/>
  <c r="A543" i="16"/>
  <c r="J542" i="16"/>
  <c r="H542" i="16"/>
  <c r="G542" i="16"/>
  <c r="F542" i="16"/>
  <c r="E542" i="16"/>
  <c r="D542" i="16"/>
  <c r="C542" i="16"/>
  <c r="B542" i="16"/>
  <c r="A542" i="16"/>
  <c r="J541" i="16"/>
  <c r="H541" i="16"/>
  <c r="G541" i="16"/>
  <c r="F541" i="16"/>
  <c r="E541" i="16"/>
  <c r="D541" i="16"/>
  <c r="C541" i="16"/>
  <c r="B541" i="16"/>
  <c r="A541" i="16"/>
  <c r="J540" i="16"/>
  <c r="H540" i="16"/>
  <c r="G540" i="16"/>
  <c r="F540" i="16"/>
  <c r="E540" i="16"/>
  <c r="D540" i="16"/>
  <c r="C540" i="16"/>
  <c r="B540" i="16"/>
  <c r="A540" i="16"/>
  <c r="J539" i="16"/>
  <c r="H539" i="16"/>
  <c r="G539" i="16"/>
  <c r="F539" i="16"/>
  <c r="E539" i="16"/>
  <c r="D539" i="16"/>
  <c r="C539" i="16"/>
  <c r="B539" i="16"/>
  <c r="A539" i="16"/>
  <c r="J538" i="16"/>
  <c r="H538" i="16"/>
  <c r="G538" i="16"/>
  <c r="F538" i="16"/>
  <c r="E538" i="16"/>
  <c r="D538" i="16"/>
  <c r="C538" i="16"/>
  <c r="B538" i="16"/>
  <c r="A538" i="16"/>
  <c r="J537" i="16"/>
  <c r="H537" i="16"/>
  <c r="G537" i="16"/>
  <c r="F537" i="16"/>
  <c r="E537" i="16"/>
  <c r="D537" i="16"/>
  <c r="C537" i="16"/>
  <c r="B537" i="16"/>
  <c r="A537" i="16"/>
  <c r="J536" i="16"/>
  <c r="H536" i="16"/>
  <c r="G536" i="16"/>
  <c r="F536" i="16"/>
  <c r="E536" i="16"/>
  <c r="D536" i="16"/>
  <c r="C536" i="16"/>
  <c r="B536" i="16"/>
  <c r="A536" i="16"/>
  <c r="J535" i="16"/>
  <c r="H535" i="16"/>
  <c r="G535" i="16"/>
  <c r="F535" i="16"/>
  <c r="E535" i="16"/>
  <c r="D535" i="16"/>
  <c r="C535" i="16"/>
  <c r="B535" i="16"/>
  <c r="A535" i="16"/>
  <c r="J534" i="16"/>
  <c r="H534" i="16"/>
  <c r="G534" i="16"/>
  <c r="F534" i="16"/>
  <c r="E534" i="16"/>
  <c r="D534" i="16"/>
  <c r="C534" i="16"/>
  <c r="B534" i="16"/>
  <c r="A534" i="16"/>
  <c r="J533" i="16"/>
  <c r="H533" i="16"/>
  <c r="G533" i="16"/>
  <c r="F533" i="16"/>
  <c r="E533" i="16"/>
  <c r="D533" i="16"/>
  <c r="C533" i="16"/>
  <c r="B533" i="16"/>
  <c r="A533" i="16"/>
  <c r="J532" i="16"/>
  <c r="H532" i="16"/>
  <c r="G532" i="16"/>
  <c r="F532" i="16"/>
  <c r="E532" i="16"/>
  <c r="D532" i="16"/>
  <c r="C532" i="16"/>
  <c r="B532" i="16"/>
  <c r="A532" i="16"/>
  <c r="J531" i="16"/>
  <c r="H531" i="16"/>
  <c r="G531" i="16"/>
  <c r="F531" i="16"/>
  <c r="E531" i="16"/>
  <c r="D531" i="16"/>
  <c r="C531" i="16"/>
  <c r="B531" i="16"/>
  <c r="A531" i="16"/>
  <c r="J530" i="16"/>
  <c r="H530" i="16"/>
  <c r="G530" i="16"/>
  <c r="F530" i="16"/>
  <c r="E530" i="16"/>
  <c r="D530" i="16"/>
  <c r="C530" i="16"/>
  <c r="B530" i="16"/>
  <c r="A530" i="16"/>
  <c r="J529" i="16"/>
  <c r="F529" i="16"/>
  <c r="E529" i="16"/>
  <c r="D529" i="16"/>
  <c r="C529" i="16"/>
  <c r="B529" i="16"/>
  <c r="A529" i="16"/>
  <c r="J528" i="16"/>
  <c r="F528" i="16"/>
  <c r="E528" i="16"/>
  <c r="D528" i="16"/>
  <c r="C528" i="16"/>
  <c r="B528" i="16"/>
  <c r="A528" i="16"/>
  <c r="J527" i="16"/>
  <c r="F527" i="16"/>
  <c r="E527" i="16"/>
  <c r="D527" i="16"/>
  <c r="C527" i="16"/>
  <c r="B527" i="16"/>
  <c r="A527" i="16"/>
  <c r="J526" i="16"/>
  <c r="F526" i="16"/>
  <c r="E526" i="16"/>
  <c r="D526" i="16"/>
  <c r="C526" i="16"/>
  <c r="B526" i="16"/>
  <c r="A526" i="16"/>
  <c r="J525" i="16"/>
  <c r="F525" i="16"/>
  <c r="E525" i="16"/>
  <c r="D525" i="16"/>
  <c r="C525" i="16"/>
  <c r="B525" i="16"/>
  <c r="A525" i="16"/>
  <c r="J524" i="16"/>
  <c r="F524" i="16"/>
  <c r="E524" i="16"/>
  <c r="D524" i="16"/>
  <c r="C524" i="16"/>
  <c r="B524" i="16"/>
  <c r="A524" i="16"/>
  <c r="J523" i="16"/>
  <c r="F523" i="16"/>
  <c r="E523" i="16"/>
  <c r="D523" i="16"/>
  <c r="C523" i="16"/>
  <c r="B523" i="16"/>
  <c r="A523" i="16"/>
  <c r="J522" i="16"/>
  <c r="F522" i="16"/>
  <c r="E522" i="16"/>
  <c r="D522" i="16"/>
  <c r="C522" i="16"/>
  <c r="B522" i="16"/>
  <c r="A522" i="16"/>
  <c r="J521" i="16"/>
  <c r="F521" i="16"/>
  <c r="E521" i="16"/>
  <c r="D521" i="16"/>
  <c r="C521" i="16"/>
  <c r="B521" i="16"/>
  <c r="A521" i="16"/>
  <c r="J520" i="16"/>
  <c r="F520" i="16"/>
  <c r="E520" i="16"/>
  <c r="D520" i="16"/>
  <c r="C520" i="16"/>
  <c r="B520" i="16"/>
  <c r="A520" i="16"/>
  <c r="J519" i="16"/>
  <c r="F519" i="16"/>
  <c r="E519" i="16"/>
  <c r="D519" i="16"/>
  <c r="C519" i="16"/>
  <c r="B519" i="16"/>
  <c r="A519" i="16"/>
  <c r="J518" i="16"/>
  <c r="F518" i="16"/>
  <c r="E518" i="16"/>
  <c r="D518" i="16"/>
  <c r="C518" i="16"/>
  <c r="B518" i="16"/>
  <c r="A518" i="16"/>
  <c r="J517" i="16"/>
  <c r="F517" i="16"/>
  <c r="E517" i="16"/>
  <c r="D517" i="16"/>
  <c r="C517" i="16"/>
  <c r="B517" i="16"/>
  <c r="A517" i="16"/>
  <c r="J516" i="16"/>
  <c r="F516" i="16"/>
  <c r="E516" i="16"/>
  <c r="D516" i="16"/>
  <c r="C516" i="16"/>
  <c r="B516" i="16"/>
  <c r="A516" i="16"/>
  <c r="J515" i="16"/>
  <c r="H515" i="16"/>
  <c r="G515" i="16"/>
  <c r="F515" i="16"/>
  <c r="E515" i="16"/>
  <c r="D515" i="16"/>
  <c r="C515" i="16"/>
  <c r="B515" i="16"/>
  <c r="A515" i="16"/>
  <c r="J514" i="16"/>
  <c r="H514" i="16"/>
  <c r="G514" i="16"/>
  <c r="F514" i="16"/>
  <c r="E514" i="16"/>
  <c r="D514" i="16"/>
  <c r="C514" i="16"/>
  <c r="B514" i="16"/>
  <c r="A514" i="16"/>
  <c r="J513" i="16"/>
  <c r="H513" i="16"/>
  <c r="G513" i="16"/>
  <c r="F513" i="16"/>
  <c r="E513" i="16"/>
  <c r="D513" i="16"/>
  <c r="C513" i="16"/>
  <c r="B513" i="16"/>
  <c r="A513" i="16"/>
  <c r="J512" i="16"/>
  <c r="H512" i="16"/>
  <c r="G512" i="16"/>
  <c r="F512" i="16"/>
  <c r="E512" i="16"/>
  <c r="D512" i="16"/>
  <c r="C512" i="16"/>
  <c r="B512" i="16"/>
  <c r="A512" i="16"/>
  <c r="J511" i="16"/>
  <c r="H511" i="16"/>
  <c r="G511" i="16"/>
  <c r="F511" i="16"/>
  <c r="E511" i="16"/>
  <c r="D511" i="16"/>
  <c r="C511" i="16"/>
  <c r="B511" i="16"/>
  <c r="A511" i="16"/>
  <c r="J510" i="16"/>
  <c r="H510" i="16"/>
  <c r="G510" i="16"/>
  <c r="F510" i="16"/>
  <c r="E510" i="16"/>
  <c r="D510" i="16"/>
  <c r="C510" i="16"/>
  <c r="B510" i="16"/>
  <c r="A510" i="16"/>
  <c r="J509" i="16"/>
  <c r="H509" i="16"/>
  <c r="G509" i="16"/>
  <c r="F509" i="16"/>
  <c r="E509" i="16"/>
  <c r="D509" i="16"/>
  <c r="C509" i="16"/>
  <c r="B509" i="16"/>
  <c r="A509" i="16"/>
  <c r="J508" i="16"/>
  <c r="H508" i="16"/>
  <c r="G508" i="16"/>
  <c r="F508" i="16"/>
  <c r="E508" i="16"/>
  <c r="D508" i="16"/>
  <c r="C508" i="16"/>
  <c r="B508" i="16"/>
  <c r="A508" i="16"/>
  <c r="J507" i="16"/>
  <c r="H507" i="16"/>
  <c r="G507" i="16"/>
  <c r="F507" i="16"/>
  <c r="E507" i="16"/>
  <c r="D507" i="16"/>
  <c r="C507" i="16"/>
  <c r="B507" i="16"/>
  <c r="A507" i="16"/>
  <c r="J506" i="16"/>
  <c r="H506" i="16"/>
  <c r="G506" i="16"/>
  <c r="F506" i="16"/>
  <c r="E506" i="16"/>
  <c r="D506" i="16"/>
  <c r="C506" i="16"/>
  <c r="B506" i="16"/>
  <c r="A506" i="16"/>
  <c r="J505" i="16"/>
  <c r="H505" i="16"/>
  <c r="G505" i="16"/>
  <c r="F505" i="16"/>
  <c r="E505" i="16"/>
  <c r="D505" i="16"/>
  <c r="C505" i="16"/>
  <c r="B505" i="16"/>
  <c r="A505" i="16"/>
  <c r="J504" i="16"/>
  <c r="H504" i="16"/>
  <c r="G504" i="16"/>
  <c r="F504" i="16"/>
  <c r="E504" i="16"/>
  <c r="D504" i="16"/>
  <c r="C504" i="16"/>
  <c r="B504" i="16"/>
  <c r="A504" i="16"/>
  <c r="J503" i="16"/>
  <c r="H503" i="16"/>
  <c r="G503" i="16"/>
  <c r="F503" i="16"/>
  <c r="E503" i="16"/>
  <c r="D503" i="16"/>
  <c r="C503" i="16"/>
  <c r="B503" i="16"/>
  <c r="A503" i="16"/>
  <c r="J502" i="16"/>
  <c r="H502" i="16"/>
  <c r="G502" i="16"/>
  <c r="F502" i="16"/>
  <c r="E502" i="16"/>
  <c r="D502" i="16"/>
  <c r="C502" i="16"/>
  <c r="B502" i="16"/>
  <c r="A502" i="16"/>
  <c r="J501" i="16"/>
  <c r="H501" i="16"/>
  <c r="G501" i="16"/>
  <c r="F501" i="16"/>
  <c r="E501" i="16"/>
  <c r="D501" i="16"/>
  <c r="C501" i="16"/>
  <c r="B501" i="16"/>
  <c r="A501" i="16"/>
  <c r="J500" i="16"/>
  <c r="H500" i="16"/>
  <c r="G500" i="16"/>
  <c r="F500" i="16"/>
  <c r="E500" i="16"/>
  <c r="D500" i="16"/>
  <c r="C500" i="16"/>
  <c r="B500" i="16"/>
  <c r="A500" i="16"/>
  <c r="J499" i="16"/>
  <c r="H499" i="16"/>
  <c r="G499" i="16"/>
  <c r="F499" i="16"/>
  <c r="E499" i="16"/>
  <c r="D499" i="16"/>
  <c r="C499" i="16"/>
  <c r="B499" i="16"/>
  <c r="A499" i="16"/>
  <c r="J498" i="16"/>
  <c r="H498" i="16"/>
  <c r="G498" i="16"/>
  <c r="F498" i="16"/>
  <c r="E498" i="16"/>
  <c r="D498" i="16"/>
  <c r="C498" i="16"/>
  <c r="B498" i="16"/>
  <c r="A498" i="16"/>
  <c r="J497" i="16"/>
  <c r="F497" i="16"/>
  <c r="E497" i="16"/>
  <c r="D497" i="16"/>
  <c r="C497" i="16"/>
  <c r="B497" i="16"/>
  <c r="A497" i="16"/>
  <c r="J496" i="16"/>
  <c r="F496" i="16"/>
  <c r="E496" i="16"/>
  <c r="D496" i="16"/>
  <c r="C496" i="16"/>
  <c r="B496" i="16"/>
  <c r="A496" i="16"/>
  <c r="J495" i="16"/>
  <c r="H495" i="16"/>
  <c r="G495" i="16"/>
  <c r="F495" i="16"/>
  <c r="E495" i="16"/>
  <c r="D495" i="16"/>
  <c r="C495" i="16"/>
  <c r="B495" i="16"/>
  <c r="A495" i="16"/>
  <c r="J494" i="16"/>
  <c r="H494" i="16"/>
  <c r="G494" i="16"/>
  <c r="F494" i="16"/>
  <c r="E494" i="16"/>
  <c r="D494" i="16"/>
  <c r="C494" i="16"/>
  <c r="B494" i="16"/>
  <c r="A494" i="16"/>
  <c r="J493" i="16"/>
  <c r="H493" i="16"/>
  <c r="G493" i="16"/>
  <c r="F493" i="16"/>
  <c r="E493" i="16"/>
  <c r="D493" i="16"/>
  <c r="C493" i="16"/>
  <c r="B493" i="16"/>
  <c r="A493" i="16"/>
  <c r="J492" i="16"/>
  <c r="H492" i="16"/>
  <c r="G492" i="16"/>
  <c r="F492" i="16"/>
  <c r="E492" i="16"/>
  <c r="D492" i="16"/>
  <c r="C492" i="16"/>
  <c r="B492" i="16"/>
  <c r="A492" i="16"/>
  <c r="J491" i="16"/>
  <c r="F491" i="16"/>
  <c r="E491" i="16"/>
  <c r="D491" i="16"/>
  <c r="C491" i="16"/>
  <c r="B491" i="16"/>
  <c r="A491" i="16"/>
  <c r="J490" i="16"/>
  <c r="F490" i="16"/>
  <c r="E490" i="16"/>
  <c r="D490" i="16"/>
  <c r="C490" i="16"/>
  <c r="B490" i="16"/>
  <c r="A490" i="16"/>
  <c r="J489" i="16"/>
  <c r="F489" i="16"/>
  <c r="E489" i="16"/>
  <c r="D489" i="16"/>
  <c r="C489" i="16"/>
  <c r="B489" i="16"/>
  <c r="A489" i="16"/>
  <c r="J488" i="16"/>
  <c r="H488" i="16"/>
  <c r="G488" i="16"/>
  <c r="F488" i="16"/>
  <c r="E488" i="16"/>
  <c r="D488" i="16"/>
  <c r="C488" i="16"/>
  <c r="B488" i="16"/>
  <c r="A488" i="16"/>
  <c r="J487" i="16"/>
  <c r="H487" i="16"/>
  <c r="G487" i="16"/>
  <c r="F487" i="16"/>
  <c r="E487" i="16"/>
  <c r="D487" i="16"/>
  <c r="C487" i="16"/>
  <c r="B487" i="16"/>
  <c r="A487" i="16"/>
  <c r="J486" i="16"/>
  <c r="H486" i="16"/>
  <c r="G486" i="16"/>
  <c r="F486" i="16"/>
  <c r="E486" i="16"/>
  <c r="D486" i="16"/>
  <c r="C486" i="16"/>
  <c r="B486" i="16"/>
  <c r="A486" i="16"/>
  <c r="J485" i="16"/>
  <c r="H485" i="16"/>
  <c r="G485" i="16"/>
  <c r="F485" i="16"/>
  <c r="E485" i="16"/>
  <c r="D485" i="16"/>
  <c r="C485" i="16"/>
  <c r="B485" i="16"/>
  <c r="A485" i="16"/>
  <c r="J484" i="16"/>
  <c r="H484" i="16"/>
  <c r="G484" i="16"/>
  <c r="F484" i="16"/>
  <c r="E484" i="16"/>
  <c r="D484" i="16"/>
  <c r="C484" i="16"/>
  <c r="B484" i="16"/>
  <c r="A484" i="16"/>
  <c r="J483" i="16"/>
  <c r="H483" i="16"/>
  <c r="G483" i="16"/>
  <c r="F483" i="16"/>
  <c r="E483" i="16"/>
  <c r="D483" i="16"/>
  <c r="C483" i="16"/>
  <c r="B483" i="16"/>
  <c r="A483" i="16"/>
  <c r="J482" i="16"/>
  <c r="H482" i="16"/>
  <c r="G482" i="16"/>
  <c r="F482" i="16"/>
  <c r="E482" i="16"/>
  <c r="D482" i="16"/>
  <c r="C482" i="16"/>
  <c r="B482" i="16"/>
  <c r="A482" i="16"/>
  <c r="J481" i="16"/>
  <c r="H481" i="16"/>
  <c r="G481" i="16"/>
  <c r="F481" i="16"/>
  <c r="E481" i="16"/>
  <c r="D481" i="16"/>
  <c r="C481" i="16"/>
  <c r="B481" i="16"/>
  <c r="A481" i="16"/>
  <c r="J480" i="16"/>
  <c r="H480" i="16"/>
  <c r="G480" i="16"/>
  <c r="F480" i="16"/>
  <c r="E480" i="16"/>
  <c r="D480" i="16"/>
  <c r="C480" i="16"/>
  <c r="B480" i="16"/>
  <c r="A480" i="16"/>
  <c r="J479" i="16"/>
  <c r="H479" i="16"/>
  <c r="G479" i="16"/>
  <c r="F479" i="16"/>
  <c r="E479" i="16"/>
  <c r="D479" i="16"/>
  <c r="C479" i="16"/>
  <c r="B479" i="16"/>
  <c r="A479" i="16"/>
  <c r="J478" i="16"/>
  <c r="H478" i="16"/>
  <c r="G478" i="16"/>
  <c r="F478" i="16"/>
  <c r="E478" i="16"/>
  <c r="D478" i="16"/>
  <c r="C478" i="16"/>
  <c r="B478" i="16"/>
  <c r="A478" i="16"/>
  <c r="J477" i="16"/>
  <c r="H477" i="16"/>
  <c r="G477" i="16"/>
  <c r="F477" i="16"/>
  <c r="E477" i="16"/>
  <c r="D477" i="16"/>
  <c r="C477" i="16"/>
  <c r="B477" i="16"/>
  <c r="A477" i="16"/>
  <c r="J476" i="16"/>
  <c r="H476" i="16"/>
  <c r="G476" i="16"/>
  <c r="F476" i="16"/>
  <c r="E476" i="16"/>
  <c r="D476" i="16"/>
  <c r="C476" i="16"/>
  <c r="B476" i="16"/>
  <c r="A476" i="16"/>
  <c r="J475" i="16"/>
  <c r="H475" i="16"/>
  <c r="G475" i="16"/>
  <c r="F475" i="16"/>
  <c r="E475" i="16"/>
  <c r="D475" i="16"/>
  <c r="C475" i="16"/>
  <c r="B475" i="16"/>
  <c r="A475" i="16"/>
  <c r="J474" i="16"/>
  <c r="H474" i="16"/>
  <c r="G474" i="16"/>
  <c r="F474" i="16"/>
  <c r="E474" i="16"/>
  <c r="D474" i="16"/>
  <c r="C474" i="16"/>
  <c r="B474" i="16"/>
  <c r="A474" i="16"/>
  <c r="J473" i="16"/>
  <c r="H473" i="16"/>
  <c r="G473" i="16"/>
  <c r="F473" i="16"/>
  <c r="E473" i="16"/>
  <c r="D473" i="16"/>
  <c r="C473" i="16"/>
  <c r="B473" i="16"/>
  <c r="A473" i="16"/>
  <c r="J472" i="16"/>
  <c r="H472" i="16"/>
  <c r="G472" i="16"/>
  <c r="F472" i="16"/>
  <c r="E472" i="16"/>
  <c r="D472" i="16"/>
  <c r="C472" i="16"/>
  <c r="B472" i="16"/>
  <c r="A472" i="16"/>
  <c r="J471" i="16"/>
  <c r="H471" i="16"/>
  <c r="G471" i="16"/>
  <c r="F471" i="16"/>
  <c r="E471" i="16"/>
  <c r="D471" i="16"/>
  <c r="C471" i="16"/>
  <c r="B471" i="16"/>
  <c r="A471" i="16"/>
  <c r="J470" i="16"/>
  <c r="H470" i="16"/>
  <c r="G470" i="16"/>
  <c r="F470" i="16"/>
  <c r="E470" i="16"/>
  <c r="D470" i="16"/>
  <c r="C470" i="16"/>
  <c r="B470" i="16"/>
  <c r="A470" i="16"/>
  <c r="J469" i="16"/>
  <c r="H469" i="16"/>
  <c r="G469" i="16"/>
  <c r="F469" i="16"/>
  <c r="E469" i="16"/>
  <c r="D469" i="16"/>
  <c r="C469" i="16"/>
  <c r="B469" i="16"/>
  <c r="A469" i="16"/>
  <c r="J468" i="16"/>
  <c r="H468" i="16"/>
  <c r="G468" i="16"/>
  <c r="F468" i="16"/>
  <c r="E468" i="16"/>
  <c r="D468" i="16"/>
  <c r="C468" i="16"/>
  <c r="B468" i="16"/>
  <c r="A468" i="16"/>
  <c r="J467" i="16"/>
  <c r="H467" i="16"/>
  <c r="G467" i="16"/>
  <c r="F467" i="16"/>
  <c r="E467" i="16"/>
  <c r="D467" i="16"/>
  <c r="C467" i="16"/>
  <c r="B467" i="16"/>
  <c r="A467" i="16"/>
  <c r="J466" i="16"/>
  <c r="H466" i="16"/>
  <c r="G466" i="16"/>
  <c r="F466" i="16"/>
  <c r="E466" i="16"/>
  <c r="D466" i="16"/>
  <c r="C466" i="16"/>
  <c r="B466" i="16"/>
  <c r="A466" i="16"/>
  <c r="J465" i="16"/>
  <c r="H465" i="16"/>
  <c r="G465" i="16"/>
  <c r="F465" i="16"/>
  <c r="E465" i="16"/>
  <c r="D465" i="16"/>
  <c r="C465" i="16"/>
  <c r="B465" i="16"/>
  <c r="A465" i="16"/>
  <c r="J464" i="16"/>
  <c r="H464" i="16"/>
  <c r="G464" i="16"/>
  <c r="F464" i="16"/>
  <c r="E464" i="16"/>
  <c r="D464" i="16"/>
  <c r="C464" i="16"/>
  <c r="B464" i="16"/>
  <c r="A464" i="16"/>
  <c r="J463" i="16"/>
  <c r="H463" i="16"/>
  <c r="G463" i="16"/>
  <c r="F463" i="16"/>
  <c r="E463" i="16"/>
  <c r="D463" i="16"/>
  <c r="C463" i="16"/>
  <c r="B463" i="16"/>
  <c r="A463" i="16"/>
  <c r="J462" i="16"/>
  <c r="H462" i="16"/>
  <c r="G462" i="16"/>
  <c r="F462" i="16"/>
  <c r="E462" i="16"/>
  <c r="D462" i="16"/>
  <c r="C462" i="16"/>
  <c r="B462" i="16"/>
  <c r="A462" i="16"/>
  <c r="J461" i="16"/>
  <c r="H461" i="16"/>
  <c r="G461" i="16"/>
  <c r="F461" i="16"/>
  <c r="E461" i="16"/>
  <c r="D461" i="16"/>
  <c r="C461" i="16"/>
  <c r="B461" i="16"/>
  <c r="A461" i="16"/>
  <c r="J460" i="16"/>
  <c r="H460" i="16"/>
  <c r="G460" i="16"/>
  <c r="F460" i="16"/>
  <c r="E460" i="16"/>
  <c r="D460" i="16"/>
  <c r="C460" i="16"/>
  <c r="B460" i="16"/>
  <c r="A460" i="16"/>
  <c r="J459" i="16"/>
  <c r="H459" i="16"/>
  <c r="G459" i="16"/>
  <c r="F459" i="16"/>
  <c r="E459" i="16"/>
  <c r="D459" i="16"/>
  <c r="C459" i="16"/>
  <c r="B459" i="16"/>
  <c r="A459" i="16"/>
  <c r="J458" i="16"/>
  <c r="H458" i="16"/>
  <c r="G458" i="16"/>
  <c r="F458" i="16"/>
  <c r="E458" i="16"/>
  <c r="D458" i="16"/>
  <c r="C458" i="16"/>
  <c r="B458" i="16"/>
  <c r="A458" i="16"/>
  <c r="J457" i="16"/>
  <c r="H457" i="16"/>
  <c r="G457" i="16"/>
  <c r="F457" i="16"/>
  <c r="E457" i="16"/>
  <c r="D457" i="16"/>
  <c r="C457" i="16"/>
  <c r="B457" i="16"/>
  <c r="A457" i="16"/>
  <c r="J456" i="16"/>
  <c r="H456" i="16"/>
  <c r="G456" i="16"/>
  <c r="F456" i="16"/>
  <c r="E456" i="16"/>
  <c r="D456" i="16"/>
  <c r="C456" i="16"/>
  <c r="B456" i="16"/>
  <c r="A456" i="16"/>
  <c r="J455" i="16"/>
  <c r="H455" i="16"/>
  <c r="G455" i="16"/>
  <c r="F455" i="16"/>
  <c r="E455" i="16"/>
  <c r="D455" i="16"/>
  <c r="C455" i="16"/>
  <c r="B455" i="16"/>
  <c r="A455" i="16"/>
  <c r="J454" i="16"/>
  <c r="H454" i="16"/>
  <c r="G454" i="16"/>
  <c r="F454" i="16"/>
  <c r="E454" i="16"/>
  <c r="D454" i="16"/>
  <c r="C454" i="16"/>
  <c r="B454" i="16"/>
  <c r="A454" i="16"/>
  <c r="J453" i="16"/>
  <c r="H453" i="16"/>
  <c r="G453" i="16"/>
  <c r="F453" i="16"/>
  <c r="E453" i="16"/>
  <c r="D453" i="16"/>
  <c r="C453" i="16"/>
  <c r="B453" i="16"/>
  <c r="A453" i="16"/>
  <c r="J452" i="16"/>
  <c r="H452" i="16"/>
  <c r="G452" i="16"/>
  <c r="F452" i="16"/>
  <c r="E452" i="16"/>
  <c r="D452" i="16"/>
  <c r="C452" i="16"/>
  <c r="B452" i="16"/>
  <c r="A452" i="16"/>
  <c r="J451" i="16"/>
  <c r="H451" i="16"/>
  <c r="G451" i="16"/>
  <c r="F451" i="16"/>
  <c r="E451" i="16"/>
  <c r="D451" i="16"/>
  <c r="C451" i="16"/>
  <c r="B451" i="16"/>
  <c r="A451" i="16"/>
  <c r="J450" i="16"/>
  <c r="H450" i="16"/>
  <c r="G450" i="16"/>
  <c r="F450" i="16"/>
  <c r="E450" i="16"/>
  <c r="D450" i="16"/>
  <c r="C450" i="16"/>
  <c r="B450" i="16"/>
  <c r="A450" i="16"/>
  <c r="J449" i="16"/>
  <c r="H449" i="16"/>
  <c r="G449" i="16"/>
  <c r="F449" i="16"/>
  <c r="E449" i="16"/>
  <c r="D449" i="16"/>
  <c r="C449" i="16"/>
  <c r="B449" i="16"/>
  <c r="A449" i="16"/>
  <c r="J448" i="16"/>
  <c r="H448" i="16"/>
  <c r="G448" i="16"/>
  <c r="F448" i="16"/>
  <c r="E448" i="16"/>
  <c r="D448" i="16"/>
  <c r="C448" i="16"/>
  <c r="B448" i="16"/>
  <c r="A448" i="16"/>
  <c r="J447" i="16"/>
  <c r="H447" i="16"/>
  <c r="G447" i="16"/>
  <c r="F447" i="16"/>
  <c r="E447" i="16"/>
  <c r="D447" i="16"/>
  <c r="C447" i="16"/>
  <c r="B447" i="16"/>
  <c r="A447" i="16"/>
  <c r="J446" i="16"/>
  <c r="H446" i="16"/>
  <c r="G446" i="16"/>
  <c r="F446" i="16"/>
  <c r="E446" i="16"/>
  <c r="D446" i="16"/>
  <c r="C446" i="16"/>
  <c r="B446" i="16"/>
  <c r="A446" i="16"/>
  <c r="J445" i="16"/>
  <c r="H445" i="16"/>
  <c r="G445" i="16"/>
  <c r="F445" i="16"/>
  <c r="E445" i="16"/>
  <c r="D445" i="16"/>
  <c r="C445" i="16"/>
  <c r="B445" i="16"/>
  <c r="A445" i="16"/>
  <c r="J444" i="16"/>
  <c r="H444" i="16"/>
  <c r="G444" i="16"/>
  <c r="F444" i="16"/>
  <c r="E444" i="16"/>
  <c r="D444" i="16"/>
  <c r="C444" i="16"/>
  <c r="B444" i="16"/>
  <c r="A444" i="16"/>
  <c r="J443" i="16"/>
  <c r="H443" i="16"/>
  <c r="G443" i="16"/>
  <c r="F443" i="16"/>
  <c r="E443" i="16"/>
  <c r="D443" i="16"/>
  <c r="C443" i="16"/>
  <c r="B443" i="16"/>
  <c r="A443" i="16"/>
  <c r="J442" i="16"/>
  <c r="H442" i="16"/>
  <c r="G442" i="16"/>
  <c r="F442" i="16"/>
  <c r="E442" i="16"/>
  <c r="D442" i="16"/>
  <c r="C442" i="16"/>
  <c r="B442" i="16"/>
  <c r="A442" i="16"/>
  <c r="J441" i="16"/>
  <c r="H441" i="16"/>
  <c r="G441" i="16"/>
  <c r="F441" i="16"/>
  <c r="E441" i="16"/>
  <c r="D441" i="16"/>
  <c r="C441" i="16"/>
  <c r="B441" i="16"/>
  <c r="A441" i="16"/>
  <c r="J440" i="16"/>
  <c r="H440" i="16"/>
  <c r="G440" i="16"/>
  <c r="F440" i="16"/>
  <c r="E440" i="16"/>
  <c r="D440" i="16"/>
  <c r="C440" i="16"/>
  <c r="B440" i="16"/>
  <c r="A440" i="16"/>
  <c r="J439" i="16"/>
  <c r="H439" i="16"/>
  <c r="G439" i="16"/>
  <c r="F439" i="16"/>
  <c r="E439" i="16"/>
  <c r="D439" i="16"/>
  <c r="C439" i="16"/>
  <c r="B439" i="16"/>
  <c r="A439" i="16"/>
  <c r="J438" i="16"/>
  <c r="H438" i="16"/>
  <c r="G438" i="16"/>
  <c r="F438" i="16"/>
  <c r="E438" i="16"/>
  <c r="D438" i="16"/>
  <c r="C438" i="16"/>
  <c r="B438" i="16"/>
  <c r="A438" i="16"/>
  <c r="J437" i="16"/>
  <c r="H437" i="16"/>
  <c r="G437" i="16"/>
  <c r="F437" i="16"/>
  <c r="E437" i="16"/>
  <c r="D437" i="16"/>
  <c r="C437" i="16"/>
  <c r="B437" i="16"/>
  <c r="A437" i="16"/>
  <c r="J436" i="16"/>
  <c r="H436" i="16"/>
  <c r="G436" i="16"/>
  <c r="F436" i="16"/>
  <c r="E436" i="16"/>
  <c r="D436" i="16"/>
  <c r="C436" i="16"/>
  <c r="B436" i="16"/>
  <c r="A436" i="16"/>
  <c r="J435" i="16"/>
  <c r="H435" i="16"/>
  <c r="G435" i="16"/>
  <c r="F435" i="16"/>
  <c r="E435" i="16"/>
  <c r="D435" i="16"/>
  <c r="C435" i="16"/>
  <c r="B435" i="16"/>
  <c r="A435" i="16"/>
  <c r="J434" i="16"/>
  <c r="H434" i="16"/>
  <c r="G434" i="16"/>
  <c r="F434" i="16"/>
  <c r="E434" i="16"/>
  <c r="D434" i="16"/>
  <c r="C434" i="16"/>
  <c r="B434" i="16"/>
  <c r="A434" i="16"/>
  <c r="J433" i="16"/>
  <c r="H433" i="16"/>
  <c r="G433" i="16"/>
  <c r="F433" i="16"/>
  <c r="E433" i="16"/>
  <c r="D433" i="16"/>
  <c r="C433" i="16"/>
  <c r="B433" i="16"/>
  <c r="A433" i="16"/>
  <c r="J432" i="16"/>
  <c r="H432" i="16"/>
  <c r="G432" i="16"/>
  <c r="F432" i="16"/>
  <c r="E432" i="16"/>
  <c r="D432" i="16"/>
  <c r="C432" i="16"/>
  <c r="B432" i="16"/>
  <c r="A432" i="16"/>
  <c r="J431" i="16"/>
  <c r="H431" i="16"/>
  <c r="G431" i="16"/>
  <c r="F431" i="16"/>
  <c r="E431" i="16"/>
  <c r="D431" i="16"/>
  <c r="C431" i="16"/>
  <c r="B431" i="16"/>
  <c r="A431" i="16"/>
  <c r="J430" i="16"/>
  <c r="H430" i="16"/>
  <c r="G430" i="16"/>
  <c r="F430" i="16"/>
  <c r="E430" i="16"/>
  <c r="D430" i="16"/>
  <c r="C430" i="16"/>
  <c r="B430" i="16"/>
  <c r="A430" i="16"/>
  <c r="J429" i="16"/>
  <c r="H429" i="16"/>
  <c r="G429" i="16"/>
  <c r="F429" i="16"/>
  <c r="E429" i="16"/>
  <c r="D429" i="16"/>
  <c r="C429" i="16"/>
  <c r="B429" i="16"/>
  <c r="A429" i="16"/>
  <c r="J428" i="16"/>
  <c r="H428" i="16"/>
  <c r="G428" i="16"/>
  <c r="F428" i="16"/>
  <c r="E428" i="16"/>
  <c r="D428" i="16"/>
  <c r="C428" i="16"/>
  <c r="B428" i="16"/>
  <c r="A428" i="16"/>
  <c r="J427" i="16"/>
  <c r="H427" i="16"/>
  <c r="G427" i="16"/>
  <c r="F427" i="16"/>
  <c r="E427" i="16"/>
  <c r="D427" i="16"/>
  <c r="C427" i="16"/>
  <c r="B427" i="16"/>
  <c r="A427" i="16"/>
  <c r="J426" i="16"/>
  <c r="H426" i="16"/>
  <c r="G426" i="16"/>
  <c r="F426" i="16"/>
  <c r="E426" i="16"/>
  <c r="D426" i="16"/>
  <c r="C426" i="16"/>
  <c r="B426" i="16"/>
  <c r="A426" i="16"/>
  <c r="J425" i="16"/>
  <c r="H425" i="16"/>
  <c r="G425" i="16"/>
  <c r="F425" i="16"/>
  <c r="E425" i="16"/>
  <c r="D425" i="16"/>
  <c r="C425" i="16"/>
  <c r="B425" i="16"/>
  <c r="A425" i="16"/>
  <c r="J424" i="16"/>
  <c r="H424" i="16"/>
  <c r="G424" i="16"/>
  <c r="F424" i="16"/>
  <c r="E424" i="16"/>
  <c r="D424" i="16"/>
  <c r="C424" i="16"/>
  <c r="B424" i="16"/>
  <c r="A424" i="16"/>
  <c r="J423" i="16"/>
  <c r="H423" i="16"/>
  <c r="G423" i="16"/>
  <c r="F423" i="16"/>
  <c r="E423" i="16"/>
  <c r="D423" i="16"/>
  <c r="C423" i="16"/>
  <c r="B423" i="16"/>
  <c r="A423" i="16"/>
  <c r="J422" i="16"/>
  <c r="H422" i="16"/>
  <c r="G422" i="16"/>
  <c r="F422" i="16"/>
  <c r="E422" i="16"/>
  <c r="D422" i="16"/>
  <c r="C422" i="16"/>
  <c r="B422" i="16"/>
  <c r="A422" i="16"/>
  <c r="J421" i="16"/>
  <c r="H421" i="16"/>
  <c r="G421" i="16"/>
  <c r="F421" i="16"/>
  <c r="E421" i="16"/>
  <c r="D421" i="16"/>
  <c r="C421" i="16"/>
  <c r="B421" i="16"/>
  <c r="A421" i="16"/>
  <c r="J420" i="16"/>
  <c r="H420" i="16"/>
  <c r="G420" i="16"/>
  <c r="F420" i="16"/>
  <c r="E420" i="16"/>
  <c r="D420" i="16"/>
  <c r="C420" i="16"/>
  <c r="B420" i="16"/>
  <c r="A420" i="16"/>
  <c r="J419" i="16"/>
  <c r="H419" i="16"/>
  <c r="G419" i="16"/>
  <c r="F419" i="16"/>
  <c r="E419" i="16"/>
  <c r="D419" i="16"/>
  <c r="C419" i="16"/>
  <c r="B419" i="16"/>
  <c r="A419" i="16"/>
  <c r="J418" i="16"/>
  <c r="H418" i="16"/>
  <c r="G418" i="16"/>
  <c r="F418" i="16"/>
  <c r="E418" i="16"/>
  <c r="D418" i="16"/>
  <c r="C418" i="16"/>
  <c r="B418" i="16"/>
  <c r="A418" i="16"/>
  <c r="J417" i="16"/>
  <c r="H417" i="16"/>
  <c r="G417" i="16"/>
  <c r="F417" i="16"/>
  <c r="E417" i="16"/>
  <c r="D417" i="16"/>
  <c r="C417" i="16"/>
  <c r="B417" i="16"/>
  <c r="A417" i="16"/>
  <c r="J416" i="16"/>
  <c r="H416" i="16"/>
  <c r="G416" i="16"/>
  <c r="F416" i="16"/>
  <c r="E416" i="16"/>
  <c r="D416" i="16"/>
  <c r="C416" i="16"/>
  <c r="B416" i="16"/>
  <c r="A416" i="16"/>
  <c r="J415" i="16"/>
  <c r="H415" i="16"/>
  <c r="G415" i="16"/>
  <c r="F415" i="16"/>
  <c r="E415" i="16"/>
  <c r="D415" i="16"/>
  <c r="C415" i="16"/>
  <c r="B415" i="16"/>
  <c r="A415" i="16"/>
  <c r="J414" i="16"/>
  <c r="H414" i="16"/>
  <c r="G414" i="16"/>
  <c r="F414" i="16"/>
  <c r="E414" i="16"/>
  <c r="D414" i="16"/>
  <c r="C414" i="16"/>
  <c r="B414" i="16"/>
  <c r="A414" i="16"/>
  <c r="J413" i="16"/>
  <c r="H413" i="16"/>
  <c r="G413" i="16"/>
  <c r="F413" i="16"/>
  <c r="E413" i="16"/>
  <c r="D413" i="16"/>
  <c r="C413" i="16"/>
  <c r="B413" i="16"/>
  <c r="A413" i="16"/>
  <c r="J412" i="16"/>
  <c r="H412" i="16"/>
  <c r="G412" i="16"/>
  <c r="F412" i="16"/>
  <c r="E412" i="16"/>
  <c r="D412" i="16"/>
  <c r="C412" i="16"/>
  <c r="B412" i="16"/>
  <c r="A412" i="16"/>
  <c r="J411" i="16"/>
  <c r="H411" i="16"/>
  <c r="G411" i="16"/>
  <c r="F411" i="16"/>
  <c r="E411" i="16"/>
  <c r="D411" i="16"/>
  <c r="C411" i="16"/>
  <c r="B411" i="16"/>
  <c r="A411" i="16"/>
  <c r="J410" i="16"/>
  <c r="H410" i="16"/>
  <c r="G410" i="16"/>
  <c r="F410" i="16"/>
  <c r="E410" i="16"/>
  <c r="D410" i="16"/>
  <c r="C410" i="16"/>
  <c r="B410" i="16"/>
  <c r="A410" i="16"/>
  <c r="J409" i="16"/>
  <c r="H409" i="16"/>
  <c r="G409" i="16"/>
  <c r="F409" i="16"/>
  <c r="E409" i="16"/>
  <c r="D409" i="16"/>
  <c r="C409" i="16"/>
  <c r="B409" i="16"/>
  <c r="A409" i="16"/>
  <c r="J408" i="16"/>
  <c r="H408" i="16"/>
  <c r="G408" i="16"/>
  <c r="F408" i="16"/>
  <c r="E408" i="16"/>
  <c r="D408" i="16"/>
  <c r="C408" i="16"/>
  <c r="B408" i="16"/>
  <c r="A408" i="16"/>
  <c r="J407" i="16"/>
  <c r="H407" i="16"/>
  <c r="G407" i="16"/>
  <c r="F407" i="16"/>
  <c r="E407" i="16"/>
  <c r="D407" i="16"/>
  <c r="C407" i="16"/>
  <c r="B407" i="16"/>
  <c r="A407" i="16"/>
  <c r="J406" i="16"/>
  <c r="H406" i="16"/>
  <c r="G406" i="16"/>
  <c r="F406" i="16"/>
  <c r="E406" i="16"/>
  <c r="D406" i="16"/>
  <c r="C406" i="16"/>
  <c r="B406" i="16"/>
  <c r="A406" i="16"/>
  <c r="J405" i="16"/>
  <c r="H405" i="16"/>
  <c r="G405" i="16"/>
  <c r="F405" i="16"/>
  <c r="E405" i="16"/>
  <c r="D405" i="16"/>
  <c r="C405" i="16"/>
  <c r="B405" i="16"/>
  <c r="A405" i="16"/>
  <c r="J404" i="16"/>
  <c r="F404" i="16"/>
  <c r="E404" i="16"/>
  <c r="D404" i="16"/>
  <c r="C404" i="16"/>
  <c r="B404" i="16"/>
  <c r="A404" i="16"/>
  <c r="J403" i="16"/>
  <c r="F403" i="16"/>
  <c r="E403" i="16"/>
  <c r="D403" i="16"/>
  <c r="C403" i="16"/>
  <c r="B403" i="16"/>
  <c r="A403" i="16"/>
  <c r="J402" i="16"/>
  <c r="H402" i="16"/>
  <c r="G402" i="16"/>
  <c r="F402" i="16"/>
  <c r="E402" i="16"/>
  <c r="D402" i="16"/>
  <c r="C402" i="16"/>
  <c r="B402" i="16"/>
  <c r="A402" i="16"/>
  <c r="J401" i="16"/>
  <c r="H401" i="16"/>
  <c r="G401" i="16"/>
  <c r="F401" i="16"/>
  <c r="E401" i="16"/>
  <c r="D401" i="16"/>
  <c r="C401" i="16"/>
  <c r="B401" i="16"/>
  <c r="A401" i="16"/>
  <c r="J400" i="16"/>
  <c r="H400" i="16"/>
  <c r="G400" i="16"/>
  <c r="F400" i="16"/>
  <c r="E400" i="16"/>
  <c r="D400" i="16"/>
  <c r="C400" i="16"/>
  <c r="B400" i="16"/>
  <c r="A400" i="16"/>
  <c r="J399" i="16"/>
  <c r="H399" i="16"/>
  <c r="G399" i="16"/>
  <c r="F399" i="16"/>
  <c r="E399" i="16"/>
  <c r="D399" i="16"/>
  <c r="C399" i="16"/>
  <c r="B399" i="16"/>
  <c r="A399" i="16"/>
  <c r="J398" i="16"/>
  <c r="H398" i="16"/>
  <c r="G398" i="16"/>
  <c r="F398" i="16"/>
  <c r="E398" i="16"/>
  <c r="D398" i="16"/>
  <c r="C398" i="16"/>
  <c r="B398" i="16"/>
  <c r="A398" i="16"/>
  <c r="J397" i="16"/>
  <c r="H397" i="16"/>
  <c r="G397" i="16"/>
  <c r="F397" i="16"/>
  <c r="E397" i="16"/>
  <c r="D397" i="16"/>
  <c r="C397" i="16"/>
  <c r="B397" i="16"/>
  <c r="A397" i="16"/>
  <c r="J396" i="16"/>
  <c r="H396" i="16"/>
  <c r="G396" i="16"/>
  <c r="F396" i="16"/>
  <c r="E396" i="16"/>
  <c r="D396" i="16"/>
  <c r="C396" i="16"/>
  <c r="B396" i="16"/>
  <c r="A396" i="16"/>
  <c r="J395" i="16"/>
  <c r="H395" i="16"/>
  <c r="G395" i="16"/>
  <c r="F395" i="16"/>
  <c r="E395" i="16"/>
  <c r="D395" i="16"/>
  <c r="C395" i="16"/>
  <c r="B395" i="16"/>
  <c r="A395" i="16"/>
  <c r="J394" i="16"/>
  <c r="H394" i="16"/>
  <c r="G394" i="16"/>
  <c r="F394" i="16"/>
  <c r="E394" i="16"/>
  <c r="D394" i="16"/>
  <c r="C394" i="16"/>
  <c r="B394" i="16"/>
  <c r="A394" i="16"/>
  <c r="J393" i="16"/>
  <c r="H393" i="16"/>
  <c r="G393" i="16"/>
  <c r="F393" i="16"/>
  <c r="E393" i="16"/>
  <c r="D393" i="16"/>
  <c r="C393" i="16"/>
  <c r="B393" i="16"/>
  <c r="A393" i="16"/>
  <c r="J392" i="16"/>
  <c r="H392" i="16"/>
  <c r="G392" i="16"/>
  <c r="F392" i="16"/>
  <c r="E392" i="16"/>
  <c r="D392" i="16"/>
  <c r="C392" i="16"/>
  <c r="B392" i="16"/>
  <c r="A392" i="16"/>
  <c r="J391" i="16"/>
  <c r="H391" i="16"/>
  <c r="G391" i="16"/>
  <c r="F391" i="16"/>
  <c r="E391" i="16"/>
  <c r="D391" i="16"/>
  <c r="C391" i="16"/>
  <c r="B391" i="16"/>
  <c r="A391" i="16"/>
  <c r="J390" i="16"/>
  <c r="H390" i="16"/>
  <c r="G390" i="16"/>
  <c r="F390" i="16"/>
  <c r="E390" i="16"/>
  <c r="D390" i="16"/>
  <c r="C390" i="16"/>
  <c r="B390" i="16"/>
  <c r="A390" i="16"/>
  <c r="J389" i="16"/>
  <c r="H389" i="16"/>
  <c r="G389" i="16"/>
  <c r="F389" i="16"/>
  <c r="E389" i="16"/>
  <c r="D389" i="16"/>
  <c r="C389" i="16"/>
  <c r="B389" i="16"/>
  <c r="A389" i="16"/>
  <c r="J388" i="16"/>
  <c r="H388" i="16"/>
  <c r="G388" i="16"/>
  <c r="F388" i="16"/>
  <c r="E388" i="16"/>
  <c r="D388" i="16"/>
  <c r="C388" i="16"/>
  <c r="B388" i="16"/>
  <c r="A388" i="16"/>
  <c r="J387" i="16"/>
  <c r="H387" i="16"/>
  <c r="G387" i="16"/>
  <c r="F387" i="16"/>
  <c r="E387" i="16"/>
  <c r="D387" i="16"/>
  <c r="C387" i="16"/>
  <c r="B387" i="16"/>
  <c r="A387" i="16"/>
  <c r="J386" i="16"/>
  <c r="H386" i="16"/>
  <c r="G386" i="16"/>
  <c r="F386" i="16"/>
  <c r="E386" i="16"/>
  <c r="D386" i="16"/>
  <c r="C386" i="16"/>
  <c r="B386" i="16"/>
  <c r="A386" i="16"/>
  <c r="J385" i="16"/>
  <c r="H385" i="16"/>
  <c r="G385" i="16"/>
  <c r="F385" i="16"/>
  <c r="E385" i="16"/>
  <c r="D385" i="16"/>
  <c r="C385" i="16"/>
  <c r="B385" i="16"/>
  <c r="A385" i="16"/>
  <c r="J384" i="16"/>
  <c r="H384" i="16"/>
  <c r="G384" i="16"/>
  <c r="F384" i="16"/>
  <c r="E384" i="16"/>
  <c r="D384" i="16"/>
  <c r="C384" i="16"/>
  <c r="B384" i="16"/>
  <c r="A384" i="16"/>
  <c r="J383" i="16"/>
  <c r="H383" i="16"/>
  <c r="G383" i="16"/>
  <c r="F383" i="16"/>
  <c r="E383" i="16"/>
  <c r="D383" i="16"/>
  <c r="C383" i="16"/>
  <c r="B383" i="16"/>
  <c r="A383" i="16"/>
  <c r="J382" i="16"/>
  <c r="H382" i="16"/>
  <c r="G382" i="16"/>
  <c r="F382" i="16"/>
  <c r="E382" i="16"/>
  <c r="D382" i="16"/>
  <c r="C382" i="16"/>
  <c r="B382" i="16"/>
  <c r="A382" i="16"/>
  <c r="J381" i="16"/>
  <c r="H381" i="16"/>
  <c r="G381" i="16"/>
  <c r="F381" i="16"/>
  <c r="E381" i="16"/>
  <c r="D381" i="16"/>
  <c r="C381" i="16"/>
  <c r="B381" i="16"/>
  <c r="A381" i="16"/>
  <c r="J380" i="16"/>
  <c r="H380" i="16"/>
  <c r="G380" i="16"/>
  <c r="F380" i="16"/>
  <c r="E380" i="16"/>
  <c r="D380" i="16"/>
  <c r="C380" i="16"/>
  <c r="B380" i="16"/>
  <c r="A380" i="16"/>
  <c r="J379" i="16"/>
  <c r="H379" i="16"/>
  <c r="G379" i="16"/>
  <c r="F379" i="16"/>
  <c r="E379" i="16"/>
  <c r="D379" i="16"/>
  <c r="C379" i="16"/>
  <c r="B379" i="16"/>
  <c r="A379" i="16"/>
  <c r="J378" i="16"/>
  <c r="H378" i="16"/>
  <c r="G378" i="16"/>
  <c r="F378" i="16"/>
  <c r="E378" i="16"/>
  <c r="D378" i="16"/>
  <c r="C378" i="16"/>
  <c r="B378" i="16"/>
  <c r="A378" i="16"/>
  <c r="J377" i="16"/>
  <c r="H377" i="16"/>
  <c r="G377" i="16"/>
  <c r="F377" i="16"/>
  <c r="E377" i="16"/>
  <c r="D377" i="16"/>
  <c r="C377" i="16"/>
  <c r="B377" i="16"/>
  <c r="A377" i="16"/>
  <c r="J376" i="16"/>
  <c r="H376" i="16"/>
  <c r="G376" i="16"/>
  <c r="F376" i="16"/>
  <c r="E376" i="16"/>
  <c r="D376" i="16"/>
  <c r="C376" i="16"/>
  <c r="B376" i="16"/>
  <c r="A376" i="16"/>
  <c r="J375" i="16"/>
  <c r="H375" i="16"/>
  <c r="G375" i="16"/>
  <c r="F375" i="16"/>
  <c r="E375" i="16"/>
  <c r="D375" i="16"/>
  <c r="C375" i="16"/>
  <c r="B375" i="16"/>
  <c r="A375" i="16"/>
  <c r="J374" i="16"/>
  <c r="H374" i="16"/>
  <c r="G374" i="16"/>
  <c r="F374" i="16"/>
  <c r="E374" i="16"/>
  <c r="D374" i="16"/>
  <c r="C374" i="16"/>
  <c r="B374" i="16"/>
  <c r="A374" i="16"/>
  <c r="J373" i="16"/>
  <c r="H373" i="16"/>
  <c r="G373" i="16"/>
  <c r="F373" i="16"/>
  <c r="E373" i="16"/>
  <c r="D373" i="16"/>
  <c r="C373" i="16"/>
  <c r="B373" i="16"/>
  <c r="A373" i="16"/>
  <c r="J372" i="16"/>
  <c r="H372" i="16"/>
  <c r="G372" i="16"/>
  <c r="F372" i="16"/>
  <c r="E372" i="16"/>
  <c r="D372" i="16"/>
  <c r="C372" i="16"/>
  <c r="B372" i="16"/>
  <c r="A372" i="16"/>
  <c r="J371" i="16"/>
  <c r="H371" i="16"/>
  <c r="G371" i="16"/>
  <c r="F371" i="16"/>
  <c r="E371" i="16"/>
  <c r="D371" i="16"/>
  <c r="C371" i="16"/>
  <c r="B371" i="16"/>
  <c r="A371" i="16"/>
  <c r="J370" i="16"/>
  <c r="H370" i="16"/>
  <c r="G370" i="16"/>
  <c r="F370" i="16"/>
  <c r="E370" i="16"/>
  <c r="D370" i="16"/>
  <c r="C370" i="16"/>
  <c r="B370" i="16"/>
  <c r="A370" i="16"/>
  <c r="J369" i="16"/>
  <c r="H369" i="16"/>
  <c r="G369" i="16"/>
  <c r="F369" i="16"/>
  <c r="E369" i="16"/>
  <c r="D369" i="16"/>
  <c r="C369" i="16"/>
  <c r="B369" i="16"/>
  <c r="A369" i="16"/>
  <c r="J368" i="16"/>
  <c r="H368" i="16"/>
  <c r="G368" i="16"/>
  <c r="F368" i="16"/>
  <c r="E368" i="16"/>
  <c r="D368" i="16"/>
  <c r="C368" i="16"/>
  <c r="B368" i="16"/>
  <c r="A368" i="16"/>
  <c r="J367" i="16"/>
  <c r="F367" i="16"/>
  <c r="E367" i="16"/>
  <c r="D367" i="16"/>
  <c r="C367" i="16"/>
  <c r="B367" i="16"/>
  <c r="A367" i="16"/>
  <c r="J366" i="16"/>
  <c r="F366" i="16"/>
  <c r="E366" i="16"/>
  <c r="D366" i="16"/>
  <c r="C366" i="16"/>
  <c r="B366" i="16"/>
  <c r="A366" i="16"/>
  <c r="J365" i="16"/>
  <c r="F365" i="16"/>
  <c r="E365" i="16"/>
  <c r="D365" i="16"/>
  <c r="C365" i="16"/>
  <c r="B365" i="16"/>
  <c r="A365" i="16"/>
  <c r="J364" i="16"/>
  <c r="F364" i="16"/>
  <c r="E364" i="16"/>
  <c r="D364" i="16"/>
  <c r="C364" i="16"/>
  <c r="B364" i="16"/>
  <c r="A364" i="16"/>
  <c r="J363" i="16"/>
  <c r="F363" i="16"/>
  <c r="E363" i="16"/>
  <c r="D363" i="16"/>
  <c r="C363" i="16"/>
  <c r="B363" i="16"/>
  <c r="A363" i="16"/>
  <c r="J362" i="16"/>
  <c r="F362" i="16"/>
  <c r="E362" i="16"/>
  <c r="D362" i="16"/>
  <c r="C362" i="16"/>
  <c r="B362" i="16"/>
  <c r="A362" i="16"/>
  <c r="J361" i="16"/>
  <c r="F361" i="16"/>
  <c r="E361" i="16"/>
  <c r="D361" i="16"/>
  <c r="C361" i="16"/>
  <c r="B361" i="16"/>
  <c r="A361" i="16"/>
  <c r="J360" i="16"/>
  <c r="F360" i="16"/>
  <c r="E360" i="16"/>
  <c r="D360" i="16"/>
  <c r="C360" i="16"/>
  <c r="B360" i="16"/>
  <c r="A360" i="16"/>
  <c r="J359" i="16"/>
  <c r="F359" i="16"/>
  <c r="E359" i="16"/>
  <c r="D359" i="16"/>
  <c r="C359" i="16"/>
  <c r="B359" i="16"/>
  <c r="A359" i="16"/>
  <c r="J358" i="16"/>
  <c r="F358" i="16"/>
  <c r="E358" i="16"/>
  <c r="D358" i="16"/>
  <c r="C358" i="16"/>
  <c r="B358" i="16"/>
  <c r="A358" i="16"/>
  <c r="J357" i="16"/>
  <c r="F357" i="16"/>
  <c r="E357" i="16"/>
  <c r="D357" i="16"/>
  <c r="C357" i="16"/>
  <c r="B357" i="16"/>
  <c r="A357" i="16"/>
  <c r="J356" i="16"/>
  <c r="F356" i="16"/>
  <c r="E356" i="16"/>
  <c r="D356" i="16"/>
  <c r="C356" i="16"/>
  <c r="B356" i="16"/>
  <c r="A356" i="16"/>
  <c r="J355" i="16"/>
  <c r="F355" i="16"/>
  <c r="E355" i="16"/>
  <c r="D355" i="16"/>
  <c r="C355" i="16"/>
  <c r="B355" i="16"/>
  <c r="A355" i="16"/>
  <c r="J354" i="16"/>
  <c r="F354" i="16"/>
  <c r="E354" i="16"/>
  <c r="D354" i="16"/>
  <c r="C354" i="16"/>
  <c r="B354" i="16"/>
  <c r="A354" i="16"/>
  <c r="J353" i="16"/>
  <c r="F353" i="16"/>
  <c r="E353" i="16"/>
  <c r="D353" i="16"/>
  <c r="C353" i="16"/>
  <c r="B353" i="16"/>
  <c r="A353" i="16"/>
  <c r="J352" i="16"/>
  <c r="F352" i="16"/>
  <c r="E352" i="16"/>
  <c r="D352" i="16"/>
  <c r="C352" i="16"/>
  <c r="B352" i="16"/>
  <c r="A352" i="16"/>
  <c r="J351" i="16"/>
  <c r="F351" i="16"/>
  <c r="E351" i="16"/>
  <c r="D351" i="16"/>
  <c r="C351" i="16"/>
  <c r="B351" i="16"/>
  <c r="A351" i="16"/>
  <c r="J350" i="16"/>
  <c r="F350" i="16"/>
  <c r="E350" i="16"/>
  <c r="D350" i="16"/>
  <c r="C350" i="16"/>
  <c r="B350" i="16"/>
  <c r="A350" i="16"/>
  <c r="J349" i="16"/>
  <c r="F349" i="16"/>
  <c r="E349" i="16"/>
  <c r="D349" i="16"/>
  <c r="C349" i="16"/>
  <c r="B349" i="16"/>
  <c r="A349" i="16"/>
  <c r="J348" i="16"/>
  <c r="F348" i="16"/>
  <c r="E348" i="16"/>
  <c r="D348" i="16"/>
  <c r="C348" i="16"/>
  <c r="B348" i="16"/>
  <c r="A348" i="16"/>
  <c r="J347" i="16"/>
  <c r="F347" i="16"/>
  <c r="E347" i="16"/>
  <c r="D347" i="16"/>
  <c r="C347" i="16"/>
  <c r="B347" i="16"/>
  <c r="A347" i="16"/>
  <c r="J346" i="16"/>
  <c r="F346" i="16"/>
  <c r="E346" i="16"/>
  <c r="D346" i="16"/>
  <c r="C346" i="16"/>
  <c r="B346" i="16"/>
  <c r="A346" i="16"/>
  <c r="J345" i="16"/>
  <c r="F345" i="16"/>
  <c r="E345" i="16"/>
  <c r="D345" i="16"/>
  <c r="C345" i="16"/>
  <c r="B345" i="16"/>
  <c r="A345" i="16"/>
  <c r="J344" i="16"/>
  <c r="F344" i="16"/>
  <c r="E344" i="16"/>
  <c r="D344" i="16"/>
  <c r="C344" i="16"/>
  <c r="B344" i="16"/>
  <c r="A344" i="16"/>
  <c r="J343" i="16"/>
  <c r="F343" i="16"/>
  <c r="E343" i="16"/>
  <c r="D343" i="16"/>
  <c r="C343" i="16"/>
  <c r="B343" i="16"/>
  <c r="A343" i="16"/>
  <c r="J342" i="16"/>
  <c r="F342" i="16"/>
  <c r="E342" i="16"/>
  <c r="D342" i="16"/>
  <c r="C342" i="16"/>
  <c r="B342" i="16"/>
  <c r="A342" i="16"/>
  <c r="J341" i="16"/>
  <c r="F341" i="16"/>
  <c r="E341" i="16"/>
  <c r="D341" i="16"/>
  <c r="C341" i="16"/>
  <c r="B341" i="16"/>
  <c r="A341" i="16"/>
  <c r="J340" i="16"/>
  <c r="F340" i="16"/>
  <c r="E340" i="16"/>
  <c r="D340" i="16"/>
  <c r="C340" i="16"/>
  <c r="B340" i="16"/>
  <c r="A340" i="16"/>
  <c r="J339" i="16"/>
  <c r="F339" i="16"/>
  <c r="E339" i="16"/>
  <c r="D339" i="16"/>
  <c r="C339" i="16"/>
  <c r="B339" i="16"/>
  <c r="A339" i="16"/>
  <c r="J338" i="16"/>
  <c r="F338" i="16"/>
  <c r="E338" i="16"/>
  <c r="D338" i="16"/>
  <c r="C338" i="16"/>
  <c r="B338" i="16"/>
  <c r="A338" i="16"/>
  <c r="J337" i="16"/>
  <c r="F337" i="16"/>
  <c r="E337" i="16"/>
  <c r="D337" i="16"/>
  <c r="C337" i="16"/>
  <c r="B337" i="16"/>
  <c r="A337" i="16"/>
  <c r="J336" i="16"/>
  <c r="F336" i="16"/>
  <c r="E336" i="16"/>
  <c r="D336" i="16"/>
  <c r="C336" i="16"/>
  <c r="B336" i="16"/>
  <c r="A336" i="16"/>
  <c r="J335" i="16"/>
  <c r="F335" i="16"/>
  <c r="E335" i="16"/>
  <c r="D335" i="16"/>
  <c r="C335" i="16"/>
  <c r="B335" i="16"/>
  <c r="A335" i="16"/>
  <c r="J334" i="16"/>
  <c r="F334" i="16"/>
  <c r="E334" i="16"/>
  <c r="D334" i="16"/>
  <c r="C334" i="16"/>
  <c r="B334" i="16"/>
  <c r="A334" i="16"/>
  <c r="J333" i="16"/>
  <c r="F333" i="16"/>
  <c r="E333" i="16"/>
  <c r="D333" i="16"/>
  <c r="C333" i="16"/>
  <c r="B333" i="16"/>
  <c r="A333" i="16"/>
  <c r="J332" i="16"/>
  <c r="H332" i="16"/>
  <c r="G332" i="16"/>
  <c r="F332" i="16"/>
  <c r="E332" i="16"/>
  <c r="D332" i="16"/>
  <c r="C332" i="16"/>
  <c r="B332" i="16"/>
  <c r="A332" i="16"/>
  <c r="J331" i="16"/>
  <c r="H331" i="16"/>
  <c r="G331" i="16"/>
  <c r="F331" i="16"/>
  <c r="E331" i="16"/>
  <c r="D331" i="16"/>
  <c r="C331" i="16"/>
  <c r="B331" i="16"/>
  <c r="A331" i="16"/>
  <c r="J330" i="16"/>
  <c r="H330" i="16"/>
  <c r="G330" i="16"/>
  <c r="F330" i="16"/>
  <c r="E330" i="16"/>
  <c r="D330" i="16"/>
  <c r="C330" i="16"/>
  <c r="B330" i="16"/>
  <c r="A330" i="16"/>
  <c r="J329" i="16"/>
  <c r="H329" i="16"/>
  <c r="G329" i="16"/>
  <c r="F329" i="16"/>
  <c r="E329" i="16"/>
  <c r="D329" i="16"/>
  <c r="C329" i="16"/>
  <c r="B329" i="16"/>
  <c r="A329" i="16"/>
  <c r="J328" i="16"/>
  <c r="H328" i="16"/>
  <c r="G328" i="16"/>
  <c r="F328" i="16"/>
  <c r="E328" i="16"/>
  <c r="D328" i="16"/>
  <c r="C328" i="16"/>
  <c r="B328" i="16"/>
  <c r="A328" i="16"/>
  <c r="J327" i="16"/>
  <c r="H327" i="16"/>
  <c r="G327" i="16"/>
  <c r="F327" i="16"/>
  <c r="E327" i="16"/>
  <c r="D327" i="16"/>
  <c r="C327" i="16"/>
  <c r="B327" i="16"/>
  <c r="A327" i="16"/>
  <c r="J326" i="16"/>
  <c r="H326" i="16"/>
  <c r="G326" i="16"/>
  <c r="F326" i="16"/>
  <c r="E326" i="16"/>
  <c r="D326" i="16"/>
  <c r="C326" i="16"/>
  <c r="B326" i="16"/>
  <c r="A326" i="16"/>
  <c r="J325" i="16"/>
  <c r="H325" i="16"/>
  <c r="G325" i="16"/>
  <c r="F325" i="16"/>
  <c r="E325" i="16"/>
  <c r="D325" i="16"/>
  <c r="C325" i="16"/>
  <c r="B325" i="16"/>
  <c r="A325" i="16"/>
  <c r="J324" i="16"/>
  <c r="H324" i="16"/>
  <c r="G324" i="16"/>
  <c r="F324" i="16"/>
  <c r="E324" i="16"/>
  <c r="D324" i="16"/>
  <c r="C324" i="16"/>
  <c r="B324" i="16"/>
  <c r="A324" i="16"/>
  <c r="J323" i="16"/>
  <c r="H323" i="16"/>
  <c r="G323" i="16"/>
  <c r="F323" i="16"/>
  <c r="E323" i="16"/>
  <c r="D323" i="16"/>
  <c r="C323" i="16"/>
  <c r="B323" i="16"/>
  <c r="A323" i="16"/>
  <c r="J322" i="16"/>
  <c r="H322" i="16"/>
  <c r="G322" i="16"/>
  <c r="F322" i="16"/>
  <c r="E322" i="16"/>
  <c r="D322" i="16"/>
  <c r="C322" i="16"/>
  <c r="B322" i="16"/>
  <c r="A322" i="16"/>
  <c r="J321" i="16"/>
  <c r="H321" i="16"/>
  <c r="G321" i="16"/>
  <c r="F321" i="16"/>
  <c r="E321" i="16"/>
  <c r="D321" i="16"/>
  <c r="C321" i="16"/>
  <c r="B321" i="16"/>
  <c r="A321" i="16"/>
  <c r="J320" i="16"/>
  <c r="H320" i="16"/>
  <c r="G320" i="16"/>
  <c r="F320" i="16"/>
  <c r="E320" i="16"/>
  <c r="D320" i="16"/>
  <c r="C320" i="16"/>
  <c r="B320" i="16"/>
  <c r="A320" i="16"/>
  <c r="J319" i="16"/>
  <c r="H319" i="16"/>
  <c r="G319" i="16"/>
  <c r="F319" i="16"/>
  <c r="E319" i="16"/>
  <c r="D319" i="16"/>
  <c r="C319" i="16"/>
  <c r="B319" i="16"/>
  <c r="A319" i="16"/>
  <c r="J318" i="16"/>
  <c r="H318" i="16"/>
  <c r="G318" i="16"/>
  <c r="F318" i="16"/>
  <c r="E318" i="16"/>
  <c r="D318" i="16"/>
  <c r="C318" i="16"/>
  <c r="B318" i="16"/>
  <c r="A318" i="16"/>
  <c r="J317" i="16"/>
  <c r="H317" i="16"/>
  <c r="G317" i="16"/>
  <c r="F317" i="16"/>
  <c r="E317" i="16"/>
  <c r="D317" i="16"/>
  <c r="C317" i="16"/>
  <c r="B317" i="16"/>
  <c r="A317" i="16"/>
  <c r="J316" i="16"/>
  <c r="H316" i="16"/>
  <c r="G316" i="16"/>
  <c r="F316" i="16"/>
  <c r="E316" i="16"/>
  <c r="D316" i="16"/>
  <c r="C316" i="16"/>
  <c r="B316" i="16"/>
  <c r="A316" i="16"/>
  <c r="J315" i="16"/>
  <c r="H315" i="16"/>
  <c r="G315" i="16"/>
  <c r="F315" i="16"/>
  <c r="E315" i="16"/>
  <c r="D315" i="16"/>
  <c r="C315" i="16"/>
  <c r="B315" i="16"/>
  <c r="A315" i="16"/>
  <c r="J314" i="16"/>
  <c r="H314" i="16"/>
  <c r="G314" i="16"/>
  <c r="F314" i="16"/>
  <c r="E314" i="16"/>
  <c r="D314" i="16"/>
  <c r="C314" i="16"/>
  <c r="B314" i="16"/>
  <c r="A314" i="16"/>
  <c r="J313" i="16"/>
  <c r="H313" i="16"/>
  <c r="G313" i="16"/>
  <c r="F313" i="16"/>
  <c r="E313" i="16"/>
  <c r="D313" i="16"/>
  <c r="C313" i="16"/>
  <c r="B313" i="16"/>
  <c r="A313" i="16"/>
  <c r="J312" i="16"/>
  <c r="H312" i="16"/>
  <c r="G312" i="16"/>
  <c r="F312" i="16"/>
  <c r="E312" i="16"/>
  <c r="D312" i="16"/>
  <c r="C312" i="16"/>
  <c r="B312" i="16"/>
  <c r="A312" i="16"/>
  <c r="J311" i="16"/>
  <c r="H311" i="16"/>
  <c r="G311" i="16"/>
  <c r="F311" i="16"/>
  <c r="E311" i="16"/>
  <c r="D311" i="16"/>
  <c r="C311" i="16"/>
  <c r="B311" i="16"/>
  <c r="A311" i="16"/>
  <c r="J310" i="16"/>
  <c r="H310" i="16"/>
  <c r="G310" i="16"/>
  <c r="F310" i="16"/>
  <c r="E310" i="16"/>
  <c r="D310" i="16"/>
  <c r="C310" i="16"/>
  <c r="B310" i="16"/>
  <c r="A310" i="16"/>
  <c r="J309" i="16"/>
  <c r="H309" i="16"/>
  <c r="G309" i="16"/>
  <c r="F309" i="16"/>
  <c r="E309" i="16"/>
  <c r="D309" i="16"/>
  <c r="C309" i="16"/>
  <c r="B309" i="16"/>
  <c r="A309" i="16"/>
  <c r="J308" i="16"/>
  <c r="H308" i="16"/>
  <c r="G308" i="16"/>
  <c r="F308" i="16"/>
  <c r="E308" i="16"/>
  <c r="D308" i="16"/>
  <c r="C308" i="16"/>
  <c r="B308" i="16"/>
  <c r="A308" i="16"/>
  <c r="J307" i="16"/>
  <c r="H307" i="16"/>
  <c r="G307" i="16"/>
  <c r="F307" i="16"/>
  <c r="E307" i="16"/>
  <c r="D307" i="16"/>
  <c r="C307" i="16"/>
  <c r="B307" i="16"/>
  <c r="A307" i="16"/>
  <c r="J306" i="16"/>
  <c r="H306" i="16"/>
  <c r="G306" i="16"/>
  <c r="F306" i="16"/>
  <c r="E306" i="16"/>
  <c r="D306" i="16"/>
  <c r="C306" i="16"/>
  <c r="B306" i="16"/>
  <c r="A306" i="16"/>
  <c r="J305" i="16"/>
  <c r="H305" i="16"/>
  <c r="G305" i="16"/>
  <c r="F305" i="16"/>
  <c r="E305" i="16"/>
  <c r="D305" i="16"/>
  <c r="C305" i="16"/>
  <c r="B305" i="16"/>
  <c r="A305" i="16"/>
  <c r="J304" i="16"/>
  <c r="H304" i="16"/>
  <c r="G304" i="16"/>
  <c r="F304" i="16"/>
  <c r="E304" i="16"/>
  <c r="D304" i="16"/>
  <c r="C304" i="16"/>
  <c r="B304" i="16"/>
  <c r="A304" i="16"/>
  <c r="J303" i="16"/>
  <c r="H303" i="16"/>
  <c r="G303" i="16"/>
  <c r="F303" i="16"/>
  <c r="E303" i="16"/>
  <c r="D303" i="16"/>
  <c r="C303" i="16"/>
  <c r="B303" i="16"/>
  <c r="A303" i="16"/>
  <c r="J302" i="16"/>
  <c r="H302" i="16"/>
  <c r="G302" i="16"/>
  <c r="F302" i="16"/>
  <c r="E302" i="16"/>
  <c r="D302" i="16"/>
  <c r="C302" i="16"/>
  <c r="B302" i="16"/>
  <c r="A302" i="16"/>
  <c r="J301" i="16"/>
  <c r="F301" i="16"/>
  <c r="E301" i="16"/>
  <c r="D301" i="16"/>
  <c r="C301" i="16"/>
  <c r="B301" i="16"/>
  <c r="A301" i="16"/>
  <c r="J300" i="16"/>
  <c r="F300" i="16"/>
  <c r="E300" i="16"/>
  <c r="D300" i="16"/>
  <c r="C300" i="16"/>
  <c r="B300" i="16"/>
  <c r="A300" i="16"/>
  <c r="J299" i="16"/>
  <c r="F299" i="16"/>
  <c r="E299" i="16"/>
  <c r="D299" i="16"/>
  <c r="C299" i="16"/>
  <c r="B299" i="16"/>
  <c r="A299" i="16"/>
  <c r="J298" i="16"/>
  <c r="F298" i="16"/>
  <c r="E298" i="16"/>
  <c r="D298" i="16"/>
  <c r="C298" i="16"/>
  <c r="B298" i="16"/>
  <c r="A298" i="16"/>
  <c r="J297" i="16"/>
  <c r="F297" i="16"/>
  <c r="E297" i="16"/>
  <c r="D297" i="16"/>
  <c r="C297" i="16"/>
  <c r="B297" i="16"/>
  <c r="A297" i="16"/>
  <c r="J296" i="16"/>
  <c r="F296" i="16"/>
  <c r="E296" i="16"/>
  <c r="D296" i="16"/>
  <c r="C296" i="16"/>
  <c r="B296" i="16"/>
  <c r="A296" i="16"/>
  <c r="J295" i="16"/>
  <c r="H295" i="16"/>
  <c r="G295" i="16"/>
  <c r="F295" i="16"/>
  <c r="E295" i="16"/>
  <c r="D295" i="16"/>
  <c r="C295" i="16"/>
  <c r="B295" i="16"/>
  <c r="A295" i="16"/>
  <c r="J294" i="16"/>
  <c r="H294" i="16"/>
  <c r="G294" i="16"/>
  <c r="F294" i="16"/>
  <c r="E294" i="16"/>
  <c r="D294" i="16"/>
  <c r="C294" i="16"/>
  <c r="B294" i="16"/>
  <c r="A294" i="16"/>
  <c r="J293" i="16"/>
  <c r="H293" i="16"/>
  <c r="G293" i="16"/>
  <c r="F293" i="16"/>
  <c r="E293" i="16"/>
  <c r="D293" i="16"/>
  <c r="C293" i="16"/>
  <c r="B293" i="16"/>
  <c r="A293" i="16"/>
  <c r="J292" i="16"/>
  <c r="H292" i="16"/>
  <c r="G292" i="16"/>
  <c r="F292" i="16"/>
  <c r="E292" i="16"/>
  <c r="D292" i="16"/>
  <c r="C292" i="16"/>
  <c r="B292" i="16"/>
  <c r="A292" i="16"/>
  <c r="J291" i="16"/>
  <c r="H291" i="16"/>
  <c r="G291" i="16"/>
  <c r="F291" i="16"/>
  <c r="E291" i="16"/>
  <c r="D291" i="16"/>
  <c r="C291" i="16"/>
  <c r="B291" i="16"/>
  <c r="A291" i="16"/>
  <c r="J290" i="16"/>
  <c r="H290" i="16"/>
  <c r="G290" i="16"/>
  <c r="F290" i="16"/>
  <c r="E290" i="16"/>
  <c r="D290" i="16"/>
  <c r="C290" i="16"/>
  <c r="B290" i="16"/>
  <c r="A290" i="16"/>
  <c r="J289" i="16"/>
  <c r="H289" i="16"/>
  <c r="G289" i="16"/>
  <c r="F289" i="16"/>
  <c r="E289" i="16"/>
  <c r="D289" i="16"/>
  <c r="C289" i="16"/>
  <c r="B289" i="16"/>
  <c r="A289" i="16"/>
  <c r="J288" i="16"/>
  <c r="H288" i="16"/>
  <c r="G288" i="16"/>
  <c r="F288" i="16"/>
  <c r="E288" i="16"/>
  <c r="D288" i="16"/>
  <c r="C288" i="16"/>
  <c r="B288" i="16"/>
  <c r="A288" i="16"/>
  <c r="J287" i="16"/>
  <c r="H287" i="16"/>
  <c r="G287" i="16"/>
  <c r="F287" i="16"/>
  <c r="E287" i="16"/>
  <c r="D287" i="16"/>
  <c r="C287" i="16"/>
  <c r="B287" i="16"/>
  <c r="A287" i="16"/>
  <c r="J286" i="16"/>
  <c r="H286" i="16"/>
  <c r="G286" i="16"/>
  <c r="F286" i="16"/>
  <c r="E286" i="16"/>
  <c r="D286" i="16"/>
  <c r="C286" i="16"/>
  <c r="B286" i="16"/>
  <c r="A286" i="16"/>
  <c r="J285" i="16"/>
  <c r="H285" i="16"/>
  <c r="G285" i="16"/>
  <c r="F285" i="16"/>
  <c r="E285" i="16"/>
  <c r="D285" i="16"/>
  <c r="C285" i="16"/>
  <c r="B285" i="16"/>
  <c r="A285" i="16"/>
  <c r="J284" i="16"/>
  <c r="H284" i="16"/>
  <c r="G284" i="16"/>
  <c r="F284" i="16"/>
  <c r="E284" i="16"/>
  <c r="D284" i="16"/>
  <c r="C284" i="16"/>
  <c r="B284" i="16"/>
  <c r="A284" i="16"/>
  <c r="J283" i="16"/>
  <c r="H283" i="16"/>
  <c r="G283" i="16"/>
  <c r="F283" i="16"/>
  <c r="E283" i="16"/>
  <c r="D283" i="16"/>
  <c r="C283" i="16"/>
  <c r="B283" i="16"/>
  <c r="A283" i="16"/>
  <c r="J282" i="16"/>
  <c r="H282" i="16"/>
  <c r="G282" i="16"/>
  <c r="F282" i="16"/>
  <c r="E282" i="16"/>
  <c r="D282" i="16"/>
  <c r="C282" i="16"/>
  <c r="B282" i="16"/>
  <c r="A282" i="16"/>
  <c r="J281" i="16"/>
  <c r="H281" i="16"/>
  <c r="G281" i="16"/>
  <c r="F281" i="16"/>
  <c r="E281" i="16"/>
  <c r="D281" i="16"/>
  <c r="C281" i="16"/>
  <c r="B281" i="16"/>
  <c r="A281" i="16"/>
  <c r="J280" i="16"/>
  <c r="H280" i="16"/>
  <c r="G280" i="16"/>
  <c r="F280" i="16"/>
  <c r="E280" i="16"/>
  <c r="D280" i="16"/>
  <c r="C280" i="16"/>
  <c r="B280" i="16"/>
  <c r="A280" i="16"/>
  <c r="J279" i="16"/>
  <c r="H279" i="16"/>
  <c r="G279" i="16"/>
  <c r="F279" i="16"/>
  <c r="E279" i="16"/>
  <c r="D279" i="16"/>
  <c r="C279" i="16"/>
  <c r="B279" i="16"/>
  <c r="A279" i="16"/>
  <c r="J278" i="16"/>
  <c r="H278" i="16"/>
  <c r="G278" i="16"/>
  <c r="F278" i="16"/>
  <c r="E278" i="16"/>
  <c r="D278" i="16"/>
  <c r="C278" i="16"/>
  <c r="B278" i="16"/>
  <c r="A278" i="16"/>
  <c r="J277" i="16"/>
  <c r="H277" i="16"/>
  <c r="G277" i="16"/>
  <c r="F277" i="16"/>
  <c r="E277" i="16"/>
  <c r="D277" i="16"/>
  <c r="C277" i="16"/>
  <c r="B277" i="16"/>
  <c r="A277" i="16"/>
  <c r="J276" i="16"/>
  <c r="H276" i="16"/>
  <c r="G276" i="16"/>
  <c r="F276" i="16"/>
  <c r="E276" i="16"/>
  <c r="D276" i="16"/>
  <c r="C276" i="16"/>
  <c r="B276" i="16"/>
  <c r="A276" i="16"/>
  <c r="J275" i="16"/>
  <c r="H275" i="16"/>
  <c r="G275" i="16"/>
  <c r="F275" i="16"/>
  <c r="E275" i="16"/>
  <c r="D275" i="16"/>
  <c r="C275" i="16"/>
  <c r="B275" i="16"/>
  <c r="A275" i="16"/>
  <c r="J274" i="16"/>
  <c r="H274" i="16"/>
  <c r="G274" i="16"/>
  <c r="F274" i="16"/>
  <c r="E274" i="16"/>
  <c r="D274" i="16"/>
  <c r="C274" i="16"/>
  <c r="B274" i="16"/>
  <c r="A274" i="16"/>
  <c r="J273" i="16"/>
  <c r="H273" i="16"/>
  <c r="G273" i="16"/>
  <c r="F273" i="16"/>
  <c r="E273" i="16"/>
  <c r="D273" i="16"/>
  <c r="C273" i="16"/>
  <c r="B273" i="16"/>
  <c r="A273" i="16"/>
  <c r="J272" i="16"/>
  <c r="H272" i="16"/>
  <c r="G272" i="16"/>
  <c r="F272" i="16"/>
  <c r="E272" i="16"/>
  <c r="D272" i="16"/>
  <c r="C272" i="16"/>
  <c r="B272" i="16"/>
  <c r="A272" i="16"/>
  <c r="J271" i="16"/>
  <c r="F271" i="16"/>
  <c r="E271" i="16"/>
  <c r="D271" i="16"/>
  <c r="C271" i="16"/>
  <c r="B271" i="16"/>
  <c r="A271" i="16"/>
  <c r="J270" i="16"/>
  <c r="F270" i="16"/>
  <c r="E270" i="16"/>
  <c r="D270" i="16"/>
  <c r="C270" i="16"/>
  <c r="B270" i="16"/>
  <c r="A270" i="16"/>
  <c r="J269" i="16"/>
  <c r="F269" i="16"/>
  <c r="E269" i="16"/>
  <c r="D269" i="16"/>
  <c r="C269" i="16"/>
  <c r="B269" i="16"/>
  <c r="A269" i="16"/>
  <c r="J268" i="16"/>
  <c r="F268" i="16"/>
  <c r="E268" i="16"/>
  <c r="D268" i="16"/>
  <c r="C268" i="16"/>
  <c r="B268" i="16"/>
  <c r="A268" i="16"/>
  <c r="J267" i="16"/>
  <c r="F267" i="16"/>
  <c r="E267" i="16"/>
  <c r="D267" i="16"/>
  <c r="C267" i="16"/>
  <c r="B267" i="16"/>
  <c r="A267" i="16"/>
  <c r="J266" i="16"/>
  <c r="F266" i="16"/>
  <c r="E266" i="16"/>
  <c r="D266" i="16"/>
  <c r="C266" i="16"/>
  <c r="B266" i="16"/>
  <c r="A266" i="16"/>
  <c r="J265" i="16"/>
  <c r="F265" i="16"/>
  <c r="E265" i="16"/>
  <c r="D265" i="16"/>
  <c r="C265" i="16"/>
  <c r="B265" i="16"/>
  <c r="A265" i="16"/>
  <c r="J264" i="16"/>
  <c r="H264" i="16"/>
  <c r="G264" i="16"/>
  <c r="F264" i="16"/>
  <c r="E264" i="16"/>
  <c r="D264" i="16"/>
  <c r="C264" i="16"/>
  <c r="B264" i="16"/>
  <c r="A264" i="16"/>
  <c r="J263" i="16"/>
  <c r="H263" i="16"/>
  <c r="G263" i="16"/>
  <c r="F263" i="16"/>
  <c r="E263" i="16"/>
  <c r="D263" i="16"/>
  <c r="C263" i="16"/>
  <c r="B263" i="16"/>
  <c r="A263" i="16"/>
  <c r="J262" i="16"/>
  <c r="H262" i="16"/>
  <c r="G262" i="16"/>
  <c r="F262" i="16"/>
  <c r="E262" i="16"/>
  <c r="D262" i="16"/>
  <c r="C262" i="16"/>
  <c r="B262" i="16"/>
  <c r="A262" i="16"/>
  <c r="J261" i="16"/>
  <c r="H261" i="16"/>
  <c r="G261" i="16"/>
  <c r="F261" i="16"/>
  <c r="E261" i="16"/>
  <c r="D261" i="16"/>
  <c r="C261" i="16"/>
  <c r="B261" i="16"/>
  <c r="A261" i="16"/>
  <c r="J260" i="16"/>
  <c r="H260" i="16"/>
  <c r="G260" i="16"/>
  <c r="F260" i="16"/>
  <c r="E260" i="16"/>
  <c r="D260" i="16"/>
  <c r="C260" i="16"/>
  <c r="B260" i="16"/>
  <c r="A260" i="16"/>
  <c r="J259" i="16"/>
  <c r="H259" i="16"/>
  <c r="G259" i="16"/>
  <c r="F259" i="16"/>
  <c r="E259" i="16"/>
  <c r="D259" i="16"/>
  <c r="C259" i="16"/>
  <c r="B259" i="16"/>
  <c r="A259" i="16"/>
  <c r="J258" i="16"/>
  <c r="H258" i="16"/>
  <c r="G258" i="16"/>
  <c r="F258" i="16"/>
  <c r="E258" i="16"/>
  <c r="D258" i="16"/>
  <c r="C258" i="16"/>
  <c r="B258" i="16"/>
  <c r="A258" i="16"/>
  <c r="J257" i="16"/>
  <c r="F257" i="16"/>
  <c r="E257" i="16"/>
  <c r="D257" i="16"/>
  <c r="C257" i="16"/>
  <c r="B257" i="16"/>
  <c r="A257" i="16"/>
  <c r="J256" i="16"/>
  <c r="F256" i="16"/>
  <c r="E256" i="16"/>
  <c r="D256" i="16"/>
  <c r="C256" i="16"/>
  <c r="B256" i="16"/>
  <c r="A256" i="16"/>
  <c r="J255" i="16"/>
  <c r="F255" i="16"/>
  <c r="E255" i="16"/>
  <c r="D255" i="16"/>
  <c r="C255" i="16"/>
  <c r="B255" i="16"/>
  <c r="A255" i="16"/>
  <c r="J254" i="16"/>
  <c r="F254" i="16"/>
  <c r="E254" i="16"/>
  <c r="D254" i="16"/>
  <c r="C254" i="16"/>
  <c r="B254" i="16"/>
  <c r="A254" i="16"/>
  <c r="J253" i="16"/>
  <c r="F253" i="16"/>
  <c r="E253" i="16"/>
  <c r="D253" i="16"/>
  <c r="C253" i="16"/>
  <c r="B253" i="16"/>
  <c r="A253" i="16"/>
  <c r="J252" i="16"/>
  <c r="F252" i="16"/>
  <c r="E252" i="16"/>
  <c r="D252" i="16"/>
  <c r="C252" i="16"/>
  <c r="B252" i="16"/>
  <c r="A252" i="16"/>
  <c r="J251" i="16"/>
  <c r="F251" i="16"/>
  <c r="E251" i="16"/>
  <c r="D251" i="16"/>
  <c r="C251" i="16"/>
  <c r="B251" i="16"/>
  <c r="A251" i="16"/>
  <c r="J250" i="16"/>
  <c r="H250" i="16"/>
  <c r="G250" i="16"/>
  <c r="F250" i="16"/>
  <c r="E250" i="16"/>
  <c r="D250" i="16"/>
  <c r="C250" i="16"/>
  <c r="B250" i="16"/>
  <c r="A250" i="16"/>
  <c r="J249" i="16"/>
  <c r="H249" i="16"/>
  <c r="G249" i="16"/>
  <c r="F249" i="16"/>
  <c r="E249" i="16"/>
  <c r="D249" i="16"/>
  <c r="C249" i="16"/>
  <c r="B249" i="16"/>
  <c r="A249" i="16"/>
  <c r="J248" i="16"/>
  <c r="H248" i="16"/>
  <c r="G248" i="16"/>
  <c r="F248" i="16"/>
  <c r="E248" i="16"/>
  <c r="D248" i="16"/>
  <c r="C248" i="16"/>
  <c r="B248" i="16"/>
  <c r="A248" i="16"/>
  <c r="J247" i="16"/>
  <c r="H247" i="16"/>
  <c r="G247" i="16"/>
  <c r="F247" i="16"/>
  <c r="E247" i="16"/>
  <c r="D247" i="16"/>
  <c r="C247" i="16"/>
  <c r="B247" i="16"/>
  <c r="A247" i="16"/>
  <c r="J246" i="16"/>
  <c r="H246" i="16"/>
  <c r="G246" i="16"/>
  <c r="F246" i="16"/>
  <c r="E246" i="16"/>
  <c r="D246" i="16"/>
  <c r="C246" i="16"/>
  <c r="B246" i="16"/>
  <c r="A246" i="16"/>
  <c r="J245" i="16"/>
  <c r="F245" i="16"/>
  <c r="E245" i="16"/>
  <c r="D245" i="16"/>
  <c r="C245" i="16"/>
  <c r="B245" i="16"/>
  <c r="A245" i="16"/>
  <c r="J244" i="16"/>
  <c r="F244" i="16"/>
  <c r="E244" i="16"/>
  <c r="D244" i="16"/>
  <c r="C244" i="16"/>
  <c r="B244" i="16"/>
  <c r="A244" i="16"/>
  <c r="J243" i="16"/>
  <c r="F243" i="16"/>
  <c r="E243" i="16"/>
  <c r="D243" i="16"/>
  <c r="C243" i="16"/>
  <c r="B243" i="16"/>
  <c r="A243" i="16"/>
  <c r="J242" i="16"/>
  <c r="F242" i="16"/>
  <c r="E242" i="16"/>
  <c r="D242" i="16"/>
  <c r="C242" i="16"/>
  <c r="B242" i="16"/>
  <c r="A242" i="16"/>
  <c r="J241" i="16"/>
  <c r="F241" i="16"/>
  <c r="E241" i="16"/>
  <c r="D241" i="16"/>
  <c r="C241" i="16"/>
  <c r="B241" i="16"/>
  <c r="A241" i="16"/>
  <c r="J240" i="16"/>
  <c r="F240" i="16"/>
  <c r="E240" i="16"/>
  <c r="D240" i="16"/>
  <c r="C240" i="16"/>
  <c r="B240" i="16"/>
  <c r="A240" i="16"/>
  <c r="J239" i="16"/>
  <c r="F239" i="16"/>
  <c r="E239" i="16"/>
  <c r="D239" i="16"/>
  <c r="C239" i="16"/>
  <c r="B239" i="16"/>
  <c r="A239" i="16"/>
  <c r="J238" i="16"/>
  <c r="F238" i="16"/>
  <c r="E238" i="16"/>
  <c r="D238" i="16"/>
  <c r="C238" i="16"/>
  <c r="B238" i="16"/>
  <c r="A238" i="16"/>
  <c r="J237" i="16"/>
  <c r="F237" i="16"/>
  <c r="E237" i="16"/>
  <c r="D237" i="16"/>
  <c r="C237" i="16"/>
  <c r="B237" i="16"/>
  <c r="A237" i="16"/>
  <c r="J236" i="16"/>
  <c r="F236" i="16"/>
  <c r="E236" i="16"/>
  <c r="D236" i="16"/>
  <c r="C236" i="16"/>
  <c r="B236" i="16"/>
  <c r="A236" i="16"/>
  <c r="J235" i="16"/>
  <c r="F235" i="16"/>
  <c r="E235" i="16"/>
  <c r="D235" i="16"/>
  <c r="C235" i="16"/>
  <c r="B235" i="16"/>
  <c r="A235" i="16"/>
  <c r="J234" i="16"/>
  <c r="F234" i="16"/>
  <c r="E234" i="16"/>
  <c r="D234" i="16"/>
  <c r="C234" i="16"/>
  <c r="B234" i="16"/>
  <c r="A234" i="16"/>
  <c r="J233" i="16"/>
  <c r="F233" i="16"/>
  <c r="E233" i="16"/>
  <c r="D233" i="16"/>
  <c r="C233" i="16"/>
  <c r="B233" i="16"/>
  <c r="A233" i="16"/>
  <c r="J232" i="16"/>
  <c r="F232" i="16"/>
  <c r="E232" i="16"/>
  <c r="D232" i="16"/>
  <c r="C232" i="16"/>
  <c r="B232" i="16"/>
  <c r="A232" i="16"/>
  <c r="J231" i="16"/>
  <c r="F231" i="16"/>
  <c r="E231" i="16"/>
  <c r="D231" i="16"/>
  <c r="C231" i="16"/>
  <c r="B231" i="16"/>
  <c r="A231" i="16"/>
  <c r="J230" i="16"/>
  <c r="F230" i="16"/>
  <c r="E230" i="16"/>
  <c r="D230" i="16"/>
  <c r="C230" i="16"/>
  <c r="B230" i="16"/>
  <c r="A230" i="16"/>
  <c r="J229" i="16"/>
  <c r="F229" i="16"/>
  <c r="E229" i="16"/>
  <c r="D229" i="16"/>
  <c r="C229" i="16"/>
  <c r="B229" i="16"/>
  <c r="A229" i="16"/>
  <c r="J228" i="16"/>
  <c r="F228" i="16"/>
  <c r="E228" i="16"/>
  <c r="D228" i="16"/>
  <c r="C228" i="16"/>
  <c r="B228" i="16"/>
  <c r="A228" i="16"/>
  <c r="J227" i="16"/>
  <c r="F227" i="16"/>
  <c r="E227" i="16"/>
  <c r="D227" i="16"/>
  <c r="C227" i="16"/>
  <c r="B227" i="16"/>
  <c r="A227" i="16"/>
  <c r="J226" i="16"/>
  <c r="F226" i="16"/>
  <c r="E226" i="16"/>
  <c r="D226" i="16"/>
  <c r="C226" i="16"/>
  <c r="B226" i="16"/>
  <c r="A226" i="16"/>
  <c r="J225" i="16"/>
  <c r="F225" i="16"/>
  <c r="E225" i="16"/>
  <c r="D225" i="16"/>
  <c r="C225" i="16"/>
  <c r="B225" i="16"/>
  <c r="A225" i="16"/>
  <c r="J224" i="16"/>
  <c r="H224" i="16"/>
  <c r="G224" i="16"/>
  <c r="F224" i="16"/>
  <c r="E224" i="16"/>
  <c r="D224" i="16"/>
  <c r="C224" i="16"/>
  <c r="B224" i="16"/>
  <c r="A224" i="16"/>
  <c r="J223" i="16"/>
  <c r="H223" i="16"/>
  <c r="G223" i="16"/>
  <c r="F223" i="16"/>
  <c r="E223" i="16"/>
  <c r="D223" i="16"/>
  <c r="C223" i="16"/>
  <c r="B223" i="16"/>
  <c r="A223" i="16"/>
  <c r="J222" i="16"/>
  <c r="H222" i="16"/>
  <c r="G222" i="16"/>
  <c r="F222" i="16"/>
  <c r="E222" i="16"/>
  <c r="D222" i="16"/>
  <c r="C222" i="16"/>
  <c r="B222" i="16"/>
  <c r="A222" i="16"/>
  <c r="J221" i="16"/>
  <c r="H221" i="16"/>
  <c r="G221" i="16"/>
  <c r="F221" i="16"/>
  <c r="E221" i="16"/>
  <c r="D221" i="16"/>
  <c r="C221" i="16"/>
  <c r="B221" i="16"/>
  <c r="A221" i="16"/>
  <c r="J220" i="16"/>
  <c r="H220" i="16"/>
  <c r="G220" i="16"/>
  <c r="F220" i="16"/>
  <c r="E220" i="16"/>
  <c r="D220" i="16"/>
  <c r="C220" i="16"/>
  <c r="B220" i="16"/>
  <c r="A220" i="16"/>
  <c r="J219" i="16"/>
  <c r="H219" i="16"/>
  <c r="G219" i="16"/>
  <c r="F219" i="16"/>
  <c r="E219" i="16"/>
  <c r="D219" i="16"/>
  <c r="C219" i="16"/>
  <c r="B219" i="16"/>
  <c r="A219" i="16"/>
  <c r="J218" i="16"/>
  <c r="H218" i="16"/>
  <c r="G218" i="16"/>
  <c r="F218" i="16"/>
  <c r="E218" i="16"/>
  <c r="D218" i="16"/>
  <c r="C218" i="16"/>
  <c r="B218" i="16"/>
  <c r="A218" i="16"/>
  <c r="J217" i="16"/>
  <c r="H217" i="16"/>
  <c r="G217" i="16"/>
  <c r="F217" i="16"/>
  <c r="E217" i="16"/>
  <c r="D217" i="16"/>
  <c r="C217" i="16"/>
  <c r="B217" i="16"/>
  <c r="A217" i="16"/>
  <c r="J216" i="16"/>
  <c r="H216" i="16"/>
  <c r="G216" i="16"/>
  <c r="F216" i="16"/>
  <c r="E216" i="16"/>
  <c r="D216" i="16"/>
  <c r="C216" i="16"/>
  <c r="B216" i="16"/>
  <c r="A216" i="16"/>
  <c r="J215" i="16"/>
  <c r="H215" i="16"/>
  <c r="G215" i="16"/>
  <c r="F215" i="16"/>
  <c r="E215" i="16"/>
  <c r="D215" i="16"/>
  <c r="C215" i="16"/>
  <c r="B215" i="16"/>
  <c r="A215" i="16"/>
  <c r="J214" i="16"/>
  <c r="H214" i="16"/>
  <c r="G214" i="16"/>
  <c r="F214" i="16"/>
  <c r="E214" i="16"/>
  <c r="D214" i="16"/>
  <c r="C214" i="16"/>
  <c r="B214" i="16"/>
  <c r="A214" i="16"/>
  <c r="J213" i="16"/>
  <c r="H213" i="16"/>
  <c r="G213" i="16"/>
  <c r="F213" i="16"/>
  <c r="E213" i="16"/>
  <c r="D213" i="16"/>
  <c r="C213" i="16"/>
  <c r="B213" i="16"/>
  <c r="A213" i="16"/>
  <c r="J212" i="16"/>
  <c r="H212" i="16"/>
  <c r="G212" i="16"/>
  <c r="F212" i="16"/>
  <c r="E212" i="16"/>
  <c r="D212" i="16"/>
  <c r="C212" i="16"/>
  <c r="B212" i="16"/>
  <c r="A212" i="16"/>
  <c r="J211" i="16"/>
  <c r="H211" i="16"/>
  <c r="G211" i="16"/>
  <c r="F211" i="16"/>
  <c r="E211" i="16"/>
  <c r="D211" i="16"/>
  <c r="C211" i="16"/>
  <c r="B211" i="16"/>
  <c r="A211" i="16"/>
  <c r="J210" i="16"/>
  <c r="H210" i="16"/>
  <c r="G210" i="16"/>
  <c r="F210" i="16"/>
  <c r="E210" i="16"/>
  <c r="D210" i="16"/>
  <c r="C210" i="16"/>
  <c r="B210" i="16"/>
  <c r="A210" i="16"/>
  <c r="J209" i="16"/>
  <c r="H209" i="16"/>
  <c r="G209" i="16"/>
  <c r="F209" i="16"/>
  <c r="E209" i="16"/>
  <c r="D209" i="16"/>
  <c r="C209" i="16"/>
  <c r="B209" i="16"/>
  <c r="A209" i="16"/>
  <c r="J208" i="16"/>
  <c r="H208" i="16"/>
  <c r="G208" i="16"/>
  <c r="F208" i="16"/>
  <c r="E208" i="16"/>
  <c r="D208" i="16"/>
  <c r="C208" i="16"/>
  <c r="B208" i="16"/>
  <c r="A208" i="16"/>
  <c r="J207" i="16"/>
  <c r="H207" i="16"/>
  <c r="G207" i="16"/>
  <c r="F207" i="16"/>
  <c r="E207" i="16"/>
  <c r="D207" i="16"/>
  <c r="C207" i="16"/>
  <c r="B207" i="16"/>
  <c r="A207" i="16"/>
  <c r="J206" i="16"/>
  <c r="H206" i="16"/>
  <c r="G206" i="16"/>
  <c r="F206" i="16"/>
  <c r="E206" i="16"/>
  <c r="D206" i="16"/>
  <c r="C206" i="16"/>
  <c r="B206" i="16"/>
  <c r="A206" i="16"/>
  <c r="J205" i="16"/>
  <c r="H205" i="16"/>
  <c r="G205" i="16"/>
  <c r="F205" i="16"/>
  <c r="E205" i="16"/>
  <c r="D205" i="16"/>
  <c r="C205" i="16"/>
  <c r="B205" i="16"/>
  <c r="A205" i="16"/>
  <c r="J204" i="16"/>
  <c r="H204" i="16"/>
  <c r="G204" i="16"/>
  <c r="F204" i="16"/>
  <c r="E204" i="16"/>
  <c r="D204" i="16"/>
  <c r="C204" i="16"/>
  <c r="B204" i="16"/>
  <c r="A204" i="16"/>
  <c r="J203" i="16"/>
  <c r="H203" i="16"/>
  <c r="G203" i="16"/>
  <c r="F203" i="16"/>
  <c r="E203" i="16"/>
  <c r="D203" i="16"/>
  <c r="C203" i="16"/>
  <c r="B203" i="16"/>
  <c r="A203" i="16"/>
  <c r="J202" i="16"/>
  <c r="H202" i="16"/>
  <c r="G202" i="16"/>
  <c r="F202" i="16"/>
  <c r="E202" i="16"/>
  <c r="D202" i="16"/>
  <c r="C202" i="16"/>
  <c r="B202" i="16"/>
  <c r="A202" i="16"/>
  <c r="J201" i="16"/>
  <c r="H201" i="16"/>
  <c r="G201" i="16"/>
  <c r="F201" i="16"/>
  <c r="E201" i="16"/>
  <c r="D201" i="16"/>
  <c r="C201" i="16"/>
  <c r="B201" i="16"/>
  <c r="A201" i="16"/>
  <c r="J200" i="16"/>
  <c r="H200" i="16"/>
  <c r="G200" i="16"/>
  <c r="F200" i="16"/>
  <c r="E200" i="16"/>
  <c r="D200" i="16"/>
  <c r="C200" i="16"/>
  <c r="B200" i="16"/>
  <c r="A200" i="16"/>
  <c r="J199" i="16"/>
  <c r="H199" i="16"/>
  <c r="G199" i="16"/>
  <c r="F199" i="16"/>
  <c r="E199" i="16"/>
  <c r="D199" i="16"/>
  <c r="C199" i="16"/>
  <c r="B199" i="16"/>
  <c r="A199" i="16"/>
  <c r="J198" i="16"/>
  <c r="H198" i="16"/>
  <c r="G198" i="16"/>
  <c r="F198" i="16"/>
  <c r="E198" i="16"/>
  <c r="D198" i="16"/>
  <c r="C198" i="16"/>
  <c r="B198" i="16"/>
  <c r="A198" i="16"/>
  <c r="J197" i="16"/>
  <c r="H197" i="16"/>
  <c r="G197" i="16"/>
  <c r="F197" i="16"/>
  <c r="E197" i="16"/>
  <c r="D197" i="16"/>
  <c r="C197" i="16"/>
  <c r="B197" i="16"/>
  <c r="A197" i="16"/>
  <c r="J196" i="16"/>
  <c r="H196" i="16"/>
  <c r="G196" i="16"/>
  <c r="F196" i="16"/>
  <c r="E196" i="16"/>
  <c r="D196" i="16"/>
  <c r="C196" i="16"/>
  <c r="B196" i="16"/>
  <c r="A196" i="16"/>
  <c r="J195" i="16"/>
  <c r="H195" i="16"/>
  <c r="G195" i="16"/>
  <c r="F195" i="16"/>
  <c r="E195" i="16"/>
  <c r="D195" i="16"/>
  <c r="C195" i="16"/>
  <c r="B195" i="16"/>
  <c r="A195" i="16"/>
  <c r="J194" i="16"/>
  <c r="H194" i="16"/>
  <c r="G194" i="16"/>
  <c r="F194" i="16"/>
  <c r="E194" i="16"/>
  <c r="D194" i="16"/>
  <c r="C194" i="16"/>
  <c r="B194" i="16"/>
  <c r="A194" i="16"/>
  <c r="J193" i="16"/>
  <c r="H193" i="16"/>
  <c r="G193" i="16"/>
  <c r="F193" i="16"/>
  <c r="E193" i="16"/>
  <c r="D193" i="16"/>
  <c r="C193" i="16"/>
  <c r="B193" i="16"/>
  <c r="A193" i="16"/>
  <c r="J192" i="16"/>
  <c r="H192" i="16"/>
  <c r="G192" i="16"/>
  <c r="F192" i="16"/>
  <c r="E192" i="16"/>
  <c r="D192" i="16"/>
  <c r="C192" i="16"/>
  <c r="B192" i="16"/>
  <c r="A192" i="16"/>
  <c r="J191" i="16"/>
  <c r="H191" i="16"/>
  <c r="G191" i="16"/>
  <c r="F191" i="16"/>
  <c r="E191" i="16"/>
  <c r="D191" i="16"/>
  <c r="C191" i="16"/>
  <c r="B191" i="16"/>
  <c r="A191" i="16"/>
  <c r="J190" i="16"/>
  <c r="H190" i="16"/>
  <c r="G190" i="16"/>
  <c r="F190" i="16"/>
  <c r="E190" i="16"/>
  <c r="D190" i="16"/>
  <c r="C190" i="16"/>
  <c r="B190" i="16"/>
  <c r="A190" i="16"/>
  <c r="J189" i="16"/>
  <c r="H189" i="16"/>
  <c r="G189" i="16"/>
  <c r="F189" i="16"/>
  <c r="E189" i="16"/>
  <c r="D189" i="16"/>
  <c r="C189" i="16"/>
  <c r="B189" i="16"/>
  <c r="A189" i="16"/>
  <c r="J188" i="16"/>
  <c r="H188" i="16"/>
  <c r="G188" i="16"/>
  <c r="F188" i="16"/>
  <c r="E188" i="16"/>
  <c r="D188" i="16"/>
  <c r="C188" i="16"/>
  <c r="B188" i="16"/>
  <c r="A188" i="16"/>
  <c r="J187" i="16"/>
  <c r="H187" i="16"/>
  <c r="G187" i="16"/>
  <c r="F187" i="16"/>
  <c r="E187" i="16"/>
  <c r="D187" i="16"/>
  <c r="C187" i="16"/>
  <c r="B187" i="16"/>
  <c r="A187" i="16"/>
  <c r="J186" i="16"/>
  <c r="H186" i="16"/>
  <c r="G186" i="16"/>
  <c r="F186" i="16"/>
  <c r="E186" i="16"/>
  <c r="D186" i="16"/>
  <c r="C186" i="16"/>
  <c r="B186" i="16"/>
  <c r="A186" i="16"/>
  <c r="J185" i="16"/>
  <c r="H185" i="16"/>
  <c r="G185" i="16"/>
  <c r="F185" i="16"/>
  <c r="E185" i="16"/>
  <c r="D185" i="16"/>
  <c r="C185" i="16"/>
  <c r="B185" i="16"/>
  <c r="A185" i="16"/>
  <c r="J184" i="16"/>
  <c r="H184" i="16"/>
  <c r="G184" i="16"/>
  <c r="F184" i="16"/>
  <c r="E184" i="16"/>
  <c r="D184" i="16"/>
  <c r="C184" i="16"/>
  <c r="B184" i="16"/>
  <c r="A184" i="16"/>
  <c r="J183" i="16"/>
  <c r="H183" i="16"/>
  <c r="G183" i="16"/>
  <c r="F183" i="16"/>
  <c r="E183" i="16"/>
  <c r="D183" i="16"/>
  <c r="C183" i="16"/>
  <c r="B183" i="16"/>
  <c r="A183" i="16"/>
  <c r="J182" i="16"/>
  <c r="H182" i="16"/>
  <c r="G182" i="16"/>
  <c r="F182" i="16"/>
  <c r="E182" i="16"/>
  <c r="D182" i="16"/>
  <c r="C182" i="16"/>
  <c r="B182" i="16"/>
  <c r="A182" i="16"/>
  <c r="J181" i="16"/>
  <c r="H181" i="16"/>
  <c r="G181" i="16"/>
  <c r="F181" i="16"/>
  <c r="E181" i="16"/>
  <c r="D181" i="16"/>
  <c r="C181" i="16"/>
  <c r="B181" i="16"/>
  <c r="A181" i="16"/>
  <c r="J180" i="16"/>
  <c r="H180" i="16"/>
  <c r="G180" i="16"/>
  <c r="F180" i="16"/>
  <c r="E180" i="16"/>
  <c r="D180" i="16"/>
  <c r="C180" i="16"/>
  <c r="B180" i="16"/>
  <c r="A180" i="16"/>
  <c r="J179" i="16"/>
  <c r="H179" i="16"/>
  <c r="G179" i="16"/>
  <c r="F179" i="16"/>
  <c r="E179" i="16"/>
  <c r="D179" i="16"/>
  <c r="C179" i="16"/>
  <c r="B179" i="16"/>
  <c r="A179" i="16"/>
  <c r="J178" i="16"/>
  <c r="H178" i="16"/>
  <c r="G178" i="16"/>
  <c r="F178" i="16"/>
  <c r="E178" i="16"/>
  <c r="D178" i="16"/>
  <c r="C178" i="16"/>
  <c r="B178" i="16"/>
  <c r="A178" i="16"/>
  <c r="J177" i="16"/>
  <c r="H177" i="16"/>
  <c r="G177" i="16"/>
  <c r="F177" i="16"/>
  <c r="E177" i="16"/>
  <c r="D177" i="16"/>
  <c r="C177" i="16"/>
  <c r="B177" i="16"/>
  <c r="A177" i="16"/>
  <c r="J176" i="16"/>
  <c r="H176" i="16"/>
  <c r="G176" i="16"/>
  <c r="F176" i="16"/>
  <c r="E176" i="16"/>
  <c r="D176" i="16"/>
  <c r="C176" i="16"/>
  <c r="B176" i="16"/>
  <c r="A176" i="16"/>
  <c r="J175" i="16"/>
  <c r="H175" i="16"/>
  <c r="G175" i="16"/>
  <c r="F175" i="16"/>
  <c r="E175" i="16"/>
  <c r="D175" i="16"/>
  <c r="C175" i="16"/>
  <c r="B175" i="16"/>
  <c r="A175" i="16"/>
  <c r="J174" i="16"/>
  <c r="H174" i="16"/>
  <c r="G174" i="16"/>
  <c r="F174" i="16"/>
  <c r="E174" i="16"/>
  <c r="D174" i="16"/>
  <c r="C174" i="16"/>
  <c r="B174" i="16"/>
  <c r="A174" i="16"/>
  <c r="J173" i="16"/>
  <c r="H173" i="16"/>
  <c r="G173" i="16"/>
  <c r="F173" i="16"/>
  <c r="E173" i="16"/>
  <c r="D173" i="16"/>
  <c r="C173" i="16"/>
  <c r="B173" i="16"/>
  <c r="A173" i="16"/>
  <c r="J172" i="16"/>
  <c r="H172" i="16"/>
  <c r="G172" i="16"/>
  <c r="F172" i="16"/>
  <c r="E172" i="16"/>
  <c r="D172" i="16"/>
  <c r="C172" i="16"/>
  <c r="B172" i="16"/>
  <c r="A172" i="16"/>
  <c r="J171" i="16"/>
  <c r="H171" i="16"/>
  <c r="G171" i="16"/>
  <c r="F171" i="16"/>
  <c r="E171" i="16"/>
  <c r="D171" i="16"/>
  <c r="C171" i="16"/>
  <c r="B171" i="16"/>
  <c r="A171" i="16"/>
  <c r="J170" i="16"/>
  <c r="H170" i="16"/>
  <c r="G170" i="16"/>
  <c r="F170" i="16"/>
  <c r="E170" i="16"/>
  <c r="D170" i="16"/>
  <c r="C170" i="16"/>
  <c r="B170" i="16"/>
  <c r="A170" i="16"/>
  <c r="J169" i="16"/>
  <c r="H169" i="16"/>
  <c r="G169" i="16"/>
  <c r="F169" i="16"/>
  <c r="E169" i="16"/>
  <c r="D169" i="16"/>
  <c r="C169" i="16"/>
  <c r="B169" i="16"/>
  <c r="A169" i="16"/>
  <c r="J168" i="16"/>
  <c r="H168" i="16"/>
  <c r="G168" i="16"/>
  <c r="F168" i="16"/>
  <c r="E168" i="16"/>
  <c r="D168" i="16"/>
  <c r="C168" i="16"/>
  <c r="B168" i="16"/>
  <c r="A168" i="16"/>
  <c r="J167" i="16"/>
  <c r="H167" i="16"/>
  <c r="G167" i="16"/>
  <c r="F167" i="16"/>
  <c r="E167" i="16"/>
  <c r="D167" i="16"/>
  <c r="C167" i="16"/>
  <c r="B167" i="16"/>
  <c r="A167" i="16"/>
  <c r="J166" i="16"/>
  <c r="H166" i="16"/>
  <c r="G166" i="16"/>
  <c r="F166" i="16"/>
  <c r="E166" i="16"/>
  <c r="D166" i="16"/>
  <c r="C166" i="16"/>
  <c r="B166" i="16"/>
  <c r="A166" i="16"/>
  <c r="J165" i="16"/>
  <c r="H165" i="16"/>
  <c r="G165" i="16"/>
  <c r="F165" i="16"/>
  <c r="E165" i="16"/>
  <c r="D165" i="16"/>
  <c r="C165" i="16"/>
  <c r="B165" i="16"/>
  <c r="A165" i="16"/>
  <c r="J164" i="16"/>
  <c r="H164" i="16"/>
  <c r="G164" i="16"/>
  <c r="F164" i="16"/>
  <c r="E164" i="16"/>
  <c r="D164" i="16"/>
  <c r="C164" i="16"/>
  <c r="B164" i="16"/>
  <c r="A164" i="16"/>
  <c r="J163" i="16"/>
  <c r="H163" i="16"/>
  <c r="G163" i="16"/>
  <c r="F163" i="16"/>
  <c r="E163" i="16"/>
  <c r="D163" i="16"/>
  <c r="C163" i="16"/>
  <c r="B163" i="16"/>
  <c r="A163" i="16"/>
  <c r="J162" i="16"/>
  <c r="H162" i="16"/>
  <c r="G162" i="16"/>
  <c r="F162" i="16"/>
  <c r="E162" i="16"/>
  <c r="D162" i="16"/>
  <c r="C162" i="16"/>
  <c r="B162" i="16"/>
  <c r="A162" i="16"/>
  <c r="J161" i="16"/>
  <c r="H161" i="16"/>
  <c r="G161" i="16"/>
  <c r="F161" i="16"/>
  <c r="E161" i="16"/>
  <c r="D161" i="16"/>
  <c r="C161" i="16"/>
  <c r="B161" i="16"/>
  <c r="A161" i="16"/>
  <c r="J160" i="16"/>
  <c r="H160" i="16"/>
  <c r="G160" i="16"/>
  <c r="F160" i="16"/>
  <c r="E160" i="16"/>
  <c r="D160" i="16"/>
  <c r="C160" i="16"/>
  <c r="B160" i="16"/>
  <c r="A160" i="16"/>
  <c r="J159" i="16"/>
  <c r="H159" i="16"/>
  <c r="G159" i="16"/>
  <c r="F159" i="16"/>
  <c r="E159" i="16"/>
  <c r="D159" i="16"/>
  <c r="C159" i="16"/>
  <c r="B159" i="16"/>
  <c r="A159" i="16"/>
  <c r="J158" i="16"/>
  <c r="H158" i="16"/>
  <c r="G158" i="16"/>
  <c r="F158" i="16"/>
  <c r="E158" i="16"/>
  <c r="D158" i="16"/>
  <c r="C158" i="16"/>
  <c r="B158" i="16"/>
  <c r="A158" i="16"/>
  <c r="J157" i="16"/>
  <c r="H157" i="16"/>
  <c r="G157" i="16"/>
  <c r="F157" i="16"/>
  <c r="E157" i="16"/>
  <c r="D157" i="16"/>
  <c r="C157" i="16"/>
  <c r="B157" i="16"/>
  <c r="A157" i="16"/>
  <c r="J156" i="16"/>
  <c r="H156" i="16"/>
  <c r="G156" i="16"/>
  <c r="F156" i="16"/>
  <c r="E156" i="16"/>
  <c r="D156" i="16"/>
  <c r="C156" i="16"/>
  <c r="B156" i="16"/>
  <c r="A156" i="16"/>
  <c r="J155" i="16"/>
  <c r="H155" i="16"/>
  <c r="G155" i="16"/>
  <c r="F155" i="16"/>
  <c r="E155" i="16"/>
  <c r="D155" i="16"/>
  <c r="C155" i="16"/>
  <c r="B155" i="16"/>
  <c r="A155" i="16"/>
  <c r="J154" i="16"/>
  <c r="H154" i="16"/>
  <c r="G154" i="16"/>
  <c r="F154" i="16"/>
  <c r="E154" i="16"/>
  <c r="D154" i="16"/>
  <c r="C154" i="16"/>
  <c r="B154" i="16"/>
  <c r="A154" i="16"/>
  <c r="J153" i="16"/>
  <c r="H153" i="16"/>
  <c r="G153" i="16"/>
  <c r="F153" i="16"/>
  <c r="E153" i="16"/>
  <c r="D153" i="16"/>
  <c r="C153" i="16"/>
  <c r="B153" i="16"/>
  <c r="A153" i="16"/>
  <c r="J152" i="16"/>
  <c r="H152" i="16"/>
  <c r="G152" i="16"/>
  <c r="F152" i="16"/>
  <c r="E152" i="16"/>
  <c r="D152" i="16"/>
  <c r="C152" i="16"/>
  <c r="B152" i="16"/>
  <c r="A152" i="16"/>
  <c r="J151" i="16"/>
  <c r="H151" i="16"/>
  <c r="G151" i="16"/>
  <c r="F151" i="16"/>
  <c r="E151" i="16"/>
  <c r="D151" i="16"/>
  <c r="C151" i="16"/>
  <c r="B151" i="16"/>
  <c r="A151" i="16"/>
  <c r="J150" i="16"/>
  <c r="H150" i="16"/>
  <c r="G150" i="16"/>
  <c r="F150" i="16"/>
  <c r="E150" i="16"/>
  <c r="D150" i="16"/>
  <c r="C150" i="16"/>
  <c r="B150" i="16"/>
  <c r="A150" i="16"/>
  <c r="J149" i="16"/>
  <c r="H149" i="16"/>
  <c r="G149" i="16"/>
  <c r="F149" i="16"/>
  <c r="E149" i="16"/>
  <c r="D149" i="16"/>
  <c r="C149" i="16"/>
  <c r="B149" i="16"/>
  <c r="A149" i="16"/>
  <c r="J148" i="16"/>
  <c r="H148" i="16"/>
  <c r="G148" i="16"/>
  <c r="F148" i="16"/>
  <c r="E148" i="16"/>
  <c r="D148" i="16"/>
  <c r="C148" i="16"/>
  <c r="B148" i="16"/>
  <c r="A148" i="16"/>
  <c r="J147" i="16"/>
  <c r="H147" i="16"/>
  <c r="G147" i="16"/>
  <c r="F147" i="16"/>
  <c r="E147" i="16"/>
  <c r="D147" i="16"/>
  <c r="C147" i="16"/>
  <c r="B147" i="16"/>
  <c r="A147" i="16"/>
  <c r="J146" i="16"/>
  <c r="H146" i="16"/>
  <c r="G146" i="16"/>
  <c r="F146" i="16"/>
  <c r="E146" i="16"/>
  <c r="D146" i="16"/>
  <c r="C146" i="16"/>
  <c r="B146" i="16"/>
  <c r="A146" i="16"/>
  <c r="J145" i="16"/>
  <c r="H145" i="16"/>
  <c r="G145" i="16"/>
  <c r="F145" i="16"/>
  <c r="E145" i="16"/>
  <c r="D145" i="16"/>
  <c r="C145" i="16"/>
  <c r="B145" i="16"/>
  <c r="A145" i="16"/>
  <c r="J144" i="16"/>
  <c r="H144" i="16"/>
  <c r="G144" i="16"/>
  <c r="F144" i="16"/>
  <c r="E144" i="16"/>
  <c r="D144" i="16"/>
  <c r="C144" i="16"/>
  <c r="B144" i="16"/>
  <c r="A144" i="16"/>
  <c r="J143" i="16"/>
  <c r="H143" i="16"/>
  <c r="G143" i="16"/>
  <c r="F143" i="16"/>
  <c r="E143" i="16"/>
  <c r="D143" i="16"/>
  <c r="C143" i="16"/>
  <c r="B143" i="16"/>
  <c r="A143" i="16"/>
  <c r="J142" i="16"/>
  <c r="H142" i="16"/>
  <c r="G142" i="16"/>
  <c r="F142" i="16"/>
  <c r="E142" i="16"/>
  <c r="D142" i="16"/>
  <c r="C142" i="16"/>
  <c r="B142" i="16"/>
  <c r="A142" i="16"/>
  <c r="J141" i="16"/>
  <c r="H141" i="16"/>
  <c r="G141" i="16"/>
  <c r="F141" i="16"/>
  <c r="E141" i="16"/>
  <c r="D141" i="16"/>
  <c r="C141" i="16"/>
  <c r="B141" i="16"/>
  <c r="A141" i="16"/>
  <c r="J140" i="16"/>
  <c r="H140" i="16"/>
  <c r="G140" i="16"/>
  <c r="F140" i="16"/>
  <c r="E140" i="16"/>
  <c r="D140" i="16"/>
  <c r="C140" i="16"/>
  <c r="B140" i="16"/>
  <c r="A140" i="16"/>
  <c r="J139" i="16"/>
  <c r="H139" i="16"/>
  <c r="G139" i="16"/>
  <c r="F139" i="16"/>
  <c r="E139" i="16"/>
  <c r="D139" i="16"/>
  <c r="C139" i="16"/>
  <c r="B139" i="16"/>
  <c r="A139" i="16"/>
  <c r="J138" i="16"/>
  <c r="H138" i="16"/>
  <c r="G138" i="16"/>
  <c r="F138" i="16"/>
  <c r="E138" i="16"/>
  <c r="D138" i="16"/>
  <c r="C138" i="16"/>
  <c r="B138" i="16"/>
  <c r="A138" i="16"/>
  <c r="J137" i="16"/>
  <c r="H137" i="16"/>
  <c r="G137" i="16"/>
  <c r="F137" i="16"/>
  <c r="E137" i="16"/>
  <c r="D137" i="16"/>
  <c r="C137" i="16"/>
  <c r="B137" i="16"/>
  <c r="A137" i="16"/>
  <c r="J136" i="16"/>
  <c r="H136" i="16"/>
  <c r="G136" i="16"/>
  <c r="F136" i="16"/>
  <c r="E136" i="16"/>
  <c r="D136" i="16"/>
  <c r="C136" i="16"/>
  <c r="B136" i="16"/>
  <c r="A136" i="16"/>
  <c r="J135" i="16"/>
  <c r="H135" i="16"/>
  <c r="G135" i="16"/>
  <c r="F135" i="16"/>
  <c r="E135" i="16"/>
  <c r="D135" i="16"/>
  <c r="C135" i="16"/>
  <c r="B135" i="16"/>
  <c r="A135" i="16"/>
  <c r="J134" i="16"/>
  <c r="F134" i="16"/>
  <c r="E134" i="16"/>
  <c r="D134" i="16"/>
  <c r="C134" i="16"/>
  <c r="B134" i="16"/>
  <c r="A134" i="16"/>
  <c r="J133" i="16"/>
  <c r="F133" i="16"/>
  <c r="E133" i="16"/>
  <c r="D133" i="16"/>
  <c r="C133" i="16"/>
  <c r="B133" i="16"/>
  <c r="A133" i="16"/>
  <c r="J132" i="16"/>
  <c r="F132" i="16"/>
  <c r="E132" i="16"/>
  <c r="D132" i="16"/>
  <c r="C132" i="16"/>
  <c r="B132" i="16"/>
  <c r="A132" i="16"/>
  <c r="J131" i="16"/>
  <c r="F131" i="16"/>
  <c r="E131" i="16"/>
  <c r="D131" i="16"/>
  <c r="C131" i="16"/>
  <c r="B131" i="16"/>
  <c r="A131" i="16"/>
  <c r="J130" i="16"/>
  <c r="F130" i="16"/>
  <c r="E130" i="16"/>
  <c r="D130" i="16"/>
  <c r="C130" i="16"/>
  <c r="B130" i="16"/>
  <c r="A130" i="16"/>
  <c r="J129" i="16"/>
  <c r="F129" i="16"/>
  <c r="E129" i="16"/>
  <c r="D129" i="16"/>
  <c r="C129" i="16"/>
  <c r="B129" i="16"/>
  <c r="A129" i="16"/>
  <c r="J128" i="16"/>
  <c r="F128" i="16"/>
  <c r="E128" i="16"/>
  <c r="D128" i="16"/>
  <c r="C128" i="16"/>
  <c r="B128" i="16"/>
  <c r="A128" i="16"/>
  <c r="J127" i="16"/>
  <c r="H127" i="16"/>
  <c r="G127" i="16"/>
  <c r="F127" i="16"/>
  <c r="E127" i="16"/>
  <c r="D127" i="16"/>
  <c r="C127" i="16"/>
  <c r="B127" i="16"/>
  <c r="A127" i="16"/>
  <c r="J126" i="16"/>
  <c r="H126" i="16"/>
  <c r="G126" i="16"/>
  <c r="F126" i="16"/>
  <c r="E126" i="16"/>
  <c r="D126" i="16"/>
  <c r="C126" i="16"/>
  <c r="B126" i="16"/>
  <c r="A126" i="16"/>
  <c r="J125" i="16"/>
  <c r="H125" i="16"/>
  <c r="G125" i="16"/>
  <c r="F125" i="16"/>
  <c r="E125" i="16"/>
  <c r="D125" i="16"/>
  <c r="C125" i="16"/>
  <c r="B125" i="16"/>
  <c r="A125" i="16"/>
  <c r="J124" i="16"/>
  <c r="H124" i="16"/>
  <c r="G124" i="16"/>
  <c r="F124" i="16"/>
  <c r="E124" i="16"/>
  <c r="D124" i="16"/>
  <c r="C124" i="16"/>
  <c r="B124" i="16"/>
  <c r="A124" i="16"/>
  <c r="J123" i="16"/>
  <c r="H123" i="16"/>
  <c r="G123" i="16"/>
  <c r="F123" i="16"/>
  <c r="E123" i="16"/>
  <c r="D123" i="16"/>
  <c r="C123" i="16"/>
  <c r="B123" i="16"/>
  <c r="A123" i="16"/>
  <c r="J122" i="16"/>
  <c r="H122" i="16"/>
  <c r="G122" i="16"/>
  <c r="F122" i="16"/>
  <c r="E122" i="16"/>
  <c r="D122" i="16"/>
  <c r="C122" i="16"/>
  <c r="B122" i="16"/>
  <c r="A122" i="16"/>
  <c r="J121" i="16"/>
  <c r="H121" i="16"/>
  <c r="G121" i="16"/>
  <c r="F121" i="16"/>
  <c r="E121" i="16"/>
  <c r="D121" i="16"/>
  <c r="C121" i="16"/>
  <c r="B121" i="16"/>
  <c r="A121" i="16"/>
  <c r="J120" i="16"/>
  <c r="H120" i="16"/>
  <c r="G120" i="16"/>
  <c r="F120" i="16"/>
  <c r="E120" i="16"/>
  <c r="D120" i="16"/>
  <c r="C120" i="16"/>
  <c r="B120" i="16"/>
  <c r="A120" i="16"/>
  <c r="J119" i="16"/>
  <c r="H119" i="16"/>
  <c r="G119" i="16"/>
  <c r="F119" i="16"/>
  <c r="E119" i="16"/>
  <c r="D119" i="16"/>
  <c r="C119" i="16"/>
  <c r="B119" i="16"/>
  <c r="A119" i="16"/>
  <c r="J118" i="16"/>
  <c r="H118" i="16"/>
  <c r="G118" i="16"/>
  <c r="F118" i="16"/>
  <c r="E118" i="16"/>
  <c r="D118" i="16"/>
  <c r="C118" i="16"/>
  <c r="B118" i="16"/>
  <c r="A118" i="16"/>
  <c r="J117" i="16"/>
  <c r="H117" i="16"/>
  <c r="G117" i="16"/>
  <c r="F117" i="16"/>
  <c r="E117" i="16"/>
  <c r="D117" i="16"/>
  <c r="C117" i="16"/>
  <c r="B117" i="16"/>
  <c r="A117" i="16"/>
  <c r="J116" i="16"/>
  <c r="H116" i="16"/>
  <c r="G116" i="16"/>
  <c r="F116" i="16"/>
  <c r="E116" i="16"/>
  <c r="D116" i="16"/>
  <c r="C116" i="16"/>
  <c r="B116" i="16"/>
  <c r="A116" i="16"/>
  <c r="J115" i="16"/>
  <c r="H115" i="16"/>
  <c r="G115" i="16"/>
  <c r="F115" i="16"/>
  <c r="E115" i="16"/>
  <c r="D115" i="16"/>
  <c r="C115" i="16"/>
  <c r="B115" i="16"/>
  <c r="A115" i="16"/>
  <c r="J114" i="16"/>
  <c r="H114" i="16"/>
  <c r="G114" i="16"/>
  <c r="F114" i="16"/>
  <c r="E114" i="16"/>
  <c r="D114" i="16"/>
  <c r="C114" i="16"/>
  <c r="B114" i="16"/>
  <c r="A114" i="16"/>
  <c r="J113" i="16"/>
  <c r="H113" i="16"/>
  <c r="G113" i="16"/>
  <c r="F113" i="16"/>
  <c r="E113" i="16"/>
  <c r="D113" i="16"/>
  <c r="C113" i="16"/>
  <c r="B113" i="16"/>
  <c r="A113" i="16"/>
  <c r="J112" i="16"/>
  <c r="H112" i="16"/>
  <c r="G112" i="16"/>
  <c r="F112" i="16"/>
  <c r="E112" i="16"/>
  <c r="D112" i="16"/>
  <c r="C112" i="16"/>
  <c r="B112" i="16"/>
  <c r="A112" i="16"/>
  <c r="J111" i="16"/>
  <c r="H111" i="16"/>
  <c r="G111" i="16"/>
  <c r="F111" i="16"/>
  <c r="E111" i="16"/>
  <c r="D111" i="16"/>
  <c r="C111" i="16"/>
  <c r="B111" i="16"/>
  <c r="A111" i="16"/>
  <c r="J110" i="16"/>
  <c r="H110" i="16"/>
  <c r="G110" i="16"/>
  <c r="F110" i="16"/>
  <c r="E110" i="16"/>
  <c r="D110" i="16"/>
  <c r="C110" i="16"/>
  <c r="B110" i="16"/>
  <c r="A110" i="16"/>
  <c r="J109" i="16"/>
  <c r="H109" i="16"/>
  <c r="G109" i="16"/>
  <c r="F109" i="16"/>
  <c r="E109" i="16"/>
  <c r="D109" i="16"/>
  <c r="C109" i="16"/>
  <c r="B109" i="16"/>
  <c r="A109" i="16"/>
  <c r="J108" i="16"/>
  <c r="H108" i="16"/>
  <c r="G108" i="16"/>
  <c r="F108" i="16"/>
  <c r="E108" i="16"/>
  <c r="D108" i="16"/>
  <c r="C108" i="16"/>
  <c r="B108" i="16"/>
  <c r="A108" i="16"/>
  <c r="J107" i="16"/>
  <c r="H107" i="16"/>
  <c r="G107" i="16"/>
  <c r="F107" i="16"/>
  <c r="E107" i="16"/>
  <c r="D107" i="16"/>
  <c r="C107" i="16"/>
  <c r="B107" i="16"/>
  <c r="A107" i="16"/>
  <c r="J106" i="16"/>
  <c r="H106" i="16"/>
  <c r="G106" i="16"/>
  <c r="F106" i="16"/>
  <c r="E106" i="16"/>
  <c r="D106" i="16"/>
  <c r="C106" i="16"/>
  <c r="B106" i="16"/>
  <c r="A106" i="16"/>
  <c r="J105" i="16"/>
  <c r="H105" i="16"/>
  <c r="G105" i="16"/>
  <c r="F105" i="16"/>
  <c r="E105" i="16"/>
  <c r="D105" i="16"/>
  <c r="C105" i="16"/>
  <c r="B105" i="16"/>
  <c r="A105" i="16"/>
  <c r="J104" i="16"/>
  <c r="H104" i="16"/>
  <c r="G104" i="16"/>
  <c r="F104" i="16"/>
  <c r="E104" i="16"/>
  <c r="D104" i="16"/>
  <c r="C104" i="16"/>
  <c r="B104" i="16"/>
  <c r="A104" i="16"/>
  <c r="J103" i="16"/>
  <c r="H103" i="16"/>
  <c r="G103" i="16"/>
  <c r="F103" i="16"/>
  <c r="E103" i="16"/>
  <c r="D103" i="16"/>
  <c r="C103" i="16"/>
  <c r="B103" i="16"/>
  <c r="A103" i="16"/>
  <c r="J102" i="16"/>
  <c r="H102" i="16"/>
  <c r="G102" i="16"/>
  <c r="F102" i="16"/>
  <c r="E102" i="16"/>
  <c r="D102" i="16"/>
  <c r="C102" i="16"/>
  <c r="B102" i="16"/>
  <c r="A102" i="16"/>
  <c r="J101" i="16"/>
  <c r="H101" i="16"/>
  <c r="G101" i="16"/>
  <c r="F101" i="16"/>
  <c r="E101" i="16"/>
  <c r="D101" i="16"/>
  <c r="C101" i="16"/>
  <c r="B101" i="16"/>
  <c r="A101" i="16"/>
  <c r="J100" i="16"/>
  <c r="F100" i="16"/>
  <c r="E100" i="16"/>
  <c r="D100" i="16"/>
  <c r="C100" i="16"/>
  <c r="B100" i="16"/>
  <c r="A100" i="16"/>
  <c r="J99" i="16"/>
  <c r="F99" i="16"/>
  <c r="E99" i="16"/>
  <c r="D99" i="16"/>
  <c r="C99" i="16"/>
  <c r="B99" i="16"/>
  <c r="A99" i="16"/>
  <c r="J98" i="16"/>
  <c r="F98" i="16"/>
  <c r="E98" i="16"/>
  <c r="D98" i="16"/>
  <c r="C98" i="16"/>
  <c r="B98" i="16"/>
  <c r="A98" i="16"/>
  <c r="J97" i="16"/>
  <c r="F97" i="16"/>
  <c r="E97" i="16"/>
  <c r="D97" i="16"/>
  <c r="C97" i="16"/>
  <c r="B97" i="16"/>
  <c r="A97" i="16"/>
  <c r="J96" i="16"/>
  <c r="F96" i="16"/>
  <c r="E96" i="16"/>
  <c r="D96" i="16"/>
  <c r="C96" i="16"/>
  <c r="B96" i="16"/>
  <c r="A96" i="16"/>
  <c r="J95" i="16"/>
  <c r="F95" i="16"/>
  <c r="E95" i="16"/>
  <c r="D95" i="16"/>
  <c r="C95" i="16"/>
  <c r="B95" i="16"/>
  <c r="A95" i="16"/>
  <c r="J94" i="16"/>
  <c r="F94" i="16"/>
  <c r="E94" i="16"/>
  <c r="D94" i="16"/>
  <c r="C94" i="16"/>
  <c r="B94" i="16"/>
  <c r="A94" i="16"/>
  <c r="J93" i="16"/>
  <c r="H93" i="16"/>
  <c r="G93" i="16"/>
  <c r="F93" i="16"/>
  <c r="E93" i="16"/>
  <c r="D93" i="16"/>
  <c r="C93" i="16"/>
  <c r="B93" i="16"/>
  <c r="A93" i="16"/>
  <c r="J92" i="16"/>
  <c r="H92" i="16"/>
  <c r="G92" i="16"/>
  <c r="F92" i="16"/>
  <c r="E92" i="16"/>
  <c r="D92" i="16"/>
  <c r="C92" i="16"/>
  <c r="B92" i="16"/>
  <c r="A92" i="16"/>
  <c r="J91" i="16"/>
  <c r="H91" i="16"/>
  <c r="G91" i="16"/>
  <c r="F91" i="16"/>
  <c r="E91" i="16"/>
  <c r="D91" i="16"/>
  <c r="C91" i="16"/>
  <c r="B91" i="16"/>
  <c r="A91" i="16"/>
  <c r="J90" i="16"/>
  <c r="H90" i="16"/>
  <c r="G90" i="16"/>
  <c r="F90" i="16"/>
  <c r="E90" i="16"/>
  <c r="D90" i="16"/>
  <c r="C90" i="16"/>
  <c r="B90" i="16"/>
  <c r="A90" i="16"/>
  <c r="J89" i="16"/>
  <c r="H89" i="16"/>
  <c r="G89" i="16"/>
  <c r="F89" i="16"/>
  <c r="E89" i="16"/>
  <c r="D89" i="16"/>
  <c r="C89" i="16"/>
  <c r="B89" i="16"/>
  <c r="A89" i="16"/>
  <c r="J88" i="16"/>
  <c r="H88" i="16"/>
  <c r="G88" i="16"/>
  <c r="F88" i="16"/>
  <c r="E88" i="16"/>
  <c r="D88" i="16"/>
  <c r="C88" i="16"/>
  <c r="B88" i="16"/>
  <c r="A88" i="16"/>
  <c r="J87" i="16"/>
  <c r="H87" i="16"/>
  <c r="G87" i="16"/>
  <c r="F87" i="16"/>
  <c r="E87" i="16"/>
  <c r="D87" i="16"/>
  <c r="C87" i="16"/>
  <c r="B87" i="16"/>
  <c r="A87" i="16"/>
  <c r="J86" i="16"/>
  <c r="F86" i="16"/>
  <c r="E86" i="16"/>
  <c r="D86" i="16"/>
  <c r="C86" i="16"/>
  <c r="B86" i="16"/>
  <c r="A86" i="16"/>
  <c r="J85" i="16"/>
  <c r="F85" i="16"/>
  <c r="E85" i="16"/>
  <c r="D85" i="16"/>
  <c r="C85" i="16"/>
  <c r="B85" i="16"/>
  <c r="A85" i="16"/>
  <c r="J84" i="16"/>
  <c r="F84" i="16"/>
  <c r="E84" i="16"/>
  <c r="D84" i="16"/>
  <c r="C84" i="16"/>
  <c r="B84" i="16"/>
  <c r="A84" i="16"/>
  <c r="J83" i="16"/>
  <c r="F83" i="16"/>
  <c r="E83" i="16"/>
  <c r="D83" i="16"/>
  <c r="C83" i="16"/>
  <c r="B83" i="16"/>
  <c r="A83" i="16"/>
  <c r="J82" i="16"/>
  <c r="F82" i="16"/>
  <c r="E82" i="16"/>
  <c r="D82" i="16"/>
  <c r="C82" i="16"/>
  <c r="B82" i="16"/>
  <c r="A82" i="16"/>
  <c r="J81" i="16"/>
  <c r="F81" i="16"/>
  <c r="E81" i="16"/>
  <c r="D81" i="16"/>
  <c r="C81" i="16"/>
  <c r="B81" i="16"/>
  <c r="A81" i="16"/>
  <c r="J80" i="16"/>
  <c r="F80" i="16"/>
  <c r="E80" i="16"/>
  <c r="D80" i="16"/>
  <c r="C80" i="16"/>
  <c r="B80" i="16"/>
  <c r="A80" i="16"/>
  <c r="J79" i="16"/>
  <c r="H79" i="16"/>
  <c r="G79" i="16"/>
  <c r="F79" i="16"/>
  <c r="E79" i="16"/>
  <c r="D79" i="16"/>
  <c r="C79" i="16"/>
  <c r="B79" i="16"/>
  <c r="A79" i="16"/>
  <c r="J78" i="16"/>
  <c r="H78" i="16"/>
  <c r="G78" i="16"/>
  <c r="F78" i="16"/>
  <c r="E78" i="16"/>
  <c r="D78" i="16"/>
  <c r="C78" i="16"/>
  <c r="B78" i="16"/>
  <c r="A78" i="16"/>
  <c r="J77" i="16"/>
  <c r="H77" i="16"/>
  <c r="G77" i="16"/>
  <c r="F77" i="16"/>
  <c r="E77" i="16"/>
  <c r="D77" i="16"/>
  <c r="C77" i="16"/>
  <c r="B77" i="16"/>
  <c r="A77" i="16"/>
  <c r="J76" i="16"/>
  <c r="H76" i="16"/>
  <c r="G76" i="16"/>
  <c r="F76" i="16"/>
  <c r="E76" i="16"/>
  <c r="D76" i="16"/>
  <c r="C76" i="16"/>
  <c r="B76" i="16"/>
  <c r="A76" i="16"/>
  <c r="J75" i="16"/>
  <c r="H75" i="16"/>
  <c r="G75" i="16"/>
  <c r="F75" i="16"/>
  <c r="E75" i="16"/>
  <c r="D75" i="16"/>
  <c r="C75" i="16"/>
  <c r="B75" i="16"/>
  <c r="A75" i="16"/>
  <c r="J74" i="16"/>
  <c r="H74" i="16"/>
  <c r="G74" i="16"/>
  <c r="F74" i="16"/>
  <c r="E74" i="16"/>
  <c r="D74" i="16"/>
  <c r="C74" i="16"/>
  <c r="B74" i="16"/>
  <c r="A74" i="16"/>
  <c r="J73" i="16"/>
  <c r="H73" i="16"/>
  <c r="G73" i="16"/>
  <c r="F73" i="16"/>
  <c r="E73" i="16"/>
  <c r="D73" i="16"/>
  <c r="C73" i="16"/>
  <c r="B73" i="16"/>
  <c r="A73" i="16"/>
  <c r="J72" i="16"/>
  <c r="H72" i="16"/>
  <c r="G72" i="16"/>
  <c r="F72" i="16"/>
  <c r="E72" i="16"/>
  <c r="D72" i="16"/>
  <c r="C72" i="16"/>
  <c r="B72" i="16"/>
  <c r="A72" i="16"/>
  <c r="J71" i="16"/>
  <c r="H71" i="16"/>
  <c r="G71" i="16"/>
  <c r="F71" i="16"/>
  <c r="E71" i="16"/>
  <c r="D71" i="16"/>
  <c r="C71" i="16"/>
  <c r="B71" i="16"/>
  <c r="A71" i="16"/>
  <c r="J70" i="16"/>
  <c r="H70" i="16"/>
  <c r="G70" i="16"/>
  <c r="F70" i="16"/>
  <c r="E70" i="16"/>
  <c r="D70" i="16"/>
  <c r="C70" i="16"/>
  <c r="B70" i="16"/>
  <c r="A70" i="16"/>
  <c r="J69" i="16"/>
  <c r="H69" i="16"/>
  <c r="G69" i="16"/>
  <c r="F69" i="16"/>
  <c r="E69" i="16"/>
  <c r="D69" i="16"/>
  <c r="C69" i="16"/>
  <c r="B69" i="16"/>
  <c r="A69" i="16"/>
  <c r="J68" i="16"/>
  <c r="H68" i="16"/>
  <c r="G68" i="16"/>
  <c r="F68" i="16"/>
  <c r="E68" i="16"/>
  <c r="D68" i="16"/>
  <c r="C68" i="16"/>
  <c r="B68" i="16"/>
  <c r="A68" i="16"/>
  <c r="J67" i="16"/>
  <c r="H67" i="16"/>
  <c r="G67" i="16"/>
  <c r="F67" i="16"/>
  <c r="E67" i="16"/>
  <c r="D67" i="16"/>
  <c r="C67" i="16"/>
  <c r="B67" i="16"/>
  <c r="A67" i="16"/>
  <c r="J66" i="16"/>
  <c r="F66" i="16"/>
  <c r="E66" i="16"/>
  <c r="D66" i="16"/>
  <c r="C66" i="16"/>
  <c r="B66" i="16"/>
  <c r="A66" i="16"/>
  <c r="J65" i="16"/>
  <c r="F65" i="16"/>
  <c r="E65" i="16"/>
  <c r="D65" i="16"/>
  <c r="C65" i="16"/>
  <c r="B65" i="16"/>
  <c r="A65" i="16"/>
  <c r="J64" i="16"/>
  <c r="F64" i="16"/>
  <c r="E64" i="16"/>
  <c r="D64" i="16"/>
  <c r="C64" i="16"/>
  <c r="B64" i="16"/>
  <c r="A64" i="16"/>
  <c r="J63" i="16"/>
  <c r="F63" i="16"/>
  <c r="E63" i="16"/>
  <c r="D63" i="16"/>
  <c r="C63" i="16"/>
  <c r="B63" i="16"/>
  <c r="A63" i="16"/>
  <c r="J62" i="16"/>
  <c r="F62" i="16"/>
  <c r="E62" i="16"/>
  <c r="D62" i="16"/>
  <c r="C62" i="16"/>
  <c r="B62" i="16"/>
  <c r="A62" i="16"/>
  <c r="J61" i="16"/>
  <c r="F61" i="16"/>
  <c r="E61" i="16"/>
  <c r="D61" i="16"/>
  <c r="C61" i="16"/>
  <c r="B61" i="16"/>
  <c r="A61" i="16"/>
  <c r="J60" i="16"/>
  <c r="F60" i="16"/>
  <c r="E60" i="16"/>
  <c r="D60" i="16"/>
  <c r="C60" i="16"/>
  <c r="B60" i="16"/>
  <c r="A60" i="16"/>
  <c r="J59" i="16"/>
  <c r="F59" i="16"/>
  <c r="E59" i="16"/>
  <c r="D59" i="16"/>
  <c r="C59" i="16"/>
  <c r="B59" i="16"/>
  <c r="A59" i="16"/>
  <c r="J58" i="16"/>
  <c r="F58" i="16"/>
  <c r="E58" i="16"/>
  <c r="D58" i="16"/>
  <c r="C58" i="16"/>
  <c r="B58" i="16"/>
  <c r="A58" i="16"/>
  <c r="J57" i="16"/>
  <c r="F57" i="16"/>
  <c r="E57" i="16"/>
  <c r="D57" i="16"/>
  <c r="C57" i="16"/>
  <c r="B57" i="16"/>
  <c r="A57" i="16"/>
  <c r="J56" i="16"/>
  <c r="F56" i="16"/>
  <c r="E56" i="16"/>
  <c r="D56" i="16"/>
  <c r="C56" i="16"/>
  <c r="B56" i="16"/>
  <c r="A56" i="16"/>
  <c r="J55" i="16"/>
  <c r="F55" i="16"/>
  <c r="E55" i="16"/>
  <c r="D55" i="16"/>
  <c r="C55" i="16"/>
  <c r="B55" i="16"/>
  <c r="A55" i="16"/>
  <c r="J54" i="16"/>
  <c r="F54" i="16"/>
  <c r="E54" i="16"/>
  <c r="D54" i="16"/>
  <c r="C54" i="16"/>
  <c r="B54" i="16"/>
  <c r="A54" i="16"/>
  <c r="J53" i="16"/>
  <c r="F53" i="16"/>
  <c r="E53" i="16"/>
  <c r="D53" i="16"/>
  <c r="C53" i="16"/>
  <c r="B53" i="16"/>
  <c r="A53" i="16"/>
  <c r="J52" i="16"/>
  <c r="H52" i="16"/>
  <c r="G52" i="16"/>
  <c r="F52" i="16"/>
  <c r="E52" i="16"/>
  <c r="D52" i="16"/>
  <c r="C52" i="16"/>
  <c r="B52" i="16"/>
  <c r="A52" i="16"/>
  <c r="J51" i="16"/>
  <c r="H51" i="16"/>
  <c r="G51" i="16"/>
  <c r="F51" i="16"/>
  <c r="E51" i="16"/>
  <c r="D51" i="16"/>
  <c r="C51" i="16"/>
  <c r="B51" i="16"/>
  <c r="A51" i="16"/>
  <c r="J50" i="16"/>
  <c r="H50" i="16"/>
  <c r="G50" i="16"/>
  <c r="F50" i="16"/>
  <c r="E50" i="16"/>
  <c r="D50" i="16"/>
  <c r="C50" i="16"/>
  <c r="B50" i="16"/>
  <c r="A50" i="16"/>
  <c r="J49" i="16"/>
  <c r="H49" i="16"/>
  <c r="G49" i="16"/>
  <c r="F49" i="16"/>
  <c r="E49" i="16"/>
  <c r="D49" i="16"/>
  <c r="C49" i="16"/>
  <c r="B49" i="16"/>
  <c r="A49" i="16"/>
  <c r="J48" i="16"/>
  <c r="H48" i="16"/>
  <c r="G48" i="16"/>
  <c r="F48" i="16"/>
  <c r="E48" i="16"/>
  <c r="D48" i="16"/>
  <c r="C48" i="16"/>
  <c r="B48" i="16"/>
  <c r="A48" i="16"/>
  <c r="J47" i="16"/>
  <c r="H47" i="16"/>
  <c r="G47" i="16"/>
  <c r="F47" i="16"/>
  <c r="E47" i="16"/>
  <c r="D47" i="16"/>
  <c r="C47" i="16"/>
  <c r="B47" i="16"/>
  <c r="A47" i="16"/>
  <c r="J46" i="16"/>
  <c r="H46" i="16"/>
  <c r="G46" i="16"/>
  <c r="F46" i="16"/>
  <c r="E46" i="16"/>
  <c r="D46" i="16"/>
  <c r="C46" i="16"/>
  <c r="B46" i="16"/>
  <c r="A46" i="16"/>
  <c r="J45" i="16"/>
  <c r="H45" i="16"/>
  <c r="G45" i="16"/>
  <c r="F45" i="16"/>
  <c r="E45" i="16"/>
  <c r="D45" i="16"/>
  <c r="C45" i="16"/>
  <c r="B45" i="16"/>
  <c r="A45" i="16"/>
  <c r="J44" i="16"/>
  <c r="H44" i="16"/>
  <c r="G44" i="16"/>
  <c r="F44" i="16"/>
  <c r="E44" i="16"/>
  <c r="D44" i="16"/>
  <c r="C44" i="16"/>
  <c r="B44" i="16"/>
  <c r="A44" i="16"/>
  <c r="J43" i="16"/>
  <c r="H43" i="16"/>
  <c r="G43" i="16"/>
  <c r="F43" i="16"/>
  <c r="E43" i="16"/>
  <c r="D43" i="16"/>
  <c r="C43" i="16"/>
  <c r="B43" i="16"/>
  <c r="A43" i="16"/>
  <c r="J42" i="16"/>
  <c r="H42" i="16"/>
  <c r="G42" i="16"/>
  <c r="F42" i="16"/>
  <c r="E42" i="16"/>
  <c r="D42" i="16"/>
  <c r="C42" i="16"/>
  <c r="B42" i="16"/>
  <c r="A42" i="16"/>
  <c r="J41" i="16"/>
  <c r="H41" i="16"/>
  <c r="G41" i="16"/>
  <c r="F41" i="16"/>
  <c r="E41" i="16"/>
  <c r="D41" i="16"/>
  <c r="C41" i="16"/>
  <c r="B41" i="16"/>
  <c r="A41" i="16"/>
  <c r="J40" i="16"/>
  <c r="H40" i="16"/>
  <c r="G40" i="16"/>
  <c r="F40" i="16"/>
  <c r="E40" i="16"/>
  <c r="D40" i="16"/>
  <c r="C40" i="16"/>
  <c r="B40" i="16"/>
  <c r="A40" i="16"/>
  <c r="J39" i="16"/>
  <c r="F39" i="16"/>
  <c r="E39" i="16"/>
  <c r="D39" i="16"/>
  <c r="C39" i="16"/>
  <c r="B39" i="16"/>
  <c r="A39" i="16"/>
  <c r="J38" i="16"/>
  <c r="F38" i="16"/>
  <c r="E38" i="16"/>
  <c r="D38" i="16"/>
  <c r="C38" i="16"/>
  <c r="B38" i="16"/>
  <c r="A38" i="16"/>
  <c r="J37" i="16"/>
  <c r="F37" i="16"/>
  <c r="E37" i="16"/>
  <c r="D37" i="16"/>
  <c r="C37" i="16"/>
  <c r="B37" i="16"/>
  <c r="A37" i="16"/>
  <c r="J36" i="16"/>
  <c r="F36" i="16"/>
  <c r="E36" i="16"/>
  <c r="D36" i="16"/>
  <c r="C36" i="16"/>
  <c r="B36" i="16"/>
  <c r="A36" i="16"/>
  <c r="J35" i="16"/>
  <c r="F35" i="16"/>
  <c r="E35" i="16"/>
  <c r="D35" i="16"/>
  <c r="C35" i="16"/>
  <c r="B35" i="16"/>
  <c r="A35" i="16"/>
  <c r="J34" i="16"/>
  <c r="F34" i="16"/>
  <c r="E34" i="16"/>
  <c r="D34" i="16"/>
  <c r="C34" i="16"/>
  <c r="B34" i="16"/>
  <c r="A34" i="16"/>
  <c r="J33" i="16"/>
  <c r="F33" i="16"/>
  <c r="E33" i="16"/>
  <c r="D33" i="16"/>
  <c r="C33" i="16"/>
  <c r="B33" i="16"/>
  <c r="A33" i="16"/>
  <c r="J32" i="16"/>
  <c r="F32" i="16"/>
  <c r="E32" i="16"/>
  <c r="D32" i="16"/>
  <c r="C32" i="16"/>
  <c r="B32" i="16"/>
  <c r="A32" i="16"/>
  <c r="J31" i="16"/>
  <c r="H31" i="16"/>
  <c r="G31" i="16"/>
  <c r="F31" i="16"/>
  <c r="E31" i="16"/>
  <c r="D31" i="16"/>
  <c r="C31" i="16"/>
  <c r="B31" i="16"/>
  <c r="A31" i="16"/>
  <c r="J30" i="16"/>
  <c r="H30" i="16"/>
  <c r="G30" i="16"/>
  <c r="F30" i="16"/>
  <c r="E30" i="16"/>
  <c r="D30" i="16"/>
  <c r="C30" i="16"/>
  <c r="B30" i="16"/>
  <c r="A30" i="16"/>
  <c r="J29" i="16"/>
  <c r="H29" i="16"/>
  <c r="G29" i="16"/>
  <c r="F29" i="16"/>
  <c r="E29" i="16"/>
  <c r="D29" i="16"/>
  <c r="C29" i="16"/>
  <c r="B29" i="16"/>
  <c r="A29" i="16"/>
  <c r="J28" i="16"/>
  <c r="F28" i="16"/>
  <c r="E28" i="16"/>
  <c r="D28" i="16"/>
  <c r="C28" i="16"/>
  <c r="B28" i="16"/>
  <c r="A28" i="16"/>
  <c r="J27" i="16"/>
  <c r="H27" i="16"/>
  <c r="G27" i="16"/>
  <c r="F27" i="16"/>
  <c r="E27" i="16"/>
  <c r="D27" i="16"/>
  <c r="C27" i="16"/>
  <c r="B27" i="16"/>
  <c r="A27" i="16"/>
  <c r="J26" i="16"/>
  <c r="H26" i="16"/>
  <c r="G26" i="16"/>
  <c r="F26" i="16"/>
  <c r="E26" i="16"/>
  <c r="D26" i="16"/>
  <c r="C26" i="16"/>
  <c r="B26" i="16"/>
  <c r="A26" i="16"/>
  <c r="J25" i="16"/>
  <c r="H25" i="16"/>
  <c r="G25" i="16"/>
  <c r="F25" i="16"/>
  <c r="E25" i="16"/>
  <c r="D25" i="16"/>
  <c r="C25" i="16"/>
  <c r="B25" i="16"/>
  <c r="A25" i="16"/>
  <c r="J24" i="16"/>
  <c r="H24" i="16"/>
  <c r="G24" i="16"/>
  <c r="F24" i="16"/>
  <c r="E24" i="16"/>
  <c r="D24" i="16"/>
  <c r="C24" i="16"/>
  <c r="B24" i="16"/>
  <c r="A24" i="16"/>
  <c r="J23" i="16"/>
  <c r="H23" i="16"/>
  <c r="G23" i="16"/>
  <c r="F23" i="16"/>
  <c r="E23" i="16"/>
  <c r="D23" i="16"/>
  <c r="C23" i="16"/>
  <c r="B23" i="16"/>
  <c r="A23" i="16"/>
  <c r="J22" i="16"/>
  <c r="H22" i="16"/>
  <c r="G22" i="16"/>
  <c r="F22" i="16"/>
  <c r="E22" i="16"/>
  <c r="D22" i="16"/>
  <c r="C22" i="16"/>
  <c r="B22" i="16"/>
  <c r="A22" i="16"/>
  <c r="J21" i="16"/>
  <c r="H21" i="16"/>
  <c r="G21" i="16"/>
  <c r="F21" i="16"/>
  <c r="E21" i="16"/>
  <c r="D21" i="16"/>
  <c r="C21" i="16"/>
  <c r="B21" i="16"/>
  <c r="A21" i="16"/>
  <c r="J20" i="16"/>
  <c r="H20" i="16"/>
  <c r="G20" i="16"/>
  <c r="F20" i="16"/>
  <c r="E20" i="16"/>
  <c r="D20" i="16"/>
  <c r="C20" i="16"/>
  <c r="B20" i="16"/>
  <c r="A20" i="16"/>
  <c r="J19" i="16"/>
  <c r="H19" i="16"/>
  <c r="G19" i="16"/>
  <c r="F19" i="16"/>
  <c r="E19" i="16"/>
  <c r="D19" i="16"/>
  <c r="C19" i="16"/>
  <c r="B19" i="16"/>
  <c r="A19" i="16"/>
  <c r="J18" i="16"/>
  <c r="H18" i="16"/>
  <c r="G18" i="16"/>
  <c r="F18" i="16"/>
  <c r="E18" i="16"/>
  <c r="D18" i="16"/>
  <c r="C18" i="16"/>
  <c r="B18" i="16"/>
  <c r="A18" i="16"/>
  <c r="J17" i="16"/>
  <c r="H17" i="16"/>
  <c r="G17" i="16"/>
  <c r="F17" i="16"/>
  <c r="E17" i="16"/>
  <c r="D17" i="16"/>
  <c r="C17" i="16"/>
  <c r="B17" i="16"/>
  <c r="A17" i="16"/>
  <c r="J16" i="16"/>
  <c r="H16" i="16"/>
  <c r="G16" i="16"/>
  <c r="F16" i="16"/>
  <c r="E16" i="16"/>
  <c r="D16" i="16"/>
  <c r="C16" i="16"/>
  <c r="B16" i="16"/>
  <c r="A16" i="16"/>
  <c r="J15" i="16"/>
  <c r="H15" i="16"/>
  <c r="G15" i="16"/>
  <c r="F15" i="16"/>
  <c r="E15" i="16"/>
  <c r="D15" i="16"/>
  <c r="C15" i="16"/>
  <c r="B15" i="16"/>
  <c r="A15" i="16"/>
  <c r="J14" i="16"/>
  <c r="H14" i="16"/>
  <c r="G14" i="16"/>
  <c r="F14" i="16"/>
  <c r="E14" i="16"/>
  <c r="D14" i="16"/>
  <c r="C14" i="16"/>
  <c r="B14" i="16"/>
  <c r="A14" i="16"/>
  <c r="J13" i="16"/>
  <c r="H13" i="16"/>
  <c r="G13" i="16"/>
  <c r="F13" i="16"/>
  <c r="E13" i="16"/>
  <c r="D13" i="16"/>
  <c r="C13" i="16"/>
  <c r="B13" i="16"/>
  <c r="A13" i="16"/>
  <c r="J12" i="16"/>
  <c r="H12" i="16"/>
  <c r="G12" i="16"/>
  <c r="F12" i="16"/>
  <c r="E12" i="16"/>
  <c r="D12" i="16"/>
  <c r="C12" i="16"/>
  <c r="B12" i="16"/>
  <c r="A12" i="16"/>
  <c r="J11" i="16"/>
  <c r="H11" i="16"/>
  <c r="G11" i="16"/>
  <c r="F11" i="16"/>
  <c r="E11" i="16"/>
  <c r="D11" i="16"/>
  <c r="C11" i="16"/>
  <c r="B11" i="16"/>
  <c r="A11" i="16"/>
  <c r="J10" i="16"/>
  <c r="H10" i="16"/>
  <c r="G10" i="16"/>
  <c r="F10" i="16"/>
  <c r="E10" i="16"/>
  <c r="D10" i="16"/>
  <c r="C10" i="16"/>
  <c r="B10" i="16"/>
  <c r="A10" i="16"/>
  <c r="J9" i="16"/>
  <c r="H9" i="16"/>
  <c r="G9" i="16"/>
  <c r="F9" i="16"/>
  <c r="E9" i="16"/>
  <c r="D9" i="16"/>
  <c r="C9" i="16"/>
  <c r="B9" i="16"/>
  <c r="A9" i="16"/>
  <c r="J8" i="16"/>
  <c r="F8" i="16"/>
  <c r="E8" i="16"/>
  <c r="D8" i="16"/>
  <c r="C8" i="16"/>
  <c r="B8" i="16"/>
  <c r="A8" i="16"/>
  <c r="J7" i="16"/>
  <c r="F7" i="16"/>
  <c r="E7" i="16"/>
  <c r="D7" i="16"/>
  <c r="C7" i="16"/>
  <c r="B7" i="16"/>
  <c r="A7" i="16"/>
  <c r="J6" i="16"/>
  <c r="F6" i="16"/>
  <c r="E6" i="16"/>
  <c r="D6" i="16"/>
  <c r="C6" i="16"/>
  <c r="B6" i="16"/>
  <c r="A6" i="16"/>
  <c r="J5" i="16"/>
  <c r="F5" i="16"/>
  <c r="E5" i="16"/>
  <c r="D5" i="16"/>
  <c r="C5" i="16"/>
  <c r="B5" i="16"/>
  <c r="A5" i="16"/>
  <c r="J4" i="16"/>
  <c r="F4" i="16"/>
  <c r="E4" i="16"/>
  <c r="D4" i="16"/>
  <c r="C4" i="16"/>
  <c r="B4" i="16"/>
  <c r="A4" i="16"/>
  <c r="J3" i="16"/>
  <c r="F3" i="16"/>
  <c r="E3" i="16"/>
  <c r="D3" i="16"/>
  <c r="C3" i="16"/>
  <c r="B3" i="16"/>
  <c r="A3" i="16"/>
  <c r="J2" i="16"/>
  <c r="F2" i="16"/>
  <c r="E2" i="16"/>
  <c r="D2" i="16"/>
  <c r="C2" i="16"/>
  <c r="B2" i="16"/>
  <c r="A2" i="16"/>
</calcChain>
</file>

<file path=xl/sharedStrings.xml><?xml version="1.0" encoding="utf-8"?>
<sst xmlns="http://schemas.openxmlformats.org/spreadsheetml/2006/main" count="1030" uniqueCount="704">
  <si>
    <t>Vehicle Description</t>
  </si>
  <si>
    <t>Latest Batt %</t>
  </si>
  <si>
    <t>Since Last Check-In</t>
  </si>
  <si>
    <t>0d 00h 00m</t>
  </si>
  <si>
    <t>876d 00h 05m</t>
  </si>
  <si>
    <t>876d 00h 01m</t>
  </si>
  <si>
    <t>47d 17h 08m</t>
  </si>
  <si>
    <t>751d 18h 45m</t>
  </si>
  <si>
    <t>744d 21h 55m</t>
  </si>
  <si>
    <t>550d 18h 58m</t>
  </si>
  <si>
    <t>0d 18h 17m</t>
  </si>
  <si>
    <t>460d 23h 16m</t>
  </si>
  <si>
    <t>47d 19h 55m</t>
  </si>
  <si>
    <t>445d 21h 21m</t>
  </si>
  <si>
    <t>377d 21h 15m</t>
  </si>
  <si>
    <t>147d 21h 46m</t>
  </si>
  <si>
    <t>104d 22h 35m</t>
  </si>
  <si>
    <t>0d 18h 10m</t>
  </si>
  <si>
    <t>2d 17h 50m</t>
  </si>
  <si>
    <t>34d 00h 26m</t>
  </si>
  <si>
    <t>13d 13h 27m</t>
  </si>
  <si>
    <t>26d 17h 01m</t>
  </si>
  <si>
    <t>293d 16h 39m</t>
  </si>
  <si>
    <t>21d 20h 13m</t>
  </si>
  <si>
    <t>1d 22h 06m</t>
  </si>
  <si>
    <t>1d 20h 47m</t>
  </si>
  <si>
    <t>0d 00h 11m</t>
  </si>
  <si>
    <t>17d 00h 24m</t>
  </si>
  <si>
    <t>243d 23h 41m</t>
  </si>
  <si>
    <t>0d 22h 56m</t>
  </si>
  <si>
    <t>0d 00h 01m</t>
  </si>
  <si>
    <t>201d 00h 38m</t>
  </si>
  <si>
    <t>190d 20h 13m</t>
  </si>
  <si>
    <t>11d 20h 00m</t>
  </si>
  <si>
    <t>23d 00h 43m</t>
  </si>
  <si>
    <t>168d 03h 38m</t>
  </si>
  <si>
    <t>37d 00h 56m</t>
  </si>
  <si>
    <t>0d 17h 22m</t>
  </si>
  <si>
    <t>0d 17h 24m</t>
  </si>
  <si>
    <t>25d 15h 25m</t>
  </si>
  <si>
    <t>0d 19h 21m</t>
  </si>
  <si>
    <t>215d 19h 45m</t>
  </si>
  <si>
    <t>0d 17h 21m</t>
  </si>
  <si>
    <t>131d 12h 13m</t>
  </si>
  <si>
    <t>4d 15h 33m</t>
  </si>
  <si>
    <t>0d 00h 53m</t>
  </si>
  <si>
    <t>34d 13h 05m</t>
  </si>
  <si>
    <t>15d 01h 18m</t>
  </si>
  <si>
    <t>6d 19h 31m</t>
  </si>
  <si>
    <t>0d 23h 45m</t>
  </si>
  <si>
    <t>66d 00h 50m</t>
  </si>
  <si>
    <t>0d 01h 35m</t>
  </si>
  <si>
    <t>39d 16h 52m</t>
  </si>
  <si>
    <t>9d 19h 50m</t>
  </si>
  <si>
    <t>28d 22h 47m</t>
  </si>
  <si>
    <t>0d 18h 41m</t>
  </si>
  <si>
    <t>18d 20h 04m</t>
  </si>
  <si>
    <t>0d 07h 57m</t>
  </si>
  <si>
    <t>44d 18h 12m</t>
  </si>
  <si>
    <t>0d 19h 13m</t>
  </si>
  <si>
    <t>0d 00h 08m</t>
  </si>
  <si>
    <t>27d 23h 54m</t>
  </si>
  <si>
    <t>13d 21h 27m</t>
  </si>
  <si>
    <t>0d 07h 24m</t>
  </si>
  <si>
    <t>0d 01h 10m</t>
  </si>
  <si>
    <t>7d 11h 44m</t>
  </si>
  <si>
    <t>3d 15h 39m</t>
  </si>
  <si>
    <t>1d 14h 22m</t>
  </si>
  <si>
    <t>1d 01h 13m</t>
  </si>
  <si>
    <t>0d 00h 22m</t>
  </si>
  <si>
    <t>0d 23h 44m</t>
  </si>
  <si>
    <t>41d 00h 11m</t>
  </si>
  <si>
    <t>28d 22h 18m</t>
  </si>
  <si>
    <t>0d 00h 17m</t>
  </si>
  <si>
    <t>0d 01h 16m</t>
  </si>
  <si>
    <t>0d 00h 03m</t>
  </si>
  <si>
    <t>0d 01h 01m</t>
  </si>
  <si>
    <t>34d 13h 18m</t>
  </si>
  <si>
    <t>25d 17h 11m</t>
  </si>
  <si>
    <t>0d 01h 07m</t>
  </si>
  <si>
    <t>0d 01h 27m</t>
  </si>
  <si>
    <t>1d 18h 08m</t>
  </si>
  <si>
    <t>4d 18h 19m</t>
  </si>
  <si>
    <t>23d 18h 14m</t>
  </si>
  <si>
    <t>#</t>
  </si>
  <si>
    <t>Device-ID</t>
  </si>
  <si>
    <t>Date</t>
  </si>
  <si>
    <t>Time</t>
  </si>
  <si>
    <t>Odometer (Km)</t>
  </si>
  <si>
    <t>Lat/Lon</t>
  </si>
  <si>
    <t>Address</t>
  </si>
  <si>
    <t>Since Last Check-in</t>
  </si>
  <si>
    <t>14d 18h 46m</t>
  </si>
  <si>
    <t>2276d 22h 58m</t>
  </si>
  <si>
    <t>2255d 19h 01m</t>
  </si>
  <si>
    <t>1513d 19h 54m</t>
  </si>
  <si>
    <t>2007d 18h 32m</t>
  </si>
  <si>
    <t>1216d 23h 21m</t>
  </si>
  <si>
    <t>1213d 19h 14m</t>
  </si>
  <si>
    <t>1172d 00h 10m</t>
  </si>
  <si>
    <t>1128d 11h 30m</t>
  </si>
  <si>
    <t>1127d 18h 16m</t>
  </si>
  <si>
    <t>1087d 20h 03m</t>
  </si>
  <si>
    <t>1084d 19h 08m</t>
  </si>
  <si>
    <t>1079d 00h 04m</t>
  </si>
  <si>
    <t>1077d 20h 15m</t>
  </si>
  <si>
    <t>1072d 16h 13m</t>
  </si>
  <si>
    <t>366d 20h 54m</t>
  </si>
  <si>
    <t>424d 23h 38m</t>
  </si>
  <si>
    <t>1070d 20h 53m</t>
  </si>
  <si>
    <t>417d 22h 29m</t>
  </si>
  <si>
    <t>918d 21h 27m</t>
  </si>
  <si>
    <t>897d 19h 45m</t>
  </si>
  <si>
    <t>881d 21h 11m</t>
  </si>
  <si>
    <t>708d 22h 12m</t>
  </si>
  <si>
    <t>694d 18h 15m</t>
  </si>
  <si>
    <t>0d 00h 02m</t>
  </si>
  <si>
    <t>0d 01h 17m</t>
  </si>
  <si>
    <t>0d 16h 27m</t>
  </si>
  <si>
    <t>S.No</t>
  </si>
  <si>
    <t>Date Time</t>
  </si>
  <si>
    <t/>
  </si>
  <si>
    <t>------</t>
  </si>
  <si>
    <t>---</t>
  </si>
  <si>
    <t>NE1KA04N1245Jeep</t>
  </si>
  <si>
    <t>ne1ka04n1245jeep</t>
  </si>
  <si>
    <t>NE1KA04D5158Jetting</t>
  </si>
  <si>
    <t>ne1ka04d5158jetting</t>
  </si>
  <si>
    <t>SE1CAW210Tanker</t>
  </si>
  <si>
    <t>12.9817 77.6284</t>
  </si>
  <si>
    <t>SE1CAW313Tanker</t>
  </si>
  <si>
    <t>NE3KA04AA1789Desilting</t>
  </si>
  <si>
    <t>ne3ka04aa1789desilting</t>
  </si>
  <si>
    <t>13.0247 77.5948</t>
  </si>
  <si>
    <t>SW2CAW311Tanker</t>
  </si>
  <si>
    <t>12.9267 77.5598</t>
  </si>
  <si>
    <t>W2KA01A5947Jetting</t>
  </si>
  <si>
    <t>12.9719 77.5127</t>
  </si>
  <si>
    <t>NW2KA04D3155Tanker</t>
  </si>
  <si>
    <t>nw2ka04d3155tanker</t>
  </si>
  <si>
    <t>12.8837 77.4886</t>
  </si>
  <si>
    <t>W1KA04A3047Jetting</t>
  </si>
  <si>
    <t>12.9467 77.5301</t>
  </si>
  <si>
    <t>C3KA04AA9028Desilting</t>
  </si>
  <si>
    <t>c3ka04aa9028desilting</t>
  </si>
  <si>
    <t>13.0016 77.6279</t>
  </si>
  <si>
    <t>C1KA04850Tanker</t>
  </si>
  <si>
    <t>c1ka04850tanker</t>
  </si>
  <si>
    <t>12.9830 77.5851</t>
  </si>
  <si>
    <t>C3KA03B965Jetting</t>
  </si>
  <si>
    <t>c3ka03b965jetting</t>
  </si>
  <si>
    <t>12.9953 77.6152</t>
  </si>
  <si>
    <t>SW2CAW236Jetting</t>
  </si>
  <si>
    <t>sw2caw236jetting</t>
  </si>
  <si>
    <t>12.8814 77.5453</t>
  </si>
  <si>
    <t>NE2KA04A3048Jetting</t>
  </si>
  <si>
    <t>ne2ka04a3048jetting</t>
  </si>
  <si>
    <t>13.0186 77.6128</t>
  </si>
  <si>
    <t>SW4KA05D8079Tanker</t>
  </si>
  <si>
    <t>sw4ka05d8079tanker</t>
  </si>
  <si>
    <t>12.9707 77.5910</t>
  </si>
  <si>
    <t>N2KA04C2201Jetting</t>
  </si>
  <si>
    <t>n2ka04c2201jetting</t>
  </si>
  <si>
    <t>13.1016 77.5862</t>
  </si>
  <si>
    <t>SE1KA03B964Jetting</t>
  </si>
  <si>
    <t>se1ka03b964jetting</t>
  </si>
  <si>
    <t>12.8804 77.5464</t>
  </si>
  <si>
    <t>NE3KA04A6215Jetting</t>
  </si>
  <si>
    <t>ne3ka04a6215jetting</t>
  </si>
  <si>
    <t>13.0199 77.6093</t>
  </si>
  <si>
    <t>NE3KA04AA1783Desilting</t>
  </si>
  <si>
    <t>ne3ka04aa1783desilting</t>
  </si>
  <si>
    <t>13.0298 77.5887</t>
  </si>
  <si>
    <t>SE1KA04A3046Jetting</t>
  </si>
  <si>
    <t>se1ka04a3046jetting</t>
  </si>
  <si>
    <t>12.9581 77.6124</t>
  </si>
  <si>
    <t>W4KA04B6770Jetting</t>
  </si>
  <si>
    <t>w4ka04b6770jetting</t>
  </si>
  <si>
    <t>12.9675 77.5331</t>
  </si>
  <si>
    <t>S4KA04C5152Jetting</t>
  </si>
  <si>
    <t>s4ka04c5152jetting</t>
  </si>
  <si>
    <t>12.9771 77.4381</t>
  </si>
  <si>
    <t>E3KS03C5056Tanker</t>
  </si>
  <si>
    <t>e3ks03c5056tanker</t>
  </si>
  <si>
    <t>13.0129 77.7054</t>
  </si>
  <si>
    <t>WwmKC1KA04AA5948Desilting</t>
  </si>
  <si>
    <t>wwmkc1ka04aa5948desilting</t>
  </si>
  <si>
    <t>12.9006 77.5857</t>
  </si>
  <si>
    <t>N3KA04D6659Jetting</t>
  </si>
  <si>
    <t>n3ka04d6659jetting</t>
  </si>
  <si>
    <t>13.0599 77.5757</t>
  </si>
  <si>
    <t>SW2KA04D4605Jetting</t>
  </si>
  <si>
    <t>sw2ka04d4605jetting</t>
  </si>
  <si>
    <t>12.9296 77.5350</t>
  </si>
  <si>
    <t>NE1CAA3313Tanker</t>
  </si>
  <si>
    <t>ne1caa3313tanker</t>
  </si>
  <si>
    <t>13.0111 77.5672</t>
  </si>
  <si>
    <t>NE1KA04A9515Jetting</t>
  </si>
  <si>
    <t>ne1ka04a9515jetting</t>
  </si>
  <si>
    <t>13.0119 77.5677</t>
  </si>
  <si>
    <t>C3KA04C5156Jetting</t>
  </si>
  <si>
    <t>c3ka04c5156jetting</t>
  </si>
  <si>
    <t>12.9934 77.5212</t>
  </si>
  <si>
    <t>NE2KA05AD2943Desilting</t>
  </si>
  <si>
    <t>ne2ka05ad2943desilting</t>
  </si>
  <si>
    <t>12.9897 77.5787</t>
  </si>
  <si>
    <t>SW1KA04A9520Jetting</t>
  </si>
  <si>
    <t>sw1ka04a9520jetting</t>
  </si>
  <si>
    <t>12.9777 77.4387</t>
  </si>
  <si>
    <t>S2KA04C5149Jetting</t>
  </si>
  <si>
    <t>s2ka04c5149jetting</t>
  </si>
  <si>
    <t>12.8735 77.5845</t>
  </si>
  <si>
    <t>S2KA04D5299Tanker</t>
  </si>
  <si>
    <t>s2ka04d5299tanker</t>
  </si>
  <si>
    <t>12.8739 77.5842</t>
  </si>
  <si>
    <t>SE1KA04C5154Jetting</t>
  </si>
  <si>
    <t>se1ka04c5154jetting</t>
  </si>
  <si>
    <t>12.9741 77.6297</t>
  </si>
  <si>
    <t>W1KA05AD2945Desilting</t>
  </si>
  <si>
    <t>w1ka05ad2945desilting</t>
  </si>
  <si>
    <t>13.0099 77.5679</t>
  </si>
  <si>
    <t>E2KA04D5291Tanker</t>
  </si>
  <si>
    <t>e2ka04d5291tanker</t>
  </si>
  <si>
    <t>12.9771 77.7115</t>
  </si>
  <si>
    <t>C3KA05D8078Tanker</t>
  </si>
  <si>
    <t>c3ka05d8078tanker</t>
  </si>
  <si>
    <t>13.0090 77.6163</t>
  </si>
  <si>
    <t>W2KA04C5134Jetting</t>
  </si>
  <si>
    <t>w2ka04c5134jetting</t>
  </si>
  <si>
    <t>12.9780 77.5109</t>
  </si>
  <si>
    <t>WwmVv2KA53B3462Jetting</t>
  </si>
  <si>
    <t>wwmvv2ka53b3462jetting</t>
  </si>
  <si>
    <t>12.9366 77.5211</t>
  </si>
  <si>
    <t>W4KA04C5129Jetting</t>
  </si>
  <si>
    <t>w4ka04c5129jetting</t>
  </si>
  <si>
    <t>12.9736 77.5382</t>
  </si>
  <si>
    <t>S2KA04D4104Jetting</t>
  </si>
  <si>
    <t>s2ka04d4104jetting</t>
  </si>
  <si>
    <t>12.8735 77.5846</t>
  </si>
  <si>
    <t>C3KA03C5048Tanker</t>
  </si>
  <si>
    <t>c3ka03c5048tanker</t>
  </si>
  <si>
    <t>13.0285 77.7692</t>
  </si>
  <si>
    <t>E4KA04D6648Jetting</t>
  </si>
  <si>
    <t>e4ka04d6648jetting</t>
  </si>
  <si>
    <t>12.9925 77.6787</t>
  </si>
  <si>
    <t>WwmKC1KA53B3464Jetting</t>
  </si>
  <si>
    <t>wwmkc1ka53b3464jetting</t>
  </si>
  <si>
    <t>12.9561 77.6436</t>
  </si>
  <si>
    <t>C3KA02AC5950Jetting</t>
  </si>
  <si>
    <t>c3ka02ac5950jetting</t>
  </si>
  <si>
    <t>13.0013 77.6279</t>
  </si>
  <si>
    <t>S2KA04D5161Jetting</t>
  </si>
  <si>
    <t>s2ka04d5161jetting</t>
  </si>
  <si>
    <t>12.8739 77.5840</t>
  </si>
  <si>
    <t>WWMKA53B3475Dumping</t>
  </si>
  <si>
    <t>wwmka53b3475dumping</t>
  </si>
  <si>
    <t>13.0428 77.6014</t>
  </si>
  <si>
    <t>SW4KA05B6540Jetting</t>
  </si>
  <si>
    <t>sw4ka05b6540jetting</t>
  </si>
  <si>
    <t>12.9419 77.5813</t>
  </si>
  <si>
    <t>S2KA04D5124Tanker</t>
  </si>
  <si>
    <t>s2ka04d5124tanker</t>
  </si>
  <si>
    <t>12.8541 77.5722</t>
  </si>
  <si>
    <t>SE2KA03C5068Tanker</t>
  </si>
  <si>
    <t>se2ka03c5068tanker</t>
  </si>
  <si>
    <t>12.9705 77.5914</t>
  </si>
  <si>
    <t>WWMVV1KA53B3460Jetting</t>
  </si>
  <si>
    <t>wwmvv1ka53b3460jetting</t>
  </si>
  <si>
    <t>12.9367 77.5210</t>
  </si>
  <si>
    <t>C1KA041A7291Jetting</t>
  </si>
  <si>
    <t>c1ka041a7291jetting</t>
  </si>
  <si>
    <t>12.9828 77.5851</t>
  </si>
  <si>
    <t>NE3KA04AA1784Desilting</t>
  </si>
  <si>
    <t>ne3ka04aa1784desilting</t>
  </si>
  <si>
    <t>13.0140 77.5672</t>
  </si>
  <si>
    <t>C3KA04C5160Jetting</t>
  </si>
  <si>
    <t>c3ka04c5160jetting</t>
  </si>
  <si>
    <t>13.0016 77.6273</t>
  </si>
  <si>
    <t>SW3KA02AC5929Jetting</t>
  </si>
  <si>
    <t>sw3ka02ac5929jetting</t>
  </si>
  <si>
    <t>12.9431 77.5763</t>
  </si>
  <si>
    <t>NE1KA04C5136Jetting</t>
  </si>
  <si>
    <t>ne1ka04c5136jetting</t>
  </si>
  <si>
    <t>13.0104 77.5667</t>
  </si>
  <si>
    <t>NW2KA04D4113Jetting</t>
  </si>
  <si>
    <t>nw2ka04d4113jetting</t>
  </si>
  <si>
    <t>12.9783 77.5532</t>
  </si>
  <si>
    <t>NW1KA04A9519Jetting</t>
  </si>
  <si>
    <t>nw1ka04a9519jetting</t>
  </si>
  <si>
    <t>13.0089 77.5490</t>
  </si>
  <si>
    <t>C2KA04C5127Jetting</t>
  </si>
  <si>
    <t>c2ka04c5127jetting</t>
  </si>
  <si>
    <t>12.9872 77.5899</t>
  </si>
  <si>
    <t>N3KA04D4102Jetting</t>
  </si>
  <si>
    <t>n3ka04d4102jetting</t>
  </si>
  <si>
    <t>13.0820 77.5404</t>
  </si>
  <si>
    <t>N1KA04D4274Jetting</t>
  </si>
  <si>
    <t>n1ka04d4274jetting</t>
  </si>
  <si>
    <t>13.0619 77.5050</t>
  </si>
  <si>
    <t>SE3KA04D4155Jetting</t>
  </si>
  <si>
    <t>se3ka04d4155jetting</t>
  </si>
  <si>
    <t>12.9253 77.6389</t>
  </si>
  <si>
    <t>WwmKA53B3477Dumping</t>
  </si>
  <si>
    <t>wwmka53b3477dumping</t>
  </si>
  <si>
    <t>13.0476 77.5786</t>
  </si>
  <si>
    <t>W4KA04D4601Jetting</t>
  </si>
  <si>
    <t>w4ka04d4601jetting</t>
  </si>
  <si>
    <t>12.9554 77.5292</t>
  </si>
  <si>
    <t>E2KA04D5163Jetting</t>
  </si>
  <si>
    <t>e2ka04d5163jetting</t>
  </si>
  <si>
    <t>12.9761 77.7102</t>
  </si>
  <si>
    <t>NE1KA04A6216Jetting</t>
  </si>
  <si>
    <t>ne1ka04a6216jetting</t>
  </si>
  <si>
    <t>12.9997 77.5636</t>
  </si>
  <si>
    <t>N2KA04D5125Tanker</t>
  </si>
  <si>
    <t>n2ka04d5125tanker</t>
  </si>
  <si>
    <t>13.0591 77.5871</t>
  </si>
  <si>
    <t>SW2KA04C5143Jetting</t>
  </si>
  <si>
    <t>sw2ka04c5143jetting</t>
  </si>
  <si>
    <t>12.9241 77.5578</t>
  </si>
  <si>
    <t>WWMKC2KA53B3469Jetting</t>
  </si>
  <si>
    <t>wwmkc2ka53b3469jetting</t>
  </si>
  <si>
    <t>12.9561 77.6437</t>
  </si>
  <si>
    <t>E1KA04C5153Jetting</t>
  </si>
  <si>
    <t>e1ka04c5153jetting</t>
  </si>
  <si>
    <t>13.0095 77.6387</t>
  </si>
  <si>
    <t>SW1KA04A9522Jetting</t>
  </si>
  <si>
    <t>sw1ka04a9522jetting</t>
  </si>
  <si>
    <t>12.9517 77.5771</t>
  </si>
  <si>
    <t>SW1KA04A3045Jetting</t>
  </si>
  <si>
    <t>sw1ka04a3045jetting</t>
  </si>
  <si>
    <t>12.9569 77.5801</t>
  </si>
  <si>
    <t>SW4KA04AA9016Desilting</t>
  </si>
  <si>
    <t>sw4ka04aa9016desilting</t>
  </si>
  <si>
    <t>12.9080 77.5845</t>
  </si>
  <si>
    <t>S3KA04AA9017Desilting</t>
  </si>
  <si>
    <t>s3ka04aa9017desilting</t>
  </si>
  <si>
    <t>12.9158 77.6073</t>
  </si>
  <si>
    <t>E3KA02AC5938Jetting</t>
  </si>
  <si>
    <t>e3ka02ac5938jetting</t>
  </si>
  <si>
    <t>13.0080 77.6900</t>
  </si>
  <si>
    <t>SE1KA04C5150Jetting</t>
  </si>
  <si>
    <t>se1ka04c5150jetting</t>
  </si>
  <si>
    <t>12.9582 77.6123</t>
  </si>
  <si>
    <t>SE1KA04D6651Jetting</t>
  </si>
  <si>
    <t>se1ka04d6651jetting</t>
  </si>
  <si>
    <t>12.9611 77.6385</t>
  </si>
  <si>
    <t>SW4KA04C2203Jetting</t>
  </si>
  <si>
    <t>sw4ka04c2203jetting</t>
  </si>
  <si>
    <t>12.9143 77.5954</t>
  </si>
  <si>
    <t>C3KA04C3716Jetting</t>
  </si>
  <si>
    <t>c3ka04c3716jetting</t>
  </si>
  <si>
    <t>13.0399 77.6518</t>
  </si>
  <si>
    <t>WwmKC1KA53B3463Dumptanker</t>
  </si>
  <si>
    <t>wwmkc1ka53b3463dumptanker</t>
  </si>
  <si>
    <t>12.9560 77.6434</t>
  </si>
  <si>
    <t>W3KA04A9521Jetting</t>
  </si>
  <si>
    <t>w3ka04a9521jetting</t>
  </si>
  <si>
    <t>12.8743 77.5183</t>
  </si>
  <si>
    <t>SW3KA04A9513Jetting</t>
  </si>
  <si>
    <t>sw3ka04a9513jetting</t>
  </si>
  <si>
    <t>12.9483 77.5503</t>
  </si>
  <si>
    <t>NW1KA04D4278Jetting</t>
  </si>
  <si>
    <t>nw1ka04d4278jetting</t>
  </si>
  <si>
    <t>13.0117 77.5444</t>
  </si>
  <si>
    <t>WwmKA53B3470Suction</t>
  </si>
  <si>
    <t>wwmka53b3470suction</t>
  </si>
  <si>
    <t>13.0441 77.6430</t>
  </si>
  <si>
    <t>E4KA04D5309Tanker</t>
  </si>
  <si>
    <t>e4ka04d5309tanker</t>
  </si>
  <si>
    <t>12.9969 77.6767</t>
  </si>
  <si>
    <t>WWMVV-1KA53b3465Jetting</t>
  </si>
  <si>
    <t>wwmvv1ka53b3465jetting</t>
  </si>
  <si>
    <t>12.9559 77.5293</t>
  </si>
  <si>
    <t>WwmVv1KA53B3459Dumping</t>
  </si>
  <si>
    <t>wwmvv1ka53b3459dumping</t>
  </si>
  <si>
    <t>12.9693 77.5498</t>
  </si>
  <si>
    <t>WwmKC2KA53B3473Dumptanker</t>
  </si>
  <si>
    <t>wwmkc2ka53b3473dumptanker</t>
  </si>
  <si>
    <t>12.9561 77.6434</t>
  </si>
  <si>
    <t>NW2KA04D5235Tanker</t>
  </si>
  <si>
    <t>nw2ka04d5235tanker</t>
  </si>
  <si>
    <t>12.9949 77.5382</t>
  </si>
  <si>
    <t>SW4KA04C2198Jetting</t>
  </si>
  <si>
    <t>sw4ka04c2198jetting</t>
  </si>
  <si>
    <t>12.9358 77.5852</t>
  </si>
  <si>
    <t>WwmKA53B3476Dumping</t>
  </si>
  <si>
    <t>wwmka53b3476dumping</t>
  </si>
  <si>
    <t>13.0523 77.5795</t>
  </si>
  <si>
    <t>SW4KA04D5298Tanker</t>
  </si>
  <si>
    <t>sw4ka04d5298tanker</t>
  </si>
  <si>
    <t>12.9355 77.5885</t>
  </si>
  <si>
    <t>E3KA04AB6023Jetting</t>
  </si>
  <si>
    <t>e3ka04ab6023jetting</t>
  </si>
  <si>
    <t>12.9945 77.6991</t>
  </si>
  <si>
    <t>WWMVV-2KA4AB5933Recycler</t>
  </si>
  <si>
    <t>wwmvv2ka4ab5933recycler</t>
  </si>
  <si>
    <t>12.9367 77.5211</t>
  </si>
  <si>
    <t>NE3KA04AA1781Desilting</t>
  </si>
  <si>
    <t>ne3ka04aa1781desilting</t>
  </si>
  <si>
    <t>13.0189 77.5923</t>
  </si>
  <si>
    <t>NE1KA04B7111Tanker</t>
  </si>
  <si>
    <t>ne1ka04b7111tanker</t>
  </si>
  <si>
    <t>13.0110 77.5675</t>
  </si>
  <si>
    <t>SW1KA04D4872jetting</t>
  </si>
  <si>
    <t>sw1ka04d4872jetting</t>
  </si>
  <si>
    <t>12.9430 77.5763</t>
  </si>
  <si>
    <t>SE1KA049409Jetting</t>
  </si>
  <si>
    <t>se1ka049409jetting</t>
  </si>
  <si>
    <t>12.9614 77.6379</t>
  </si>
  <si>
    <t>NE3KA04D4115Jetting</t>
  </si>
  <si>
    <t>ne3ka04d4115jetting</t>
  </si>
  <si>
    <t>13.0250 77.5921</t>
  </si>
  <si>
    <t>NE2KA04A9517Jetting</t>
  </si>
  <si>
    <t>ne2ka04a9517jetting</t>
  </si>
  <si>
    <t>12.9882 77.5772</t>
  </si>
  <si>
    <t>S1KA04C5144Jetting</t>
  </si>
  <si>
    <t>s1ka04c5144jetting</t>
  </si>
  <si>
    <t>12.8877 77.5413</t>
  </si>
  <si>
    <t>SE3KA02AC5940Jetting</t>
  </si>
  <si>
    <t>se3ka02ac5940jetting</t>
  </si>
  <si>
    <t>12.9281 77.6214</t>
  </si>
  <si>
    <t>NE3KA04A3042Jetting</t>
  </si>
  <si>
    <t>ne3ka04a3042jetting</t>
  </si>
  <si>
    <t>13.0109 77.5674</t>
  </si>
  <si>
    <t>NW3KA04C5135Jetting</t>
  </si>
  <si>
    <t>nw3ka04c5135jetting</t>
  </si>
  <si>
    <t>13.0047 77.5016</t>
  </si>
  <si>
    <t>WwmKA53B3471Suction</t>
  </si>
  <si>
    <t>wwmka53b3471suction</t>
  </si>
  <si>
    <t>13.0425 77.6015</t>
  </si>
  <si>
    <t>SE3KA05B8084Tanker</t>
  </si>
  <si>
    <t>se3ka05b8084tanker</t>
  </si>
  <si>
    <t>12.9115 77.6469</t>
  </si>
  <si>
    <t>NE3KA049930Tanker</t>
  </si>
  <si>
    <t>ne3ka049930tanker</t>
  </si>
  <si>
    <t>13.0338 77.5687</t>
  </si>
  <si>
    <t>C1KA04D5123Tanker</t>
  </si>
  <si>
    <t>c1ka04d5123tanker</t>
  </si>
  <si>
    <t>12.9830 77.5850</t>
  </si>
  <si>
    <t>E1KA04A3281Jetting</t>
  </si>
  <si>
    <t>e1ka04a3281jetting</t>
  </si>
  <si>
    <t>13.0253 77.6280</t>
  </si>
  <si>
    <t>NW3KA04C2197Jetting</t>
  </si>
  <si>
    <t>nw3ka04c2197jetting</t>
  </si>
  <si>
    <t>13.0356 77.5215</t>
  </si>
  <si>
    <t>NE3KA04B7114Tanker</t>
  </si>
  <si>
    <t>ne3ka04b7114tanker</t>
  </si>
  <si>
    <t>S2KA04D5296Tanker</t>
  </si>
  <si>
    <t>s2ka04d5296tanker</t>
  </si>
  <si>
    <t>12.8986 77.5120</t>
  </si>
  <si>
    <t>E2KA04C5158Jetting</t>
  </si>
  <si>
    <t>e2ka04c5158jetting</t>
  </si>
  <si>
    <t>12.9957 77.6659</t>
  </si>
  <si>
    <t>SW4KA04C5151Jetting</t>
  </si>
  <si>
    <t>sw4ka04c5151jetting</t>
  </si>
  <si>
    <t>12.9428 77.5993</t>
  </si>
  <si>
    <t>E4KA04AB6022Jetting</t>
  </si>
  <si>
    <t>e4ka04ab6022jetting</t>
  </si>
  <si>
    <t>12.9964 77.6769</t>
  </si>
  <si>
    <t>N1KA04AB6025JETTING</t>
  </si>
  <si>
    <t>n1ka04ab6025jetting</t>
  </si>
  <si>
    <t>13.0620 77.5048</t>
  </si>
  <si>
    <t>S2KA04AA7680Desilting</t>
  </si>
  <si>
    <t>s2ka04aa7680desilting</t>
  </si>
  <si>
    <t>12.8734 77.5847</t>
  </si>
  <si>
    <t>NE3KA04AA1782Desilting</t>
  </si>
  <si>
    <t>ne3ka04aa1782desilting</t>
  </si>
  <si>
    <t>13.0296 77.5702</t>
  </si>
  <si>
    <t>SW2KA04D5285Tanker</t>
  </si>
  <si>
    <t>sw2ka04d5285tanker</t>
  </si>
  <si>
    <t>12.9427 77.5758</t>
  </si>
  <si>
    <t>E4KA04D6650Jetting</t>
  </si>
  <si>
    <t>e4ka04d6650jetting</t>
  </si>
  <si>
    <t>12.9715 77.6816</t>
  </si>
  <si>
    <t>E1KA04D5294Tanker</t>
  </si>
  <si>
    <t>e1ka04d5294tanker</t>
  </si>
  <si>
    <t>13.0938 77.5899</t>
  </si>
  <si>
    <t>SE1KA04D4110Jetting</t>
  </si>
  <si>
    <t>se1ka04d4110jetting</t>
  </si>
  <si>
    <t>12.9439 77.6272</t>
  </si>
  <si>
    <t>WwmKA53B3474Dumping</t>
  </si>
  <si>
    <t>wwmka53b3474dumping</t>
  </si>
  <si>
    <t>13.0424 77.6014</t>
  </si>
  <si>
    <t>SW1KA04AA7685Desilting</t>
  </si>
  <si>
    <t>sw1ka04aa7685desilting</t>
  </si>
  <si>
    <t>12.9578 77.5660</t>
  </si>
  <si>
    <t>S4KA05D8083Tanker</t>
  </si>
  <si>
    <t>s4ka05d8083tanker</t>
  </si>
  <si>
    <t>12.9081 77.6395</t>
  </si>
  <si>
    <t>E3KA04SD4157Jetting</t>
  </si>
  <si>
    <t>e3ka04sd4157jetting</t>
  </si>
  <si>
    <t>13.0109 77.6675</t>
  </si>
  <si>
    <t>NE1KA04A9516Jetting</t>
  </si>
  <si>
    <t>ne1ka04a9516jetting</t>
  </si>
  <si>
    <t>12.9310 77.5399</t>
  </si>
  <si>
    <t>NW1KA04D6656Jetting</t>
  </si>
  <si>
    <t>nw1ka04d6656jetting</t>
  </si>
  <si>
    <t>12.9966 77.5531</t>
  </si>
  <si>
    <t>NE3KA04AA1780Desilting</t>
  </si>
  <si>
    <t>ne3ka04aa1780desilting</t>
  </si>
  <si>
    <t>13.0340 77.5991</t>
  </si>
  <si>
    <t>NE3KA04C3715Jetting</t>
  </si>
  <si>
    <t>ne3ka04c3715jetting</t>
  </si>
  <si>
    <t>13.0334 77.5898</t>
  </si>
  <si>
    <t>E1KA04AB6024Jetting</t>
  </si>
  <si>
    <t>e1ka04ab6024jetting</t>
  </si>
  <si>
    <t>13.0185 77.6293</t>
  </si>
  <si>
    <t>E3KA04C5159Jetting</t>
  </si>
  <si>
    <t>e3ka04c5159jetting</t>
  </si>
  <si>
    <t>NW3KA04AA7686Desilting</t>
  </si>
  <si>
    <t>nw3ka04aa7686desilting</t>
  </si>
  <si>
    <t>13.0328 77.5183</t>
  </si>
  <si>
    <t>E3KA04D5127Tanker</t>
  </si>
  <si>
    <t>e3ka04d5127tanker</t>
  </si>
  <si>
    <t>13.0078 77.6898</t>
  </si>
  <si>
    <t>NW3KA04D5165Jetting</t>
  </si>
  <si>
    <t>nw3ka04d5165jetting</t>
  </si>
  <si>
    <t>13.0327 77.5182</t>
  </si>
  <si>
    <t>WwmKC1KA04AA9020Desilting</t>
  </si>
  <si>
    <t>wwmkc1ka04aa9020desiltimg</t>
  </si>
  <si>
    <t>12.9581 77.6687</t>
  </si>
  <si>
    <t>S4KA04C5145Jetting</t>
  </si>
  <si>
    <t>s4ka04c5145jetting</t>
  </si>
  <si>
    <t>12.8973 77.6202</t>
  </si>
  <si>
    <t>E2KA04AB6020Jetting</t>
  </si>
  <si>
    <t>e2ka04ab6020jetting</t>
  </si>
  <si>
    <t>12.9602 77.7189</t>
  </si>
  <si>
    <t>WWMVV1KA04AA9029Desilting</t>
  </si>
  <si>
    <t>wwmvv1ka04aa9029desilting</t>
  </si>
  <si>
    <t>12.9366 77.5213</t>
  </si>
  <si>
    <t>NW1KA042D3161Tanker</t>
  </si>
  <si>
    <t>nw1ka042d3161tanker</t>
  </si>
  <si>
    <t>13.0073 77.5507</t>
  </si>
  <si>
    <t>S1KA05B6541Jetting</t>
  </si>
  <si>
    <t>s1ka05b6541jetting</t>
  </si>
  <si>
    <t>12.9093 77.5633</t>
  </si>
  <si>
    <t>NW1KA04C5131Jetting</t>
  </si>
  <si>
    <t>nw1ka04c5131jetting</t>
  </si>
  <si>
    <t>13.0074 77.5507</t>
  </si>
  <si>
    <t>SW4KA04D4106Jetting</t>
  </si>
  <si>
    <t>sw4ka04d4106jetting</t>
  </si>
  <si>
    <t>12.9354 77.5888</t>
  </si>
  <si>
    <t>NE1KA04B7112Tanker</t>
  </si>
  <si>
    <t>ne1ka04b7112tanker</t>
  </si>
  <si>
    <t>13.0115 77.5675</t>
  </si>
  <si>
    <t>N3KA02AC4524Jetting</t>
  </si>
  <si>
    <t>n3ka02ac4524jetting</t>
  </si>
  <si>
    <t>13.1016 77.5858</t>
  </si>
  <si>
    <t>NE3KA02AC5944Jetting</t>
  </si>
  <si>
    <t>ne3ka02ac5944jetting</t>
  </si>
  <si>
    <t>13.0102 77.5672</t>
  </si>
  <si>
    <t>NE2KA04AB5800Jetting</t>
  </si>
  <si>
    <t>ne2ka04ab5800jetting</t>
  </si>
  <si>
    <t>13.0104 77.5671</t>
  </si>
  <si>
    <t>SE1KA05AD2948Desilting</t>
  </si>
  <si>
    <t>se1ka05ad2948desilting</t>
  </si>
  <si>
    <t>C3KA02AC5935Jetting</t>
  </si>
  <si>
    <t>c3ka02ac5935jetting</t>
  </si>
  <si>
    <t>13.0015 77.6275</t>
  </si>
  <si>
    <t>SE3KA04A3044Jetting</t>
  </si>
  <si>
    <t>se3ka04a3044jetting</t>
  </si>
  <si>
    <t>12.9277 77.6214</t>
  </si>
  <si>
    <t>SE2KA04A3282Jetting</t>
  </si>
  <si>
    <t>se2ka04a3282jetting</t>
  </si>
  <si>
    <t>12.9827 77.6497</t>
  </si>
  <si>
    <t>NW3KA04AC5936Tanker</t>
  </si>
  <si>
    <t>nw3ka04ac5936tanker</t>
  </si>
  <si>
    <t>13.0327 77.5183</t>
  </si>
  <si>
    <t>C1KA02AC5939Jetting</t>
  </si>
  <si>
    <t>c1ka02ac5939jetting</t>
  </si>
  <si>
    <t>12.9719 77.5829</t>
  </si>
  <si>
    <t>C3KA04AA7688Desilting</t>
  </si>
  <si>
    <t>c3ka04aa7688desilting</t>
  </si>
  <si>
    <t>13.0014 77.6280</t>
  </si>
  <si>
    <t>S1KA04D5428Tanker</t>
  </si>
  <si>
    <t>s1ka04d5428tanker</t>
  </si>
  <si>
    <t>12.9114 77.6470</t>
  </si>
  <si>
    <t>WWMVV-2KA53B3467Jetting</t>
  </si>
  <si>
    <t>wwmvv2ka53b3467jetting</t>
  </si>
  <si>
    <t>12.9364 77.5212</t>
  </si>
  <si>
    <t>N3KA04C5142Jetting</t>
  </si>
  <si>
    <t>n3ka04c5142jetting</t>
  </si>
  <si>
    <t>13.0591 77.5874</t>
  </si>
  <si>
    <t>E1KA03C5060Tanker</t>
  </si>
  <si>
    <t>e1ka03c5060tanker</t>
  </si>
  <si>
    <t>13.0206 77.6497</t>
  </si>
  <si>
    <t>NW3KA04AB6028Jetting</t>
  </si>
  <si>
    <t>nw3ka04ab6028jetting</t>
  </si>
  <si>
    <t>13.0329 77.5181</t>
  </si>
  <si>
    <t>C2KA04D4107Jetting</t>
  </si>
  <si>
    <t>c2ka04d4107jetting</t>
  </si>
  <si>
    <t>12.9873 77.5897</t>
  </si>
  <si>
    <t>W1KA02B6769Jetting</t>
  </si>
  <si>
    <t>w1ka02b6769jetting</t>
  </si>
  <si>
    <t>12.9755 77.5618</t>
  </si>
  <si>
    <t>S1KA04D5233Tanker</t>
  </si>
  <si>
    <t>s1ka04d5233tanker</t>
  </si>
  <si>
    <t>12.9082 77.5349</t>
  </si>
  <si>
    <t>NW2KA04A3043Jetting</t>
  </si>
  <si>
    <t>nw2ka04a3043jetting</t>
  </si>
  <si>
    <t>12.9989 77.5462</t>
  </si>
  <si>
    <t>NW2KA04C5133jetting</t>
  </si>
  <si>
    <t>nw2ka04c5133jetting</t>
  </si>
  <si>
    <t>12.9949 77.5383</t>
  </si>
  <si>
    <t>S3KA04C5146Jetting</t>
  </si>
  <si>
    <t>s3ka04c5146jetting</t>
  </si>
  <si>
    <t>12.9160 77.6073</t>
  </si>
  <si>
    <t>C2KA04D5121Tanker</t>
  </si>
  <si>
    <t>c2ka04d5121tanker</t>
  </si>
  <si>
    <t>12.9873 77.5899</t>
  </si>
  <si>
    <t>W3KA04C5237Tanker</t>
  </si>
  <si>
    <t>w3ka04d5237tanker</t>
  </si>
  <si>
    <t>12.9195 77.5224</t>
  </si>
  <si>
    <t>SE1KA04AB5793Jetting</t>
  </si>
  <si>
    <t>se1ka04ab5793jetting</t>
  </si>
  <si>
    <t>12.9580 77.6123</t>
  </si>
  <si>
    <t>W3KA04D5305Tanker</t>
  </si>
  <si>
    <t>w3ka04d5305tanker</t>
  </si>
  <si>
    <t>12.9228 77.4833</t>
  </si>
  <si>
    <t>SE2KA04C2090Jetting</t>
  </si>
  <si>
    <t>se2ka04c2090jetting</t>
  </si>
  <si>
    <t>12.9830 77.6496</t>
  </si>
  <si>
    <t>W1KA04C9408Jetting</t>
  </si>
  <si>
    <t>w1ka04c9408jetting</t>
  </si>
  <si>
    <t>12.9746 77.5482</t>
  </si>
  <si>
    <t>NE1KA04C5161Jetting</t>
  </si>
  <si>
    <t>ne1ka04c5161jetting</t>
  </si>
  <si>
    <t>13.0106 77.5667</t>
  </si>
  <si>
    <t>NW2KA04AA9025Desilting</t>
  </si>
  <si>
    <t>nw2ka04aa9025desilting</t>
  </si>
  <si>
    <t>12.9950 77.5383</t>
  </si>
  <si>
    <t>S4KA04C4868Jetting</t>
  </si>
  <si>
    <t>s4ka04c4868jetting</t>
  </si>
  <si>
    <t>12.9114 77.6467</t>
  </si>
  <si>
    <t>N3KA04D5128Tanker</t>
  </si>
  <si>
    <t>n3ka04d5128tanker</t>
  </si>
  <si>
    <t>13.0592 77.5869</t>
  </si>
  <si>
    <t>N1KA04C5141Jetting</t>
  </si>
  <si>
    <t>n1ka04c5141jetting</t>
  </si>
  <si>
    <t>13.0622 77.5048</t>
  </si>
  <si>
    <t>S4KA04D4603Jetting</t>
  </si>
  <si>
    <t>s4ka04d4603jetting</t>
  </si>
  <si>
    <t>12.8975 77.6202</t>
  </si>
  <si>
    <t>S1KA03C5043Tanker</t>
  </si>
  <si>
    <t>s1ka03c5043tanker</t>
  </si>
  <si>
    <t>12.9093 77.5624</t>
  </si>
  <si>
    <t>S1KA04D4270Jetting</t>
  </si>
  <si>
    <t>s1ka04d4270jetting</t>
  </si>
  <si>
    <t>12.9091 77.5625</t>
  </si>
  <si>
    <t>NE2KA04C5137Jetting</t>
  </si>
  <si>
    <t>ne2ka04c5137jetting</t>
  </si>
  <si>
    <t>S4KA04AB5798Jetting</t>
  </si>
  <si>
    <t>s4ka04ab5798jetting</t>
  </si>
  <si>
    <t>12.9113 77.6467</t>
  </si>
  <si>
    <t>N3KA04AD5792Jetting</t>
  </si>
  <si>
    <t>n3ka04ad5792jetting</t>
  </si>
  <si>
    <t>13.0591 77.5870</t>
  </si>
  <si>
    <t>N2KA04AA9015Desilting</t>
  </si>
  <si>
    <t>n2ka04aa9015desilting</t>
  </si>
  <si>
    <t>13.1016 77.5859</t>
  </si>
  <si>
    <t>E3KA04AA9032Desilting</t>
  </si>
  <si>
    <t>e3ka04aa9032desilting</t>
  </si>
  <si>
    <t>13.0082 77.6900</t>
  </si>
  <si>
    <t>N3KA02AC4516Jetting</t>
  </si>
  <si>
    <t>n3ka02ac4516jetting</t>
  </si>
  <si>
    <t>13.0821 77.5400</t>
  </si>
  <si>
    <t>E3KA02AF6874Tanker</t>
  </si>
  <si>
    <t>e3ka02af6874tanker</t>
  </si>
  <si>
    <t>13.0082 77.6899</t>
  </si>
  <si>
    <t>N2KA04AB5791Jetting</t>
  </si>
  <si>
    <t>n2ka04ab5791jetting</t>
  </si>
  <si>
    <t>13.1017 77.5860</t>
  </si>
  <si>
    <t>E2KA04D5289Tanker</t>
  </si>
  <si>
    <t>e2ka04d5289tanker</t>
  </si>
  <si>
    <t>12.9770 77.7114</t>
  </si>
  <si>
    <t>N1KA04D5126Tanker</t>
  </si>
  <si>
    <t>n1ka04d5126tanker</t>
  </si>
  <si>
    <t>13.0621 77.5048</t>
  </si>
  <si>
    <t>W4KA02D3152Tanker</t>
  </si>
  <si>
    <t>w4ka02d3152tanker</t>
  </si>
  <si>
    <t>SE1KA04AA9030Desilting</t>
  </si>
  <si>
    <t>se1ka04aa9030desilting</t>
  </si>
  <si>
    <t>12.9580 77.6124</t>
  </si>
  <si>
    <t>NW1KA04D3161Tanker</t>
  </si>
  <si>
    <t>nw1ka04d3161tanker</t>
  </si>
  <si>
    <t>12.9887 77.5523</t>
  </si>
  <si>
    <t>13.0114 77.5671</t>
  </si>
  <si>
    <t>SW3KA04C5147Jetting</t>
  </si>
  <si>
    <t>sw3ka04c5147jetting</t>
  </si>
  <si>
    <t>12.9434 77.5767</t>
  </si>
  <si>
    <t>WWMKC2KA53B3472Jetting</t>
  </si>
  <si>
    <t>wwmkc2ka53b3472jetting</t>
  </si>
  <si>
    <t>WWMKC1KA53B3468Jetting</t>
  </si>
  <si>
    <t>wwmkc1ka53b3468jetting</t>
  </si>
  <si>
    <t>12.9564 77.6433</t>
  </si>
  <si>
    <t>SW1KA01B9896Tanker</t>
  </si>
  <si>
    <t>sw1ka01b9896tanker</t>
  </si>
  <si>
    <t>12.9427 77.5759</t>
  </si>
  <si>
    <t>SE1KA05D8227Tanker</t>
  </si>
  <si>
    <t>se1ka05d8227tanker</t>
  </si>
  <si>
    <t>12.9613 77.6383</t>
  </si>
  <si>
    <t>SE3KA04AA7687Desilting</t>
  </si>
  <si>
    <t>se3ka04aa7687desilting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</si>
</sst>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hh:mm:ss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rgb="FF1F1F1F"/>
      <name val="&quot;Google Sans Mono&quot;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0F4F9"/>
        <bgColor rgb="FFF0F4F9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left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>
  <x18tc:person displayName="Prajwal Thanjavur" id="{6045a8cc-ea91-4e22-9261-3c0d12a3c536}" providerId="google-sheets"/>
  <x18tc:person displayName="ramana.tadepalli1@gmail.com" id="{3ed63d9d-d5f9-4bf8-a54e-bff8e512b944}" userId="ramana.tadepalli1@gmail.com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2609"/>
  <sheetViews>
    <sheetView tabSelected="1" topLeftCell="A81" workbookViewId="0">
      <selection activeCell="D23" sqref="D23"/>
    </sheetView>
  </sheetViews>
  <sheetFormatPr defaultColWidth="12.6640625" defaultRowHeight="15.75" customHeight="1" outlineLevelRow="1"/>
  <cols>
    <col min="2" max="2" width="30.33203125" customWidth="1"/>
    <col min="3" max="3" width="27.77734375" customWidth="1"/>
    <col min="7" max="7" width="16" customWidth="1"/>
    <col min="8" max="8" width="35" customWidth="1"/>
    <col min="10" max="10" width="19.33203125" customWidth="1"/>
  </cols>
  <sheetData>
    <row r="1" spans="1:26" ht="13.2">
      <c r="A1" s="4" t="s">
        <v>84</v>
      </c>
      <c r="B1" s="4" t="s">
        <v>0</v>
      </c>
      <c r="C1" s="4" t="s">
        <v>85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90</v>
      </c>
      <c r="I1" s="4" t="s">
        <v>1</v>
      </c>
      <c r="J1" s="4" t="s">
        <v>91</v>
      </c>
    </row>
    <row r="2" spans="1:26" ht="13.2">
      <c r="A2" s="5">
        <f ca="1">IFERROR(__xludf.DUMMYFUNCTION("QUERY({May_2022!A:Z; June_2022!A:Z; July_2022!A:Z; August_2022!A:Z; September_2022!A:Z; October_2022!A:Z; RA_05!A:Z; RA_06!A:Z; RA_07!A:Z; RA_08!A:Z; RA_09!A:Z; RA_10!A:Z; RA_11!A:Z}, ""SELECT * WHERE Col2 IS NOT NULL ORDER BY Col2"", 0)"),67)</f>
        <v>67</v>
      </c>
      <c r="B2" s="1" t="str">
        <f ca="1">IFERROR(__xludf.DUMMYFUNCTION("""COMPUTED_VALUE"""),"C1_KA01D7292_JETTING")</f>
        <v>C1_KA01D7292_JETTING</v>
      </c>
      <c r="C2" s="1" t="str">
        <f ca="1">IFERROR(__xludf.DUMMYFUNCTION("""COMPUTED_VALUE"""),"c1_ka01d7292_jetting")</f>
        <v>c1_ka01d7292_jetting</v>
      </c>
      <c r="D2" s="2">
        <f ca="1">IFERROR(__xludf.DUMMYFUNCTION("""COMPUTED_VALUE"""),41640)</f>
        <v>41640</v>
      </c>
      <c r="E2" s="3">
        <f ca="1">IFERROR(__xludf.DUMMYFUNCTION("""COMPUTED_VALUE"""),0.562581018519267)</f>
        <v>0.56258101851926701</v>
      </c>
      <c r="F2" s="1">
        <f ca="1">IFERROR(__xludf.DUMMYFUNCTION("""COMPUTED_VALUE"""),25378)</f>
        <v>25378</v>
      </c>
      <c r="G2" s="1"/>
      <c r="H2" s="1"/>
      <c r="I2" s="1"/>
      <c r="J2" s="1" t="str">
        <f ca="1">IFERROR(__xludf.DUMMYFUNCTION("""COMPUTED_VALUE"""),"0d 00h 00m")</f>
        <v>0d 00h 00m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2">
      <c r="A3" s="1">
        <f ca="1">IFERROR(__xludf.DUMMYFUNCTION("""COMPUTED_VALUE"""),67)</f>
        <v>67</v>
      </c>
      <c r="B3" s="1" t="str">
        <f ca="1">IFERROR(__xludf.DUMMYFUNCTION("""COMPUTED_VALUE"""),"C1_KA01D7292_JETTING")</f>
        <v>C1_KA01D7292_JETTING</v>
      </c>
      <c r="C3" s="1" t="str">
        <f ca="1">IFERROR(__xludf.DUMMYFUNCTION("""COMPUTED_VALUE"""),"c1_ka01d7292_jetting")</f>
        <v>c1_ka01d7292_jetting</v>
      </c>
      <c r="D3" s="2">
        <f ca="1">IFERROR(__xludf.DUMMYFUNCTION("""COMPUTED_VALUE"""),41640)</f>
        <v>41640</v>
      </c>
      <c r="E3" s="3">
        <f ca="1">IFERROR(__xludf.DUMMYFUNCTION("""COMPUTED_VALUE"""),0.562581018519267)</f>
        <v>0.56258101851926701</v>
      </c>
      <c r="F3" s="1">
        <f ca="1">IFERROR(__xludf.DUMMYFUNCTION("""COMPUTED_VALUE"""),25378)</f>
        <v>25378</v>
      </c>
      <c r="G3" s="1"/>
      <c r="H3" s="1"/>
      <c r="I3" s="1"/>
      <c r="J3" s="1" t="str">
        <f ca="1">IFERROR(__xludf.DUMMYFUNCTION("""COMPUTED_VALUE"""),"0d 00h 00m")</f>
        <v>0d 00h 00m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2">
      <c r="A4" s="1">
        <f ca="1">IFERROR(__xludf.DUMMYFUNCTION("""COMPUTED_VALUE"""),66)</f>
        <v>66</v>
      </c>
      <c r="B4" s="1" t="str">
        <f ca="1">IFERROR(__xludf.DUMMYFUNCTION("""COMPUTED_VALUE"""),"C1_KA01D7292_JETTING")</f>
        <v>C1_KA01D7292_JETTING</v>
      </c>
      <c r="C4" s="1" t="str">
        <f ca="1">IFERROR(__xludf.DUMMYFUNCTION("""COMPUTED_VALUE"""),"c1_ka01d7292_jetting")</f>
        <v>c1_ka01d7292_jetting</v>
      </c>
      <c r="D4" s="2">
        <f ca="1">IFERROR(__xludf.DUMMYFUNCTION("""COMPUTED_VALUE"""),41640)</f>
        <v>41640</v>
      </c>
      <c r="E4" s="3">
        <f ca="1">IFERROR(__xludf.DUMMYFUNCTION("""COMPUTED_VALUE"""),0.562581018519267)</f>
        <v>0.56258101851926701</v>
      </c>
      <c r="F4" s="1">
        <f ca="1">IFERROR(__xludf.DUMMYFUNCTION("""COMPUTED_VALUE"""),25378)</f>
        <v>25378</v>
      </c>
      <c r="G4" s="1"/>
      <c r="H4" s="1"/>
      <c r="I4" s="1"/>
      <c r="J4" s="1" t="str">
        <f ca="1">IFERROR(__xludf.DUMMYFUNCTION("""COMPUTED_VALUE"""),"0d 00h 00m")</f>
        <v>0d 00h 00m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2">
      <c r="A5" s="1">
        <f ca="1">IFERROR(__xludf.DUMMYFUNCTION("""COMPUTED_VALUE"""),66)</f>
        <v>66</v>
      </c>
      <c r="B5" s="1" t="str">
        <f ca="1">IFERROR(__xludf.DUMMYFUNCTION("""COMPUTED_VALUE"""),"C1_KA01D7292_JETTING")</f>
        <v>C1_KA01D7292_JETTING</v>
      </c>
      <c r="C5" s="1" t="str">
        <f ca="1">IFERROR(__xludf.DUMMYFUNCTION("""COMPUTED_VALUE"""),"c1_ka01d7292_jetting")</f>
        <v>c1_ka01d7292_jetting</v>
      </c>
      <c r="D5" s="2">
        <f ca="1">IFERROR(__xludf.DUMMYFUNCTION("""COMPUTED_VALUE"""),41640)</f>
        <v>41640</v>
      </c>
      <c r="E5" s="3">
        <f ca="1">IFERROR(__xludf.DUMMYFUNCTION("""COMPUTED_VALUE"""),0.562581018519267)</f>
        <v>0.56258101851926701</v>
      </c>
      <c r="F5" s="1">
        <f ca="1">IFERROR(__xludf.DUMMYFUNCTION("""COMPUTED_VALUE"""),25378)</f>
        <v>25378</v>
      </c>
      <c r="G5" s="1"/>
      <c r="H5" s="1"/>
      <c r="I5" s="1"/>
      <c r="J5" s="1" t="str">
        <f ca="1">IFERROR(__xludf.DUMMYFUNCTION("""COMPUTED_VALUE"""),"0d 00h 00m")</f>
        <v>0d 00h 00m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2">
      <c r="A6" s="1">
        <f ca="1">IFERROR(__xludf.DUMMYFUNCTION("""COMPUTED_VALUE"""),66)</f>
        <v>66</v>
      </c>
      <c r="B6" s="1" t="str">
        <f ca="1">IFERROR(__xludf.DUMMYFUNCTION("""COMPUTED_VALUE"""),"C1_KA01D7292_JETTING")</f>
        <v>C1_KA01D7292_JETTING</v>
      </c>
      <c r="C6" s="1" t="str">
        <f ca="1">IFERROR(__xludf.DUMMYFUNCTION("""COMPUTED_VALUE"""),"c1_ka01d7292_jetting")</f>
        <v>c1_ka01d7292_jetting</v>
      </c>
      <c r="D6" s="2">
        <f ca="1">IFERROR(__xludf.DUMMYFUNCTION("""COMPUTED_VALUE"""),41640)</f>
        <v>41640</v>
      </c>
      <c r="E6" s="3">
        <f ca="1">IFERROR(__xludf.DUMMYFUNCTION("""COMPUTED_VALUE"""),0.562581018519267)</f>
        <v>0.56258101851926701</v>
      </c>
      <c r="F6" s="1">
        <f ca="1">IFERROR(__xludf.DUMMYFUNCTION("""COMPUTED_VALUE"""),25378)</f>
        <v>25378</v>
      </c>
      <c r="G6" s="1"/>
      <c r="H6" s="1"/>
      <c r="I6" s="1"/>
      <c r="J6" s="1" t="str">
        <f ca="1">IFERROR(__xludf.DUMMYFUNCTION("""COMPUTED_VALUE"""),"0d 00h 00m")</f>
        <v>0d 00h 00m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>
      <c r="A7" s="1">
        <f ca="1">IFERROR(__xludf.DUMMYFUNCTION("""COMPUTED_VALUE"""),66)</f>
        <v>66</v>
      </c>
      <c r="B7" s="1" t="str">
        <f ca="1">IFERROR(__xludf.DUMMYFUNCTION("""COMPUTED_VALUE"""),"C1_KA01D7292_JETTING")</f>
        <v>C1_KA01D7292_JETTING</v>
      </c>
      <c r="C7" s="1" t="str">
        <f ca="1">IFERROR(__xludf.DUMMYFUNCTION("""COMPUTED_VALUE"""),"c1_ka01d7292_jetting")</f>
        <v>c1_ka01d7292_jetting</v>
      </c>
      <c r="D7" s="2">
        <f ca="1">IFERROR(__xludf.DUMMYFUNCTION("""COMPUTED_VALUE"""),41640)</f>
        <v>41640</v>
      </c>
      <c r="E7" s="3">
        <f ca="1">IFERROR(__xludf.DUMMYFUNCTION("""COMPUTED_VALUE"""),0.562581018519267)</f>
        <v>0.56258101851926701</v>
      </c>
      <c r="F7" s="1">
        <f ca="1">IFERROR(__xludf.DUMMYFUNCTION("""COMPUTED_VALUE"""),25378)</f>
        <v>25378</v>
      </c>
      <c r="G7" s="1"/>
      <c r="H7" s="1"/>
      <c r="I7" s="1"/>
      <c r="J7" s="1" t="str">
        <f ca="1">IFERROR(__xludf.DUMMYFUNCTION("""COMPUTED_VALUE"""),"0d 00h 00m")</f>
        <v>0d 00h 00m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>
      <c r="A8" s="1">
        <f ca="1">IFERROR(__xludf.DUMMYFUNCTION("""COMPUTED_VALUE"""),66)</f>
        <v>66</v>
      </c>
      <c r="B8" s="1" t="str">
        <f ca="1">IFERROR(__xludf.DUMMYFUNCTION("""COMPUTED_VALUE"""),"C1_KA01D7292_JETTING")</f>
        <v>C1_KA01D7292_JETTING</v>
      </c>
      <c r="C8" s="1" t="str">
        <f ca="1">IFERROR(__xludf.DUMMYFUNCTION("""COMPUTED_VALUE"""),"c1_ka01d7292_jetting")</f>
        <v>c1_ka01d7292_jetting</v>
      </c>
      <c r="D8" s="2">
        <f ca="1">IFERROR(__xludf.DUMMYFUNCTION("""COMPUTED_VALUE"""),41640)</f>
        <v>41640</v>
      </c>
      <c r="E8" s="3">
        <f ca="1">IFERROR(__xludf.DUMMYFUNCTION("""COMPUTED_VALUE"""),0.562581018519267)</f>
        <v>0.56258101851926701</v>
      </c>
      <c r="F8" s="1">
        <f ca="1">IFERROR(__xludf.DUMMYFUNCTION("""COMPUTED_VALUE"""),25378)</f>
        <v>25378</v>
      </c>
      <c r="G8" s="1"/>
      <c r="H8" s="1"/>
      <c r="I8" s="1"/>
      <c r="J8" s="1" t="str">
        <f ca="1">IFERROR(__xludf.DUMMYFUNCTION("""COMPUTED_VALUE"""),"0d 00h 00m")</f>
        <v>0d 00h 00m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>
      <c r="A9" s="1">
        <f ca="1">IFERROR(__xludf.DUMMYFUNCTION("""COMPUTED_VALUE"""),156)</f>
        <v>156</v>
      </c>
      <c r="B9" s="1" t="str">
        <f ca="1">IFERROR(__xludf.DUMMYFUNCTION("""COMPUTED_VALUE"""),"C1_KA02AC5939_Jetting")</f>
        <v>C1_KA02AC5939_Jetting</v>
      </c>
      <c r="C9" s="1" t="str">
        <f ca="1">IFERROR(__xludf.DUMMYFUNCTION("""COMPUTED_VALUE"""),"c1_ka02ac5939_jetting")</f>
        <v>c1_ka02ac5939_jetting</v>
      </c>
      <c r="D9" s="2">
        <f ca="1">IFERROR(__xludf.DUMMYFUNCTION("""COMPUTED_VALUE"""),44707)</f>
        <v>44707</v>
      </c>
      <c r="E9" s="3">
        <f ca="1">IFERROR(__xludf.DUMMYFUNCTION("""COMPUTED_VALUE"""),0.998993055556638)</f>
        <v>0.99899305555663798</v>
      </c>
      <c r="F9" s="1">
        <f ca="1">IFERROR(__xludf.DUMMYFUNCTION("""COMPUTED_VALUE"""),12409)</f>
        <v>12409</v>
      </c>
      <c r="G9" s="1" t="str">
        <f ca="1">IFERROR(__xludf.DUMMYFUNCTION("""COMPUTED_VALUE"""),"12.9719/77.5829")</f>
        <v>12.9719/77.5829</v>
      </c>
      <c r="H9" s="1" t="str">
        <f ca="1">IFERROR(__xludf.DUMMYFUNCTION("""COMPUTED_VALUE"""),"Mysore Bank")</f>
        <v>Mysore Bank</v>
      </c>
      <c r="I9" s="1"/>
      <c r="J9" s="1" t="str">
        <f ca="1">IFERROR(__xludf.DUMMYFUNCTION("""COMPUTED_VALUE"""),"0d 00h 00m")</f>
        <v>0d 00h 00m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2">
      <c r="A10" s="1">
        <f ca="1">IFERROR(__xludf.DUMMYFUNCTION("""COMPUTED_VALUE"""),236)</f>
        <v>236</v>
      </c>
      <c r="B10" s="1" t="str">
        <f ca="1">IFERROR(__xludf.DUMMYFUNCTION("""COMPUTED_VALUE"""),"C1_KA02AC5939_Jetting")</f>
        <v>C1_KA02AC5939_Jetting</v>
      </c>
      <c r="C10" s="1" t="str">
        <f ca="1">IFERROR(__xludf.DUMMYFUNCTION("""COMPUTED_VALUE"""),"c1_ka02ac5939_jetting")</f>
        <v>c1_ka02ac5939_jetting</v>
      </c>
      <c r="D10" s="2">
        <f ca="1">IFERROR(__xludf.DUMMYFUNCTION("""COMPUTED_VALUE"""),44738)</f>
        <v>44738</v>
      </c>
      <c r="E10" s="3">
        <f ca="1">IFERROR(__xludf.DUMMYFUNCTION("""COMPUTED_VALUE"""),0.999317129630071)</f>
        <v>0.99931712963007102</v>
      </c>
      <c r="F10" s="1">
        <f ca="1">IFERROR(__xludf.DUMMYFUNCTION("""COMPUTED_VALUE"""),12683)</f>
        <v>12683</v>
      </c>
      <c r="G10" s="1" t="str">
        <f ca="1">IFERROR(__xludf.DUMMYFUNCTION("""COMPUTED_VALUE"""),"12.9717/77.5829")</f>
        <v>12.9717/77.5829</v>
      </c>
      <c r="H10" s="1" t="str">
        <f ca="1">IFERROR(__xludf.DUMMYFUNCTION("""COMPUTED_VALUE"""),"Mysore Bank")</f>
        <v>Mysore Bank</v>
      </c>
      <c r="I10" s="1"/>
      <c r="J10" s="1" t="str">
        <f ca="1">IFERROR(__xludf.DUMMYFUNCTION("""COMPUTED_VALUE"""),"0d 00h 00m")</f>
        <v>0d 00h 00m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2">
      <c r="A11" s="1">
        <f ca="1">IFERROR(__xludf.DUMMYFUNCTION("""COMPUTED_VALUE"""),197)</f>
        <v>197</v>
      </c>
      <c r="B11" s="1" t="str">
        <f ca="1">IFERROR(__xludf.DUMMYFUNCTION("""COMPUTED_VALUE"""),"C1_KA02AC5939_Jetting")</f>
        <v>C1_KA02AC5939_Jetting</v>
      </c>
      <c r="C11" s="1" t="str">
        <f ca="1">IFERROR(__xludf.DUMMYFUNCTION("""COMPUTED_VALUE"""),"c1_ka02ac5939_jetting")</f>
        <v>c1_ka02ac5939_jetting</v>
      </c>
      <c r="D11" s="2">
        <f ca="1">IFERROR(__xludf.DUMMYFUNCTION("""COMPUTED_VALUE"""),44768)</f>
        <v>44768</v>
      </c>
      <c r="E11" s="3">
        <f ca="1">IFERROR(__xludf.DUMMYFUNCTION("""COMPUTED_VALUE"""),0.999120370372111)</f>
        <v>0.99912037037211099</v>
      </c>
      <c r="F11" s="1">
        <f ca="1">IFERROR(__xludf.DUMMYFUNCTION("""COMPUTED_VALUE"""),13980)</f>
        <v>13980</v>
      </c>
      <c r="G11" s="1" t="str">
        <f ca="1">IFERROR(__xludf.DUMMYFUNCTION("""COMPUTED_VALUE"""),"12.9716/77.5826")</f>
        <v>12.9716/77.5826</v>
      </c>
      <c r="H11" s="1" t="str">
        <f ca="1">IFERROR(__xludf.DUMMYFUNCTION("""COMPUTED_VALUE"""),"Mysore Bank")</f>
        <v>Mysore Bank</v>
      </c>
      <c r="I11" s="1"/>
      <c r="J11" s="1" t="str">
        <f ca="1">IFERROR(__xludf.DUMMYFUNCTION("""COMPUTED_VALUE"""),"0d 00h 00m")</f>
        <v>0d 00h 00m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2">
      <c r="A12" s="1">
        <f ca="1">IFERROR(__xludf.DUMMYFUNCTION("""COMPUTED_VALUE"""),173)</f>
        <v>173</v>
      </c>
      <c r="B12" s="1" t="str">
        <f ca="1">IFERROR(__xludf.DUMMYFUNCTION("""COMPUTED_VALUE"""),"C1_KA02AC5939_Jetting")</f>
        <v>C1_KA02AC5939_Jetting</v>
      </c>
      <c r="C12" s="1" t="str">
        <f ca="1">IFERROR(__xludf.DUMMYFUNCTION("""COMPUTED_VALUE"""),"c1_ka02ac5939_jetting")</f>
        <v>c1_ka02ac5939_jetting</v>
      </c>
      <c r="D12" s="2">
        <f ca="1">IFERROR(__xludf.DUMMYFUNCTION("""COMPUTED_VALUE"""),44799)</f>
        <v>44799</v>
      </c>
      <c r="E12" s="3">
        <f ca="1">IFERROR(__xludf.DUMMYFUNCTION("""COMPUTED_VALUE"""),0.998993055556638)</f>
        <v>0.99899305555663798</v>
      </c>
      <c r="F12" s="1">
        <f ca="1">IFERROR(__xludf.DUMMYFUNCTION("""COMPUTED_VALUE"""),14356)</f>
        <v>14356</v>
      </c>
      <c r="G12" s="1" t="str">
        <f ca="1">IFERROR(__xludf.DUMMYFUNCTION("""COMPUTED_VALUE"""),"12.9718/77.5829")</f>
        <v>12.9718/77.5829</v>
      </c>
      <c r="H12" s="1" t="str">
        <f ca="1">IFERROR(__xludf.DUMMYFUNCTION("""COMPUTED_VALUE"""),"Mysore Bank")</f>
        <v>Mysore Bank</v>
      </c>
      <c r="I12" s="1"/>
      <c r="J12" s="1" t="str">
        <f ca="1">IFERROR(__xludf.DUMMYFUNCTION("""COMPUTED_VALUE"""),"0d 00h 00m")</f>
        <v>0d 00h 00m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2">
      <c r="A13" s="1">
        <f ca="1">IFERROR(__xludf.DUMMYFUNCTION("""COMPUTED_VALUE"""),203)</f>
        <v>203</v>
      </c>
      <c r="B13" s="1" t="str">
        <f ca="1">IFERROR(__xludf.DUMMYFUNCTION("""COMPUTED_VALUE"""),"C1_KA02AC5939_Jetting")</f>
        <v>C1_KA02AC5939_Jetting</v>
      </c>
      <c r="C13" s="1" t="str">
        <f ca="1">IFERROR(__xludf.DUMMYFUNCTION("""COMPUTED_VALUE"""),"c1_ka02ac5939_jetting")</f>
        <v>c1_ka02ac5939_jetting</v>
      </c>
      <c r="D13" s="2">
        <f ca="1">IFERROR(__xludf.DUMMYFUNCTION("""COMPUTED_VALUE"""),44830)</f>
        <v>44830</v>
      </c>
      <c r="E13" s="3">
        <f ca="1">IFERROR(__xludf.DUMMYFUNCTION("""COMPUTED_VALUE"""),0.999166666668315)</f>
        <v>0.999166666668315</v>
      </c>
      <c r="F13" s="1">
        <f ca="1">IFERROR(__xludf.DUMMYFUNCTION("""COMPUTED_VALUE"""),14782)</f>
        <v>14782</v>
      </c>
      <c r="G13" s="1" t="str">
        <f ca="1">IFERROR(__xludf.DUMMYFUNCTION("""COMPUTED_VALUE"""),"12.9719/77.5828")</f>
        <v>12.9719/77.5828</v>
      </c>
      <c r="H13" s="1" t="str">
        <f ca="1">IFERROR(__xludf.DUMMYFUNCTION("""COMPUTED_VALUE"""),"Mysore Bank")</f>
        <v>Mysore Bank</v>
      </c>
      <c r="I13" s="1"/>
      <c r="J13" s="1" t="str">
        <f ca="1">IFERROR(__xludf.DUMMYFUNCTION("""COMPUTED_VALUE"""),"0d 00h 00m")</f>
        <v>0d 00h 00m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2">
      <c r="A14" s="1">
        <f ca="1">IFERROR(__xludf.DUMMYFUNCTION("""COMPUTED_VALUE"""),226)</f>
        <v>226</v>
      </c>
      <c r="B14" s="1" t="str">
        <f ca="1">IFERROR(__xludf.DUMMYFUNCTION("""COMPUTED_VALUE"""),"C1_KA02AC5939_Jetting")</f>
        <v>C1_KA02AC5939_Jetting</v>
      </c>
      <c r="C14" s="1" t="str">
        <f ca="1">IFERROR(__xludf.DUMMYFUNCTION("""COMPUTED_VALUE"""),"c1_ka02ac5939_jetting")</f>
        <v>c1_ka02ac5939_jetting</v>
      </c>
      <c r="D14" s="2">
        <f ca="1">IFERROR(__xludf.DUMMYFUNCTION("""COMPUTED_VALUE"""),44860)</f>
        <v>44860</v>
      </c>
      <c r="E14" s="3">
        <f ca="1">IFERROR(__xludf.DUMMYFUNCTION("""COMPUTED_VALUE"""),0.999270833333866)</f>
        <v>0.99927083333386602</v>
      </c>
      <c r="F14" s="1">
        <f ca="1">IFERROR(__xludf.DUMMYFUNCTION("""COMPUTED_VALUE"""),14977)</f>
        <v>14977</v>
      </c>
      <c r="G14" s="1" t="str">
        <f ca="1">IFERROR(__xludf.DUMMYFUNCTION("""COMPUTED_VALUE"""),"12.9721/77.5831")</f>
        <v>12.9721/77.5831</v>
      </c>
      <c r="H14" s="1" t="str">
        <f ca="1">IFERROR(__xludf.DUMMYFUNCTION("""COMPUTED_VALUE"""),"Mysore Bank")</f>
        <v>Mysore Bank</v>
      </c>
      <c r="I14" s="1"/>
      <c r="J14" s="1" t="str">
        <f ca="1">IFERROR(__xludf.DUMMYFUNCTION("""COMPUTED_VALUE"""),"0d 00h 00m")</f>
        <v>0d 00h 00m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2">
      <c r="A15" s="1">
        <f ca="1">IFERROR(__xludf.DUMMYFUNCTION("""COMPUTED_VALUE"""),55)</f>
        <v>55</v>
      </c>
      <c r="B15" s="1" t="str">
        <f ca="1">IFERROR(__xludf.DUMMYFUNCTION("""COMPUTED_VALUE"""),"C1_KA041A7291_Jetting")</f>
        <v>C1_KA041A7291_Jetting</v>
      </c>
      <c r="C15" s="1" t="str">
        <f ca="1">IFERROR(__xludf.DUMMYFUNCTION("""COMPUTED_VALUE"""),"c1_ka041a7291_jetting")</f>
        <v>c1_ka041a7291_jetting</v>
      </c>
      <c r="D15" s="2">
        <f ca="1">IFERROR(__xludf.DUMMYFUNCTION("""COMPUTED_VALUE"""),44656)</f>
        <v>44656</v>
      </c>
      <c r="E15" s="3">
        <f ca="1">IFERROR(__xludf.DUMMYFUNCTION("""COMPUTED_VALUE"""),0.420694444444961)</f>
        <v>0.42069444444496101</v>
      </c>
      <c r="F15" s="1">
        <f ca="1">IFERROR(__xludf.DUMMYFUNCTION("""COMPUTED_VALUE"""),12340)</f>
        <v>12340</v>
      </c>
      <c r="G15" s="1" t="str">
        <f ca="1">IFERROR(__xludf.DUMMYFUNCTION("""COMPUTED_VALUE"""),"12.9828/77.5851")</f>
        <v>12.9828/77.5851</v>
      </c>
      <c r="H15" s="1" t="str">
        <f ca="1">IFERROR(__xludf.DUMMYFUNCTION("""COMPUTED_VALUE"""),"Kanija Bhavan")</f>
        <v>Kanija Bhavan</v>
      </c>
      <c r="I15" s="1"/>
      <c r="J15" s="1" t="str">
        <f ca="1">IFERROR(__xludf.DUMMYFUNCTION("""COMPUTED_VALUE"""),"1d 22h 06m")</f>
        <v>1d 22h 06m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2">
      <c r="A16" s="1">
        <f ca="1">IFERROR(__xludf.DUMMYFUNCTION("""COMPUTED_VALUE"""),47)</f>
        <v>47</v>
      </c>
      <c r="B16" s="1" t="str">
        <f ca="1">IFERROR(__xludf.DUMMYFUNCTION("""COMPUTED_VALUE"""),"C1_KA041A7291_Jetting")</f>
        <v>C1_KA041A7291_Jetting</v>
      </c>
      <c r="C16" s="1" t="str">
        <f ca="1">IFERROR(__xludf.DUMMYFUNCTION("""COMPUTED_VALUE"""),"c1_ka041a7291_jetting")</f>
        <v>c1_ka041a7291_jetting</v>
      </c>
      <c r="D16" s="2">
        <f ca="1">IFERROR(__xludf.DUMMYFUNCTION("""COMPUTED_VALUE"""),44656)</f>
        <v>44656</v>
      </c>
      <c r="E16" s="3">
        <f ca="1">IFERROR(__xludf.DUMMYFUNCTION("""COMPUTED_VALUE"""),0.420694444444961)</f>
        <v>0.42069444444496101</v>
      </c>
      <c r="F16" s="1">
        <f ca="1">IFERROR(__xludf.DUMMYFUNCTION("""COMPUTED_VALUE"""),12340)</f>
        <v>12340</v>
      </c>
      <c r="G16" s="1" t="str">
        <f ca="1">IFERROR(__xludf.DUMMYFUNCTION("""COMPUTED_VALUE"""),"12.9828/77.5851")</f>
        <v>12.9828/77.5851</v>
      </c>
      <c r="H16" s="1" t="str">
        <f ca="1">IFERROR(__xludf.DUMMYFUNCTION("""COMPUTED_VALUE"""),"Kanija Bhavan")</f>
        <v>Kanija Bhavan</v>
      </c>
      <c r="I16" s="1"/>
      <c r="J16" s="1" t="str">
        <f ca="1">IFERROR(__xludf.DUMMYFUNCTION("""COMPUTED_VALUE"""),"1d 22h 07m")</f>
        <v>1d 22h 07m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2">
      <c r="A17" s="1">
        <f ca="1">IFERROR(__xludf.DUMMYFUNCTION("""COMPUTED_VALUE"""),120)</f>
        <v>120</v>
      </c>
      <c r="B17" s="1" t="str">
        <f ca="1">IFERROR(__xludf.DUMMYFUNCTION("""COMPUTED_VALUE"""),"C1_KA041A7291_Jetting")</f>
        <v>C1_KA041A7291_Jetting</v>
      </c>
      <c r="C17" s="1" t="str">
        <f ca="1">IFERROR(__xludf.DUMMYFUNCTION("""COMPUTED_VALUE"""),"c1_ka041a7291_jetting")</f>
        <v>c1_ka041a7291_jetting</v>
      </c>
      <c r="D17" s="2">
        <f ca="1">IFERROR(__xludf.DUMMYFUNCTION("""COMPUTED_VALUE"""),44765)</f>
        <v>44765</v>
      </c>
      <c r="E17" s="3">
        <f ca="1">IFERROR(__xludf.DUMMYFUNCTION("""COMPUTED_VALUE"""),0.567824074074451)</f>
        <v>0.56782407407445101</v>
      </c>
      <c r="F17" s="1">
        <f ca="1">IFERROR(__xludf.DUMMYFUNCTION("""COMPUTED_VALUE"""),12341)</f>
        <v>12341</v>
      </c>
      <c r="G17" s="1" t="str">
        <f ca="1">IFERROR(__xludf.DUMMYFUNCTION("""COMPUTED_VALUE"""),"12.9880/77.5792")</f>
        <v>12.9880/77.5792</v>
      </c>
      <c r="H17" s="1" t="str">
        <f ca="1">IFERROR(__xludf.DUMMYFUNCTION("""COMPUTED_VALUE"""),"Ramada Bangalore")</f>
        <v>Ramada Bangalore</v>
      </c>
      <c r="I17" s="1"/>
      <c r="J17" s="1" t="str">
        <f ca="1">IFERROR(__xludf.DUMMYFUNCTION("""COMPUTED_VALUE"""),"1d 22h 08m")</f>
        <v>1d 22h 08m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2">
      <c r="A18" s="1">
        <f ca="1">IFERROR(__xludf.DUMMYFUNCTION("""COMPUTED_VALUE"""),91)</f>
        <v>91</v>
      </c>
      <c r="B18" s="1" t="str">
        <f ca="1">IFERROR(__xludf.DUMMYFUNCTION("""COMPUTED_VALUE"""),"C1_KA041A7291_Jetting")</f>
        <v>C1_KA041A7291_Jetting</v>
      </c>
      <c r="C18" s="1" t="str">
        <f ca="1">IFERROR(__xludf.DUMMYFUNCTION("""COMPUTED_VALUE"""),"c1_ka041a7291_jetting")</f>
        <v>c1_ka041a7291_jetting</v>
      </c>
      <c r="D18" s="2">
        <f ca="1">IFERROR(__xludf.DUMMYFUNCTION("""COMPUTED_VALUE"""),44777)</f>
        <v>44777</v>
      </c>
      <c r="E18" s="3">
        <f ca="1">IFERROR(__xludf.DUMMYFUNCTION("""COMPUTED_VALUE"""),0.415960648148029)</f>
        <v>0.41596064814802902</v>
      </c>
      <c r="F18" s="1">
        <f ca="1">IFERROR(__xludf.DUMMYFUNCTION("""COMPUTED_VALUE"""),12342)</f>
        <v>12342</v>
      </c>
      <c r="G18" s="1" t="str">
        <f ca="1">IFERROR(__xludf.DUMMYFUNCTION("""COMPUTED_VALUE"""),"12.9828/77.5850")</f>
        <v>12.9828/77.5850</v>
      </c>
      <c r="H18" s="1" t="str">
        <f ca="1">IFERROR(__xludf.DUMMYFUNCTION("""COMPUTED_VALUE"""),"#100 Bed and Breakfast")</f>
        <v>#100 Bed and Breakfast</v>
      </c>
      <c r="I18" s="1"/>
      <c r="J18" s="1" t="str">
        <f ca="1">IFERROR(__xludf.DUMMYFUNCTION("""COMPUTED_VALUE"""),"1d 22h 09m")</f>
        <v>1d 22h 09m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2">
      <c r="A19" s="1">
        <f ca="1">IFERROR(__xludf.DUMMYFUNCTION("""COMPUTED_VALUE"""),146)</f>
        <v>146</v>
      </c>
      <c r="B19" s="1" t="str">
        <f ca="1">IFERROR(__xludf.DUMMYFUNCTION("""COMPUTED_VALUE"""),"C1_KA041A7291_Jetting")</f>
        <v>C1_KA041A7291_Jetting</v>
      </c>
      <c r="C19" s="1" t="str">
        <f ca="1">IFERROR(__xludf.DUMMYFUNCTION("""COMPUTED_VALUE"""),"c1_ka041a7291_jetting")</f>
        <v>c1_ka041a7291_jetting</v>
      </c>
      <c r="D19" s="2">
        <f ca="1">IFERROR(__xludf.DUMMYFUNCTION("""COMPUTED_VALUE"""),44830)</f>
        <v>44830</v>
      </c>
      <c r="E19" s="3">
        <f ca="1">IFERROR(__xludf.DUMMYFUNCTION("""COMPUTED_VALUE"""),0.620740740741894)</f>
        <v>0.620740740741894</v>
      </c>
      <c r="F19" s="1">
        <f ca="1">IFERROR(__xludf.DUMMYFUNCTION("""COMPUTED_VALUE"""),12362)</f>
        <v>12362</v>
      </c>
      <c r="G19" s="1" t="str">
        <f ca="1">IFERROR(__xludf.DUMMYFUNCTION("""COMPUTED_VALUE"""),"12.9829/77.5849")</f>
        <v>12.9829/77.5849</v>
      </c>
      <c r="H19" s="1" t="str">
        <f ca="1">IFERROR(__xludf.DUMMYFUNCTION("""COMPUTED_VALUE"""),"Kanija Bhavan")</f>
        <v>Kanija Bhavan</v>
      </c>
      <c r="I19" s="1"/>
      <c r="J19" s="1" t="str">
        <f ca="1">IFERROR(__xludf.DUMMYFUNCTION("""COMPUTED_VALUE"""),"1d 22h 10m")</f>
        <v>1d 22h 10m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2">
      <c r="A20" s="1">
        <f ca="1">IFERROR(__xludf.DUMMYFUNCTION("""COMPUTED_VALUE"""),130)</f>
        <v>130</v>
      </c>
      <c r="B20" s="1" t="str">
        <f ca="1">IFERROR(__xludf.DUMMYFUNCTION("""COMPUTED_VALUE"""),"C1_KA041A7291_Jetting")</f>
        <v>C1_KA041A7291_Jetting</v>
      </c>
      <c r="C20" s="1" t="str">
        <f ca="1">IFERROR(__xludf.DUMMYFUNCTION("""COMPUTED_VALUE"""),"c1_ka041a7291_jetting")</f>
        <v>c1_ka041a7291_jetting</v>
      </c>
      <c r="D20" s="2">
        <f ca="1">IFERROR(__xludf.DUMMYFUNCTION("""COMPUTED_VALUE"""),44860)</f>
        <v>44860</v>
      </c>
      <c r="E20" s="3">
        <f ca="1">IFERROR(__xludf.DUMMYFUNCTION("""COMPUTED_VALUE"""),0.549699074075761)</f>
        <v>0.54969907407576102</v>
      </c>
      <c r="F20" s="1">
        <f ca="1">IFERROR(__xludf.DUMMYFUNCTION("""COMPUTED_VALUE"""),12428)</f>
        <v>12428</v>
      </c>
      <c r="G20" s="1" t="str">
        <f ca="1">IFERROR(__xludf.DUMMYFUNCTION("""COMPUTED_VALUE"""),"12.9828/77.5851")</f>
        <v>12.9828/77.5851</v>
      </c>
      <c r="H20" s="1" t="str">
        <f ca="1">IFERROR(__xludf.DUMMYFUNCTION("""COMPUTED_VALUE"""),"Kanija Bhavan")</f>
        <v>Kanija Bhavan</v>
      </c>
      <c r="I20" s="1"/>
      <c r="J20" s="1" t="str">
        <f ca="1">IFERROR(__xludf.DUMMYFUNCTION("""COMPUTED_VALUE"""),"1d 22h 10m")</f>
        <v>1d 22h 10m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2">
      <c r="A21" s="1">
        <f ca="1">IFERROR(__xludf.DUMMYFUNCTION("""COMPUTED_VALUE"""),11)</f>
        <v>11</v>
      </c>
      <c r="B21" s="1" t="str">
        <f ca="1">IFERROR(__xludf.DUMMYFUNCTION("""COMPUTED_VALUE"""),"C1_KA04850_Tanker")</f>
        <v>C1_KA04850_Tanker</v>
      </c>
      <c r="C21" s="1" t="str">
        <f ca="1">IFERROR(__xludf.DUMMYFUNCTION("""COMPUTED_VALUE"""),"c1_ka04850_tanker")</f>
        <v>c1_ka04850_tanker</v>
      </c>
      <c r="D21" s="2">
        <f ca="1">IFERROR(__xludf.DUMMYFUNCTION("""COMPUTED_VALUE"""),43789)</f>
        <v>43789</v>
      </c>
      <c r="E21" s="3">
        <f ca="1">IFERROR(__xludf.DUMMYFUNCTION("""COMPUTED_VALUE"""),0.676851851851097)</f>
        <v>0.67685185185109698</v>
      </c>
      <c r="F21" s="1">
        <f ca="1">IFERROR(__xludf.DUMMYFUNCTION("""COMPUTED_VALUE"""),3576)</f>
        <v>3576</v>
      </c>
      <c r="G21" s="1" t="str">
        <f ca="1">IFERROR(__xludf.DUMMYFUNCTION("""COMPUTED_VALUE"""),"12.9830/77.5851")</f>
        <v>12.9830/77.5851</v>
      </c>
      <c r="H21" s="1" t="str">
        <f ca="1">IFERROR(__xludf.DUMMYFUNCTION("""COMPUTED_VALUE"""),"Kanija Bhavan")</f>
        <v>Kanija Bhavan</v>
      </c>
      <c r="I21" s="1"/>
      <c r="J21" s="1" t="str">
        <f ca="1">IFERROR(__xludf.DUMMYFUNCTION("""COMPUTED_VALUE"""),"1127d 18h 15m")</f>
        <v>1127d 18h 15m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2">
      <c r="A22" s="1">
        <f ca="1">IFERROR(__xludf.DUMMYFUNCTION("""COMPUTED_VALUE"""),11)</f>
        <v>11</v>
      </c>
      <c r="B22" s="1" t="str">
        <f ca="1">IFERROR(__xludf.DUMMYFUNCTION("""COMPUTED_VALUE"""),"C1_KA04850_Tanker")</f>
        <v>C1_KA04850_Tanker</v>
      </c>
      <c r="C22" s="1" t="str">
        <f ca="1">IFERROR(__xludf.DUMMYFUNCTION("""COMPUTED_VALUE"""),"c1_ka04850_tanker")</f>
        <v>c1_ka04850_tanker</v>
      </c>
      <c r="D22" s="2">
        <f ca="1">IFERROR(__xludf.DUMMYFUNCTION("""COMPUTED_VALUE"""),43789)</f>
        <v>43789</v>
      </c>
      <c r="E22" s="3">
        <f ca="1">IFERROR(__xludf.DUMMYFUNCTION("""COMPUTED_VALUE"""),0.676851851851097)</f>
        <v>0.67685185185109698</v>
      </c>
      <c r="F22" s="1">
        <f ca="1">IFERROR(__xludf.DUMMYFUNCTION("""COMPUTED_VALUE"""),3576)</f>
        <v>3576</v>
      </c>
      <c r="G22" s="1" t="str">
        <f ca="1">IFERROR(__xludf.DUMMYFUNCTION("""COMPUTED_VALUE"""),"12.9830/77.5851")</f>
        <v>12.9830/77.5851</v>
      </c>
      <c r="H22" s="1" t="str">
        <f ca="1">IFERROR(__xludf.DUMMYFUNCTION("""COMPUTED_VALUE"""),"Kanija Bhavan")</f>
        <v>Kanija Bhavan</v>
      </c>
      <c r="I22" s="1"/>
      <c r="J22" s="1" t="str">
        <f ca="1">IFERROR(__xludf.DUMMYFUNCTION("""COMPUTED_VALUE"""),"1127d 18h 16m")</f>
        <v>1127d 18h 16m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2">
      <c r="A23" s="1">
        <f ca="1">IFERROR(__xludf.DUMMYFUNCTION("""COMPUTED_VALUE"""),11)</f>
        <v>11</v>
      </c>
      <c r="B23" s="1" t="str">
        <f ca="1">IFERROR(__xludf.DUMMYFUNCTION("""COMPUTED_VALUE"""),"C1_KA04850_Tanker")</f>
        <v>C1_KA04850_Tanker</v>
      </c>
      <c r="C23" s="1" t="str">
        <f ca="1">IFERROR(__xludf.DUMMYFUNCTION("""COMPUTED_VALUE"""),"c1_ka04850_tanker")</f>
        <v>c1_ka04850_tanker</v>
      </c>
      <c r="D23" s="2">
        <f ca="1">IFERROR(__xludf.DUMMYFUNCTION("""COMPUTED_VALUE"""),43789)</f>
        <v>43789</v>
      </c>
      <c r="E23" s="3">
        <f ca="1">IFERROR(__xludf.DUMMYFUNCTION("""COMPUTED_VALUE"""),0.676851851851097)</f>
        <v>0.67685185185109698</v>
      </c>
      <c r="F23" s="1">
        <f ca="1">IFERROR(__xludf.DUMMYFUNCTION("""COMPUTED_VALUE"""),3576)</f>
        <v>3576</v>
      </c>
      <c r="G23" s="1" t="str">
        <f ca="1">IFERROR(__xludf.DUMMYFUNCTION("""COMPUTED_VALUE"""),"12.9830/77.5851")</f>
        <v>12.9830/77.5851</v>
      </c>
      <c r="H23" s="1" t="str">
        <f ca="1">IFERROR(__xludf.DUMMYFUNCTION("""COMPUTED_VALUE"""),"Kanija Bhavan")</f>
        <v>Kanija Bhavan</v>
      </c>
      <c r="I23" s="1"/>
      <c r="J23" s="1" t="str">
        <f ca="1">IFERROR(__xludf.DUMMYFUNCTION("""COMPUTED_VALUE"""),"1127d 18h 17m")</f>
        <v>1127d 18h 17m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>
      <c r="A24" s="1">
        <f ca="1">IFERROR(__xludf.DUMMYFUNCTION("""COMPUTED_VALUE"""),11)</f>
        <v>11</v>
      </c>
      <c r="B24" s="1" t="str">
        <f ca="1">IFERROR(__xludf.DUMMYFUNCTION("""COMPUTED_VALUE"""),"C1_KA04850_Tanker")</f>
        <v>C1_KA04850_Tanker</v>
      </c>
      <c r="C24" s="1" t="str">
        <f ca="1">IFERROR(__xludf.DUMMYFUNCTION("""COMPUTED_VALUE"""),"c1_ka04850_tanker")</f>
        <v>c1_ka04850_tanker</v>
      </c>
      <c r="D24" s="2">
        <f ca="1">IFERROR(__xludf.DUMMYFUNCTION("""COMPUTED_VALUE"""),43789)</f>
        <v>43789</v>
      </c>
      <c r="E24" s="3">
        <f ca="1">IFERROR(__xludf.DUMMYFUNCTION("""COMPUTED_VALUE"""),0.676851851851097)</f>
        <v>0.67685185185109698</v>
      </c>
      <c r="F24" s="1">
        <f ca="1">IFERROR(__xludf.DUMMYFUNCTION("""COMPUTED_VALUE"""),3576)</f>
        <v>3576</v>
      </c>
      <c r="G24" s="1" t="str">
        <f ca="1">IFERROR(__xludf.DUMMYFUNCTION("""COMPUTED_VALUE"""),"12.9830/77.5851")</f>
        <v>12.9830/77.5851</v>
      </c>
      <c r="H24" s="1" t="str">
        <f ca="1">IFERROR(__xludf.DUMMYFUNCTION("""COMPUTED_VALUE"""),"Kanija Bhavan")</f>
        <v>Kanija Bhavan</v>
      </c>
      <c r="I24" s="1"/>
      <c r="J24" s="1" t="str">
        <f ca="1">IFERROR(__xludf.DUMMYFUNCTION("""COMPUTED_VALUE"""),"1127d 18h 17m")</f>
        <v>1127d 18h 17m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>
      <c r="A25" s="1">
        <f ca="1">IFERROR(__xludf.DUMMYFUNCTION("""COMPUTED_VALUE"""),11)</f>
        <v>11</v>
      </c>
      <c r="B25" s="1" t="str">
        <f ca="1">IFERROR(__xludf.DUMMYFUNCTION("""COMPUTED_VALUE"""),"C1_KA04850_Tanker")</f>
        <v>C1_KA04850_Tanker</v>
      </c>
      <c r="C25" s="1" t="str">
        <f ca="1">IFERROR(__xludf.DUMMYFUNCTION("""COMPUTED_VALUE"""),"c1_ka04850_tanker")</f>
        <v>c1_ka04850_tanker</v>
      </c>
      <c r="D25" s="2">
        <f ca="1">IFERROR(__xludf.DUMMYFUNCTION("""COMPUTED_VALUE"""),43789)</f>
        <v>43789</v>
      </c>
      <c r="E25" s="3">
        <f ca="1">IFERROR(__xludf.DUMMYFUNCTION("""COMPUTED_VALUE"""),0.676851851851097)</f>
        <v>0.67685185185109698</v>
      </c>
      <c r="F25" s="1">
        <f ca="1">IFERROR(__xludf.DUMMYFUNCTION("""COMPUTED_VALUE"""),3576)</f>
        <v>3576</v>
      </c>
      <c r="G25" s="1" t="str">
        <f ca="1">IFERROR(__xludf.DUMMYFUNCTION("""COMPUTED_VALUE"""),"12.9830/77.5851")</f>
        <v>12.9830/77.5851</v>
      </c>
      <c r="H25" s="1" t="str">
        <f ca="1">IFERROR(__xludf.DUMMYFUNCTION("""COMPUTED_VALUE"""),"Kanija Bhavan")</f>
        <v>Kanija Bhavan</v>
      </c>
      <c r="I25" s="1"/>
      <c r="J25" s="1" t="str">
        <f ca="1">IFERROR(__xludf.DUMMYFUNCTION("""COMPUTED_VALUE"""),"1127d 18h 18m")</f>
        <v>1127d 18h 18m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>
      <c r="A26" s="1">
        <f ca="1">IFERROR(__xludf.DUMMYFUNCTION("""COMPUTED_VALUE"""),11)</f>
        <v>11</v>
      </c>
      <c r="B26" s="1" t="str">
        <f ca="1">IFERROR(__xludf.DUMMYFUNCTION("""COMPUTED_VALUE"""),"C1_KA04850_Tanker")</f>
        <v>C1_KA04850_Tanker</v>
      </c>
      <c r="C26" s="1" t="str">
        <f ca="1">IFERROR(__xludf.DUMMYFUNCTION("""COMPUTED_VALUE"""),"c1_ka04850_tanker")</f>
        <v>c1_ka04850_tanker</v>
      </c>
      <c r="D26" s="2">
        <f ca="1">IFERROR(__xludf.DUMMYFUNCTION("""COMPUTED_VALUE"""),43789)</f>
        <v>43789</v>
      </c>
      <c r="E26" s="3">
        <f ca="1">IFERROR(__xludf.DUMMYFUNCTION("""COMPUTED_VALUE"""),0.676851851851097)</f>
        <v>0.67685185185109698</v>
      </c>
      <c r="F26" s="1">
        <f ca="1">IFERROR(__xludf.DUMMYFUNCTION("""COMPUTED_VALUE"""),3576)</f>
        <v>3576</v>
      </c>
      <c r="G26" s="1" t="str">
        <f ca="1">IFERROR(__xludf.DUMMYFUNCTION("""COMPUTED_VALUE"""),"12.9830/77.5851")</f>
        <v>12.9830/77.5851</v>
      </c>
      <c r="H26" s="1" t="str">
        <f ca="1">IFERROR(__xludf.DUMMYFUNCTION("""COMPUTED_VALUE"""),"Kanija Bhavan")</f>
        <v>Kanija Bhavan</v>
      </c>
      <c r="I26" s="1"/>
      <c r="J26" s="1" t="str">
        <f ca="1">IFERROR(__xludf.DUMMYFUNCTION("""COMPUTED_VALUE"""),"1127d 18h 19m")</f>
        <v>1127d 18h 19m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>
      <c r="A27" s="1">
        <f ca="1">IFERROR(__xludf.DUMMYFUNCTION("""COMPUTED_VALUE"""),235)</f>
        <v>235</v>
      </c>
      <c r="B27" s="1" t="str">
        <f ca="1">IFERROR(__xludf.DUMMYFUNCTION("""COMPUTED_VALUE"""),"C1_KA04AA9013_Desilting")</f>
        <v>C1_KA04AA9013_Desilting</v>
      </c>
      <c r="C27" s="1" t="str">
        <f ca="1">IFERROR(__xludf.DUMMYFUNCTION("""COMPUTED_VALUE"""),"c1_ka04aa9013_desilting")</f>
        <v>c1_ka04aa9013_desilting</v>
      </c>
      <c r="D27" s="2">
        <f ca="1">IFERROR(__xludf.DUMMYFUNCTION("""COMPUTED_VALUE"""),44707)</f>
        <v>44707</v>
      </c>
      <c r="E27" s="3">
        <f ca="1">IFERROR(__xludf.DUMMYFUNCTION("""COMPUTED_VALUE"""),0.999317129630071)</f>
        <v>0.99931712963007102</v>
      </c>
      <c r="F27" s="1">
        <f ca="1">IFERROR(__xludf.DUMMYFUNCTION("""COMPUTED_VALUE"""),2282)</f>
        <v>2282</v>
      </c>
      <c r="G27" s="1" t="str">
        <f ca="1">IFERROR(__xludf.DUMMYFUNCTION("""COMPUTED_VALUE"""),"12.9738/77.5735")</f>
        <v>12.9738/77.5735</v>
      </c>
      <c r="H27" s="1" t="str">
        <f ca="1">IFERROR(__xludf.DUMMYFUNCTION("""COMPUTED_VALUE"""),"Balepette")</f>
        <v>Balepette</v>
      </c>
      <c r="I27" s="1"/>
      <c r="J27" s="1" t="str">
        <f ca="1">IFERROR(__xludf.DUMMYFUNCTION("""COMPUTED_VALUE"""),"0d 00h 00m")</f>
        <v>0d 00h 00m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>
      <c r="A28" s="1">
        <f ca="1">IFERROR(__xludf.DUMMYFUNCTION("""COMPUTED_VALUE"""),209)</f>
        <v>209</v>
      </c>
      <c r="B28" s="1" t="str">
        <f ca="1">IFERROR(__xludf.DUMMYFUNCTION("""COMPUTED_VALUE"""),"C1_KA04AA9013_Desilting")</f>
        <v>C1_KA04AA9013_Desilting</v>
      </c>
      <c r="C28" s="1" t="str">
        <f ca="1">IFERROR(__xludf.DUMMYFUNCTION("""COMPUTED_VALUE"""),"c1_ka04aa9013_desilting")</f>
        <v>c1_ka04aa9013_desilting</v>
      </c>
      <c r="D28" s="2">
        <f ca="1">IFERROR(__xludf.DUMMYFUNCTION("""COMPUTED_VALUE"""),44738)</f>
        <v>44738</v>
      </c>
      <c r="E28" s="3">
        <f ca="1">IFERROR(__xludf.DUMMYFUNCTION("""COMPUTED_VALUE"""),0.999189814814599)</f>
        <v>0.99918981481459901</v>
      </c>
      <c r="F28" s="1">
        <f ca="1">IFERROR(__xludf.DUMMYFUNCTION("""COMPUTED_VALUE"""),2474)</f>
        <v>2474</v>
      </c>
      <c r="G28" s="1"/>
      <c r="H28" s="1"/>
      <c r="I28" s="1"/>
      <c r="J28" s="1" t="str">
        <f ca="1">IFERROR(__xludf.DUMMYFUNCTION("""COMPUTED_VALUE"""),"0d 00h 00m")</f>
        <v>0d 00h 00m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>
      <c r="A29" s="1">
        <f ca="1">IFERROR(__xludf.DUMMYFUNCTION("""COMPUTED_VALUE"""),231)</f>
        <v>231</v>
      </c>
      <c r="B29" s="1" t="str">
        <f ca="1">IFERROR(__xludf.DUMMYFUNCTION("""COMPUTED_VALUE"""),"C1_KA04AA9013_Desilting")</f>
        <v>C1_KA04AA9013_Desilting</v>
      </c>
      <c r="C29" s="1" t="str">
        <f ca="1">IFERROR(__xludf.DUMMYFUNCTION("""COMPUTED_VALUE"""),"c1_ka04aa9013_desilting")</f>
        <v>c1_ka04aa9013_desilting</v>
      </c>
      <c r="D29" s="2">
        <f ca="1">IFERROR(__xludf.DUMMYFUNCTION("""COMPUTED_VALUE"""),44768)</f>
        <v>44768</v>
      </c>
      <c r="E29" s="3">
        <f ca="1">IFERROR(__xludf.DUMMYFUNCTION("""COMPUTED_VALUE"""),0.999282407407008)</f>
        <v>0.99928240740700802</v>
      </c>
      <c r="F29" s="1">
        <f ca="1">IFERROR(__xludf.DUMMYFUNCTION("""COMPUTED_VALUE"""),2623)</f>
        <v>2623</v>
      </c>
      <c r="G29" s="1" t="str">
        <f ca="1">IFERROR(__xludf.DUMMYFUNCTION("""COMPUTED_VALUE"""),"12.9740/77.5734")</f>
        <v>12.9740/77.5734</v>
      </c>
      <c r="H29" s="1" t="str">
        <f ca="1">IFERROR(__xludf.DUMMYFUNCTION("""COMPUTED_VALUE"""),"Balepette")</f>
        <v>Balepette</v>
      </c>
      <c r="I29" s="1"/>
      <c r="J29" s="1" t="str">
        <f ca="1">IFERROR(__xludf.DUMMYFUNCTION("""COMPUTED_VALUE"""),"0d 00h 00m")</f>
        <v>0d 00h 00m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>
      <c r="A30" s="1">
        <f ca="1">IFERROR(__xludf.DUMMYFUNCTION("""COMPUTED_VALUE"""),236)</f>
        <v>236</v>
      </c>
      <c r="B30" s="1" t="str">
        <f ca="1">IFERROR(__xludf.DUMMYFUNCTION("""COMPUTED_VALUE"""),"C1_KA04AA9013_Desilting")</f>
        <v>C1_KA04AA9013_Desilting</v>
      </c>
      <c r="C30" s="1" t="str">
        <f ca="1">IFERROR(__xludf.DUMMYFUNCTION("""COMPUTED_VALUE"""),"c1_ka04aa9013_desilting")</f>
        <v>c1_ka04aa9013_desilting</v>
      </c>
      <c r="D30" s="2">
        <f ca="1">IFERROR(__xludf.DUMMYFUNCTION("""COMPUTED_VALUE"""),44799)</f>
        <v>44799</v>
      </c>
      <c r="E30" s="3">
        <f ca="1">IFERROR(__xludf.DUMMYFUNCTION("""COMPUTED_VALUE"""),0.999305555556929)</f>
        <v>0.99930555555692901</v>
      </c>
      <c r="F30" s="1">
        <f ca="1">IFERROR(__xludf.DUMMYFUNCTION("""COMPUTED_VALUE"""),2938)</f>
        <v>2938</v>
      </c>
      <c r="G30" s="1" t="str">
        <f ca="1">IFERROR(__xludf.DUMMYFUNCTION("""COMPUTED_VALUE"""),"12.9740/77.5734")</f>
        <v>12.9740/77.5734</v>
      </c>
      <c r="H30" s="1" t="str">
        <f ca="1">IFERROR(__xludf.DUMMYFUNCTION("""COMPUTED_VALUE"""),"Balepette")</f>
        <v>Balepette</v>
      </c>
      <c r="I30" s="1"/>
      <c r="J30" s="1" t="str">
        <f ca="1">IFERROR(__xludf.DUMMYFUNCTION("""COMPUTED_VALUE"""),"0d 00h 00m")</f>
        <v>0d 00h 00m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>
      <c r="A31" s="1">
        <f ca="1">IFERROR(__xludf.DUMMYFUNCTION("""COMPUTED_VALUE"""),204)</f>
        <v>204</v>
      </c>
      <c r="B31" s="1" t="str">
        <f ca="1">IFERROR(__xludf.DUMMYFUNCTION("""COMPUTED_VALUE"""),"C1_KA04AA9013_Desilting")</f>
        <v>C1_KA04AA9013_Desilting</v>
      </c>
      <c r="C31" s="1" t="str">
        <f ca="1">IFERROR(__xludf.DUMMYFUNCTION("""COMPUTED_VALUE"""),"c1_ka04aa9013_desilting")</f>
        <v>c1_ka04aa9013_desilting</v>
      </c>
      <c r="D31" s="2">
        <f ca="1">IFERROR(__xludf.DUMMYFUNCTION("""COMPUTED_VALUE"""),44830)</f>
        <v>44830</v>
      </c>
      <c r="E31" s="3">
        <f ca="1">IFERROR(__xludf.DUMMYFUNCTION("""COMPUTED_VALUE"""),0.999166666668315)</f>
        <v>0.999166666668315</v>
      </c>
      <c r="F31" s="1">
        <f ca="1">IFERROR(__xludf.DUMMYFUNCTION("""COMPUTED_VALUE"""),3126)</f>
        <v>3126</v>
      </c>
      <c r="G31" s="1" t="str">
        <f ca="1">IFERROR(__xludf.DUMMYFUNCTION("""COMPUTED_VALUE"""),"12.9738/77.5734")</f>
        <v>12.9738/77.5734</v>
      </c>
      <c r="H31" s="1" t="str">
        <f ca="1">IFERROR(__xludf.DUMMYFUNCTION("""COMPUTED_VALUE"""),"Balepette")</f>
        <v>Balepette</v>
      </c>
      <c r="I31" s="1"/>
      <c r="J31" s="1" t="str">
        <f ca="1">IFERROR(__xludf.DUMMYFUNCTION("""COMPUTED_VALUE"""),"0d 00h 00m")</f>
        <v>0d 00h 00m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>
      <c r="A32" s="1">
        <f ca="1">IFERROR(__xludf.DUMMYFUNCTION("""COMPUTED_VALUE"""),90)</f>
        <v>90</v>
      </c>
      <c r="B32" s="1" t="str">
        <f ca="1">IFERROR(__xludf.DUMMYFUNCTION("""COMPUTED_VALUE"""),"C1_KA04AA9013_Desilting")</f>
        <v>C1_KA04AA9013_Desilting</v>
      </c>
      <c r="C32" s="1" t="str">
        <f ca="1">IFERROR(__xludf.DUMMYFUNCTION("""COMPUTED_VALUE"""),"c1_ka04aa9013_desilting")</f>
        <v>c1_ka04aa9013_desilting</v>
      </c>
      <c r="D32" s="2">
        <f ca="1">IFERROR(__xludf.DUMMYFUNCTION("""COMPUTED_VALUE"""),44852)</f>
        <v>44852</v>
      </c>
      <c r="E32" s="3">
        <f ca="1">IFERROR(__xludf.DUMMYFUNCTION("""COMPUTED_VALUE"""),0.675555555557366)</f>
        <v>0.67555555555736602</v>
      </c>
      <c r="F32" s="1">
        <f ca="1">IFERROR(__xludf.DUMMYFUNCTION("""COMPUTED_VALUE"""),3167)</f>
        <v>3167</v>
      </c>
      <c r="G32" s="1"/>
      <c r="H32" s="1"/>
      <c r="I32" s="1"/>
      <c r="J32" s="1" t="str">
        <f ca="1">IFERROR(__xludf.DUMMYFUNCTION("""COMPUTED_VALUE"""),"0d 00h 01m")</f>
        <v>0d 00h 01m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>
      <c r="A33" s="1">
        <f ca="1">IFERROR(__xludf.DUMMYFUNCTION("""COMPUTED_VALUE"""),34)</f>
        <v>34</v>
      </c>
      <c r="B33" s="1" t="str">
        <f ca="1">IFERROR(__xludf.DUMMYFUNCTION("""COMPUTED_VALUE"""),"C1_KA04AD2944_DESILTING")</f>
        <v>C1_KA04AD2944_DESILTING</v>
      </c>
      <c r="C33" s="1" t="str">
        <f ca="1">IFERROR(__xludf.DUMMYFUNCTION("""COMPUTED_VALUE"""),"c1_ka04ad2944_desilting")</f>
        <v>c1_ka04ad2944_desilting</v>
      </c>
      <c r="D33" s="2">
        <f ca="1">IFERROR(__xludf.DUMMYFUNCTION("""COMPUTED_VALUE"""),41640)</f>
        <v>41640</v>
      </c>
      <c r="E33" s="3">
        <f ca="1">IFERROR(__xludf.DUMMYFUNCTION("""COMPUTED_VALUE"""),0.231226851850806)</f>
        <v>0.23122685185080599</v>
      </c>
      <c r="F33" s="1">
        <f ca="1">IFERROR(__xludf.DUMMYFUNCTION("""COMPUTED_VALUE"""),51021)</f>
        <v>51021</v>
      </c>
      <c r="G33" s="1"/>
      <c r="H33" s="1"/>
      <c r="I33" s="1"/>
      <c r="J33" s="1" t="str">
        <f ca="1">IFERROR(__xludf.DUMMYFUNCTION("""COMPUTED_VALUE"""),"0d 00h 00m")</f>
        <v>0d 00h 00m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>
      <c r="A34" s="1">
        <f ca="1">IFERROR(__xludf.DUMMYFUNCTION("""COMPUTED_VALUE"""),34)</f>
        <v>34</v>
      </c>
      <c r="B34" s="1" t="str">
        <f ca="1">IFERROR(__xludf.DUMMYFUNCTION("""COMPUTED_VALUE"""),"C1_KA04AD2944_DESILTING")</f>
        <v>C1_KA04AD2944_DESILTING</v>
      </c>
      <c r="C34" s="1" t="str">
        <f ca="1">IFERROR(__xludf.DUMMYFUNCTION("""COMPUTED_VALUE"""),"c1_ka04ad2944_desilting")</f>
        <v>c1_ka04ad2944_desilting</v>
      </c>
      <c r="D34" s="2">
        <f ca="1">IFERROR(__xludf.DUMMYFUNCTION("""COMPUTED_VALUE"""),41640)</f>
        <v>41640</v>
      </c>
      <c r="E34" s="3">
        <f ca="1">IFERROR(__xludf.DUMMYFUNCTION("""COMPUTED_VALUE"""),0.231226851850806)</f>
        <v>0.23122685185080599</v>
      </c>
      <c r="F34" s="1">
        <f ca="1">IFERROR(__xludf.DUMMYFUNCTION("""COMPUTED_VALUE"""),51021)</f>
        <v>51021</v>
      </c>
      <c r="G34" s="1"/>
      <c r="H34" s="1"/>
      <c r="I34" s="1"/>
      <c r="J34" s="1" t="str">
        <f ca="1">IFERROR(__xludf.DUMMYFUNCTION("""COMPUTED_VALUE"""),"0d 00h 00m")</f>
        <v>0d 00h 00m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>
      <c r="A35" s="1">
        <f ca="1">IFERROR(__xludf.DUMMYFUNCTION("""COMPUTED_VALUE"""),34)</f>
        <v>34</v>
      </c>
      <c r="B35" s="1" t="str">
        <f ca="1">IFERROR(__xludf.DUMMYFUNCTION("""COMPUTED_VALUE"""),"C1_KA04AD2944_DESILTING")</f>
        <v>C1_KA04AD2944_DESILTING</v>
      </c>
      <c r="C35" s="1" t="str">
        <f ca="1">IFERROR(__xludf.DUMMYFUNCTION("""COMPUTED_VALUE"""),"c1_ka04ad2944_desilting")</f>
        <v>c1_ka04ad2944_desilting</v>
      </c>
      <c r="D35" s="2">
        <f ca="1">IFERROR(__xludf.DUMMYFUNCTION("""COMPUTED_VALUE"""),41640)</f>
        <v>41640</v>
      </c>
      <c r="E35" s="3">
        <f ca="1">IFERROR(__xludf.DUMMYFUNCTION("""COMPUTED_VALUE"""),0.231226851850806)</f>
        <v>0.23122685185080599</v>
      </c>
      <c r="F35" s="1">
        <f ca="1">IFERROR(__xludf.DUMMYFUNCTION("""COMPUTED_VALUE"""),51021)</f>
        <v>51021</v>
      </c>
      <c r="G35" s="1"/>
      <c r="H35" s="1"/>
      <c r="I35" s="1"/>
      <c r="J35" s="1" t="str">
        <f ca="1">IFERROR(__xludf.DUMMYFUNCTION("""COMPUTED_VALUE"""),"0d 00h 00m")</f>
        <v>0d 00h 00m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>
      <c r="A36" s="1">
        <f ca="1">IFERROR(__xludf.DUMMYFUNCTION("""COMPUTED_VALUE"""),34)</f>
        <v>34</v>
      </c>
      <c r="B36" s="1" t="str">
        <f ca="1">IFERROR(__xludf.DUMMYFUNCTION("""COMPUTED_VALUE"""),"C1_KA04AD2944_DESILTING")</f>
        <v>C1_KA04AD2944_DESILTING</v>
      </c>
      <c r="C36" s="1" t="str">
        <f ca="1">IFERROR(__xludf.DUMMYFUNCTION("""COMPUTED_VALUE"""),"c1_ka04ad2944_desilting")</f>
        <v>c1_ka04ad2944_desilting</v>
      </c>
      <c r="D36" s="2">
        <f ca="1">IFERROR(__xludf.DUMMYFUNCTION("""COMPUTED_VALUE"""),41640)</f>
        <v>41640</v>
      </c>
      <c r="E36" s="3">
        <f ca="1">IFERROR(__xludf.DUMMYFUNCTION("""COMPUTED_VALUE"""),0.231226851850806)</f>
        <v>0.23122685185080599</v>
      </c>
      <c r="F36" s="1">
        <f ca="1">IFERROR(__xludf.DUMMYFUNCTION("""COMPUTED_VALUE"""),51021)</f>
        <v>51021</v>
      </c>
      <c r="G36" s="1"/>
      <c r="H36" s="1"/>
      <c r="I36" s="1"/>
      <c r="J36" s="1" t="str">
        <f ca="1">IFERROR(__xludf.DUMMYFUNCTION("""COMPUTED_VALUE"""),"0d 00h 00m")</f>
        <v>0d 00h 00m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>
      <c r="A37" s="1">
        <f ca="1">IFERROR(__xludf.DUMMYFUNCTION("""COMPUTED_VALUE"""),34)</f>
        <v>34</v>
      </c>
      <c r="B37" s="1" t="str">
        <f ca="1">IFERROR(__xludf.DUMMYFUNCTION("""COMPUTED_VALUE"""),"C1_KA04AD2944_DESILTING")</f>
        <v>C1_KA04AD2944_DESILTING</v>
      </c>
      <c r="C37" s="1" t="str">
        <f ca="1">IFERROR(__xludf.DUMMYFUNCTION("""COMPUTED_VALUE"""),"c1_ka04ad2944_desilting")</f>
        <v>c1_ka04ad2944_desilting</v>
      </c>
      <c r="D37" s="2">
        <f ca="1">IFERROR(__xludf.DUMMYFUNCTION("""COMPUTED_VALUE"""),41640)</f>
        <v>41640</v>
      </c>
      <c r="E37" s="3">
        <f ca="1">IFERROR(__xludf.DUMMYFUNCTION("""COMPUTED_VALUE"""),0.231226851850806)</f>
        <v>0.23122685185080599</v>
      </c>
      <c r="F37" s="1">
        <f ca="1">IFERROR(__xludf.DUMMYFUNCTION("""COMPUTED_VALUE"""),51021)</f>
        <v>51021</v>
      </c>
      <c r="G37" s="1"/>
      <c r="H37" s="1"/>
      <c r="I37" s="1"/>
      <c r="J37" s="1" t="str">
        <f ca="1">IFERROR(__xludf.DUMMYFUNCTION("""COMPUTED_VALUE"""),"0d 00h 00m")</f>
        <v>0d 00h 00m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>
      <c r="A38" s="1">
        <f ca="1">IFERROR(__xludf.DUMMYFUNCTION("""COMPUTED_VALUE"""),34)</f>
        <v>34</v>
      </c>
      <c r="B38" s="1" t="str">
        <f ca="1">IFERROR(__xludf.DUMMYFUNCTION("""COMPUTED_VALUE"""),"C1_KA04AD2944_DESILTING")</f>
        <v>C1_KA04AD2944_DESILTING</v>
      </c>
      <c r="C38" s="1" t="str">
        <f ca="1">IFERROR(__xludf.DUMMYFUNCTION("""COMPUTED_VALUE"""),"c1_ka04ad2944_desilting")</f>
        <v>c1_ka04ad2944_desilting</v>
      </c>
      <c r="D38" s="2">
        <f ca="1">IFERROR(__xludf.DUMMYFUNCTION("""COMPUTED_VALUE"""),41640)</f>
        <v>41640</v>
      </c>
      <c r="E38" s="3">
        <f ca="1">IFERROR(__xludf.DUMMYFUNCTION("""COMPUTED_VALUE"""),0.231226851850806)</f>
        <v>0.23122685185080599</v>
      </c>
      <c r="F38" s="1">
        <f ca="1">IFERROR(__xludf.DUMMYFUNCTION("""COMPUTED_VALUE"""),51021)</f>
        <v>51021</v>
      </c>
      <c r="G38" s="1"/>
      <c r="H38" s="1"/>
      <c r="I38" s="1"/>
      <c r="J38" s="1" t="str">
        <f ca="1">IFERROR(__xludf.DUMMYFUNCTION("""COMPUTED_VALUE"""),"0d 00h 01m")</f>
        <v>0d 00h 01m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>
      <c r="A39" s="1">
        <f ca="1">IFERROR(__xludf.DUMMYFUNCTION("""COMPUTED_VALUE"""),34)</f>
        <v>34</v>
      </c>
      <c r="B39" s="1" t="str">
        <f ca="1">IFERROR(__xludf.DUMMYFUNCTION("""COMPUTED_VALUE"""),"C1_KA04AD2944_DESILTING")</f>
        <v>C1_KA04AD2944_DESILTING</v>
      </c>
      <c r="C39" s="1" t="str">
        <f ca="1">IFERROR(__xludf.DUMMYFUNCTION("""COMPUTED_VALUE"""),"c1_ka04ad2944_desilting")</f>
        <v>c1_ka04ad2944_desilting</v>
      </c>
      <c r="D39" s="2">
        <f ca="1">IFERROR(__xludf.DUMMYFUNCTION("""COMPUTED_VALUE"""),41640)</f>
        <v>41640</v>
      </c>
      <c r="E39" s="3">
        <f ca="1">IFERROR(__xludf.DUMMYFUNCTION("""COMPUTED_VALUE"""),0.231226851850806)</f>
        <v>0.23122685185080599</v>
      </c>
      <c r="F39" s="1">
        <f ca="1">IFERROR(__xludf.DUMMYFUNCTION("""COMPUTED_VALUE"""),51021)</f>
        <v>51021</v>
      </c>
      <c r="G39" s="1"/>
      <c r="H39" s="1"/>
      <c r="I39" s="1"/>
      <c r="J39" s="1" t="str">
        <f ca="1">IFERROR(__xludf.DUMMYFUNCTION("""COMPUTED_VALUE"""),"0d 00h 00m")</f>
        <v>0d 00h 00m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>
      <c r="A40" s="1">
        <f ca="1">IFERROR(__xludf.DUMMYFUNCTION("""COMPUTED_VALUE"""),223)</f>
        <v>223</v>
      </c>
      <c r="B40" s="1" t="str">
        <f ca="1">IFERROR(__xludf.DUMMYFUNCTION("""COMPUTED_VALUE"""),"C1_KA04C5126_Jetting")</f>
        <v>C1_KA04C5126_Jetting</v>
      </c>
      <c r="C40" s="1" t="str">
        <f ca="1">IFERROR(__xludf.DUMMYFUNCTION("""COMPUTED_VALUE"""),"c1_ka04c5126_jetting")</f>
        <v>c1_ka04c5126_jetting</v>
      </c>
      <c r="D40" s="2">
        <f ca="1">IFERROR(__xludf.DUMMYFUNCTION("""COMPUTED_VALUE"""),44707)</f>
        <v>44707</v>
      </c>
      <c r="E40" s="3">
        <f ca="1">IFERROR(__xludf.DUMMYFUNCTION("""COMPUTED_VALUE"""),0.999282407407008)</f>
        <v>0.99928240740700802</v>
      </c>
      <c r="F40" s="1">
        <f ca="1">IFERROR(__xludf.DUMMYFUNCTION("""COMPUTED_VALUE"""),17190)</f>
        <v>17190</v>
      </c>
      <c r="G40" s="1" t="str">
        <f ca="1">IFERROR(__xludf.DUMMYFUNCTION("""COMPUTED_VALUE"""),"12.9739/77.5732")</f>
        <v>12.9739/77.5732</v>
      </c>
      <c r="H40" s="1" t="str">
        <f ca="1">IFERROR(__xludf.DUMMYFUNCTION("""COMPUTED_VALUE"""),"Balepette")</f>
        <v>Balepette</v>
      </c>
      <c r="I40" s="1"/>
      <c r="J40" s="1" t="str">
        <f ca="1">IFERROR(__xludf.DUMMYFUNCTION("""COMPUTED_VALUE"""),"0d 00h 00m")</f>
        <v>0d 00h 00m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>
      <c r="A41" s="1">
        <f ca="1">IFERROR(__xludf.DUMMYFUNCTION("""COMPUTED_VALUE"""),193)</f>
        <v>193</v>
      </c>
      <c r="B41" s="1" t="str">
        <f ca="1">IFERROR(__xludf.DUMMYFUNCTION("""COMPUTED_VALUE"""),"C1_KA04C5126_Jetting")</f>
        <v>C1_KA04C5126_Jetting</v>
      </c>
      <c r="C41" s="1" t="str">
        <f ca="1">IFERROR(__xludf.DUMMYFUNCTION("""COMPUTED_VALUE"""),"c1_ka04c5126_jetting")</f>
        <v>c1_ka04c5126_jetting</v>
      </c>
      <c r="D41" s="2">
        <f ca="1">IFERROR(__xludf.DUMMYFUNCTION("""COMPUTED_VALUE"""),44738)</f>
        <v>44738</v>
      </c>
      <c r="E41" s="3">
        <f ca="1">IFERROR(__xludf.DUMMYFUNCTION("""COMPUTED_VALUE"""),0.999131944445252)</f>
        <v>0.999131944445252</v>
      </c>
      <c r="F41" s="1">
        <f ca="1">IFERROR(__xludf.DUMMYFUNCTION("""COMPUTED_VALUE"""),19051)</f>
        <v>19051</v>
      </c>
      <c r="G41" s="1" t="str">
        <f ca="1">IFERROR(__xludf.DUMMYFUNCTION("""COMPUTED_VALUE"""),"12.9738/77.5734")</f>
        <v>12.9738/77.5734</v>
      </c>
      <c r="H41" s="1" t="str">
        <f ca="1">IFERROR(__xludf.DUMMYFUNCTION("""COMPUTED_VALUE"""),"Balepette")</f>
        <v>Balepette</v>
      </c>
      <c r="I41" s="1"/>
      <c r="J41" s="1" t="str">
        <f ca="1">IFERROR(__xludf.DUMMYFUNCTION("""COMPUTED_VALUE"""),"0d 00h 00m")</f>
        <v>0d 00h 00m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>
      <c r="A42" s="1">
        <f ca="1">IFERROR(__xludf.DUMMYFUNCTION("""COMPUTED_VALUE"""),176)</f>
        <v>176</v>
      </c>
      <c r="B42" s="1" t="str">
        <f ca="1">IFERROR(__xludf.DUMMYFUNCTION("""COMPUTED_VALUE"""),"C1_KA04C5126_Jetting")</f>
        <v>C1_KA04C5126_Jetting</v>
      </c>
      <c r="C42" s="1" t="str">
        <f ca="1">IFERROR(__xludf.DUMMYFUNCTION("""COMPUTED_VALUE"""),"c1_ka04c5126_jetting")</f>
        <v>c1_ka04c5126_jetting</v>
      </c>
      <c r="D42" s="2">
        <f ca="1">IFERROR(__xludf.DUMMYFUNCTION("""COMPUTED_VALUE"""),44768)</f>
        <v>44768</v>
      </c>
      <c r="E42" s="3">
        <f ca="1">IFERROR(__xludf.DUMMYFUNCTION("""COMPUTED_VALUE"""),0.999016203702922)</f>
        <v>0.99901620370292199</v>
      </c>
      <c r="F42" s="1">
        <f ca="1">IFERROR(__xludf.DUMMYFUNCTION("""COMPUTED_VALUE"""),19303)</f>
        <v>19303</v>
      </c>
      <c r="G42" s="1" t="str">
        <f ca="1">IFERROR(__xludf.DUMMYFUNCTION("""COMPUTED_VALUE"""),"12.9738/77.5734")</f>
        <v>12.9738/77.5734</v>
      </c>
      <c r="H42" s="1" t="str">
        <f ca="1">IFERROR(__xludf.DUMMYFUNCTION("""COMPUTED_VALUE"""),"Balepette")</f>
        <v>Balepette</v>
      </c>
      <c r="I42" s="1"/>
      <c r="J42" s="1" t="str">
        <f ca="1">IFERROR(__xludf.DUMMYFUNCTION("""COMPUTED_VALUE"""),"0d 00h 00m")</f>
        <v>0d 00h 00m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>
      <c r="A43" s="1">
        <f ca="1">IFERROR(__xludf.DUMMYFUNCTION("""COMPUTED_VALUE"""),194)</f>
        <v>194</v>
      </c>
      <c r="B43" s="1" t="str">
        <f ca="1">IFERROR(__xludf.DUMMYFUNCTION("""COMPUTED_VALUE"""),"C1_KA04C5126_Jetting")</f>
        <v>C1_KA04C5126_Jetting</v>
      </c>
      <c r="C43" s="1" t="str">
        <f ca="1">IFERROR(__xludf.DUMMYFUNCTION("""COMPUTED_VALUE"""),"c1_ka04c5126_jetting")</f>
        <v>c1_ka04c5126_jetting</v>
      </c>
      <c r="D43" s="2">
        <f ca="1">IFERROR(__xludf.DUMMYFUNCTION("""COMPUTED_VALUE"""),44799)</f>
        <v>44799</v>
      </c>
      <c r="E43" s="3">
        <f ca="1">IFERROR(__xludf.DUMMYFUNCTION("""COMPUTED_VALUE"""),0.999097222222189)</f>
        <v>0.999097222222189</v>
      </c>
      <c r="F43" s="1">
        <f ca="1">IFERROR(__xludf.DUMMYFUNCTION("""COMPUTED_VALUE"""),19580)</f>
        <v>19580</v>
      </c>
      <c r="G43" s="1" t="str">
        <f ca="1">IFERROR(__xludf.DUMMYFUNCTION("""COMPUTED_VALUE"""),"12.9740/77.5734")</f>
        <v>12.9740/77.5734</v>
      </c>
      <c r="H43" s="1" t="str">
        <f ca="1">IFERROR(__xludf.DUMMYFUNCTION("""COMPUTED_VALUE"""),"Balepette")</f>
        <v>Balepette</v>
      </c>
      <c r="I43" s="1"/>
      <c r="J43" s="1" t="str">
        <f ca="1">IFERROR(__xludf.DUMMYFUNCTION("""COMPUTED_VALUE"""),"0d 00h 00m")</f>
        <v>0d 00h 00m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>
      <c r="A44" s="1">
        <f ca="1">IFERROR(__xludf.DUMMYFUNCTION("""COMPUTED_VALUE"""),186)</f>
        <v>186</v>
      </c>
      <c r="B44" s="1" t="str">
        <f ca="1">IFERROR(__xludf.DUMMYFUNCTION("""COMPUTED_VALUE"""),"C1_KA04C5126_Jetting")</f>
        <v>C1_KA04C5126_Jetting</v>
      </c>
      <c r="C44" s="1" t="str">
        <f ca="1">IFERROR(__xludf.DUMMYFUNCTION("""COMPUTED_VALUE"""),"c1_ka04c5126_jetting")</f>
        <v>c1_ka04c5126_jetting</v>
      </c>
      <c r="D44" s="2">
        <f ca="1">IFERROR(__xludf.DUMMYFUNCTION("""COMPUTED_VALUE"""),44830)</f>
        <v>44830</v>
      </c>
      <c r="E44" s="3">
        <f ca="1">IFERROR(__xludf.DUMMYFUNCTION("""COMPUTED_VALUE"""),0.999085648149048)</f>
        <v>0.99908564814904799</v>
      </c>
      <c r="F44" s="1">
        <f ca="1">IFERROR(__xludf.DUMMYFUNCTION("""COMPUTED_VALUE"""),19842)</f>
        <v>19842</v>
      </c>
      <c r="G44" s="1" t="str">
        <f ca="1">IFERROR(__xludf.DUMMYFUNCTION("""COMPUTED_VALUE"""),"12.9737/77.5735")</f>
        <v>12.9737/77.5735</v>
      </c>
      <c r="H44" s="1" t="str">
        <f ca="1">IFERROR(__xludf.DUMMYFUNCTION("""COMPUTED_VALUE"""),"Balepette")</f>
        <v>Balepette</v>
      </c>
      <c r="I44" s="1"/>
      <c r="J44" s="1" t="str">
        <f ca="1">IFERROR(__xludf.DUMMYFUNCTION("""COMPUTED_VALUE"""),"0d 00h 00m")</f>
        <v>0d 00h 00m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>
      <c r="A45" s="1">
        <f ca="1">IFERROR(__xludf.DUMMYFUNCTION("""COMPUTED_VALUE"""),191)</f>
        <v>191</v>
      </c>
      <c r="B45" s="1" t="str">
        <f ca="1">IFERROR(__xludf.DUMMYFUNCTION("""COMPUTED_VALUE"""),"C1_KA04C5126_Jetting")</f>
        <v>C1_KA04C5126_Jetting</v>
      </c>
      <c r="C45" s="1" t="str">
        <f ca="1">IFERROR(__xludf.DUMMYFUNCTION("""COMPUTED_VALUE"""),"c1_ka04c5126_jetting")</f>
        <v>c1_ka04c5126_jetting</v>
      </c>
      <c r="D45" s="2">
        <f ca="1">IFERROR(__xludf.DUMMYFUNCTION("""COMPUTED_VALUE"""),44860)</f>
        <v>44860</v>
      </c>
      <c r="E45" s="3">
        <f ca="1">IFERROR(__xludf.DUMMYFUNCTION("""COMPUTED_VALUE"""),0.999131944445252)</f>
        <v>0.999131944445252</v>
      </c>
      <c r="F45" s="1">
        <f ca="1">IFERROR(__xludf.DUMMYFUNCTION("""COMPUTED_VALUE"""),20082)</f>
        <v>20082</v>
      </c>
      <c r="G45" s="1" t="str">
        <f ca="1">IFERROR(__xludf.DUMMYFUNCTION("""COMPUTED_VALUE"""),"12.9738/77.5733")</f>
        <v>12.9738/77.5733</v>
      </c>
      <c r="H45" s="1" t="str">
        <f ca="1">IFERROR(__xludf.DUMMYFUNCTION("""COMPUTED_VALUE"""),"Balepette")</f>
        <v>Balepette</v>
      </c>
      <c r="I45" s="1"/>
      <c r="J45" s="1" t="str">
        <f ca="1">IFERROR(__xludf.DUMMYFUNCTION("""COMPUTED_VALUE"""),"0d 00h 00m")</f>
        <v>0d 00h 00m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>
      <c r="A46" s="1">
        <f ca="1">IFERROR(__xludf.DUMMYFUNCTION("""COMPUTED_VALUE"""),88)</f>
        <v>88</v>
      </c>
      <c r="B46" s="1" t="str">
        <f ca="1">IFERROR(__xludf.DUMMYFUNCTION("""COMPUTED_VALUE"""),"C1_KA04C5127_JETTING")</f>
        <v>C1_KA04C5127_JETTING</v>
      </c>
      <c r="C46" s="1" t="str">
        <f ca="1">IFERROR(__xludf.DUMMYFUNCTION("""COMPUTED_VALUE"""),"c1_ka04c5127_jetting")</f>
        <v>c1_ka04c5127_jetting</v>
      </c>
      <c r="D46" s="2">
        <f ca="1">IFERROR(__xludf.DUMMYFUNCTION("""COMPUTED_VALUE"""),41640)</f>
        <v>41640</v>
      </c>
      <c r="E46" s="3">
        <f ca="1">IFERROR(__xludf.DUMMYFUNCTION("""COMPUTED_VALUE"""),0.692835648147593)</f>
        <v>0.69283564814759302</v>
      </c>
      <c r="F46" s="1">
        <f ca="1">IFERROR(__xludf.DUMMYFUNCTION("""COMPUTED_VALUE"""),18341)</f>
        <v>18341</v>
      </c>
      <c r="G46" s="1" t="str">
        <f ca="1">IFERROR(__xludf.DUMMYFUNCTION("""COMPUTED_VALUE"""),"12.9871/77.5901")</f>
        <v>12.9871/77.5901</v>
      </c>
      <c r="H46" s="1" t="str">
        <f ca="1">IFERROR(__xludf.DUMMYFUNCTION("""COMPUTED_VALUE"""),"Hotel Chalukya")</f>
        <v>Hotel Chalukya</v>
      </c>
      <c r="I46" s="1"/>
      <c r="J46" s="1" t="str">
        <f ca="1">IFERROR(__xludf.DUMMYFUNCTION("""COMPUTED_VALUE"""),"5d 23h 53m")</f>
        <v>5d 23h 53m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>
      <c r="A47" s="1">
        <f ca="1">IFERROR(__xludf.DUMMYFUNCTION("""COMPUTED_VALUE"""),88)</f>
        <v>88</v>
      </c>
      <c r="B47" s="1" t="str">
        <f ca="1">IFERROR(__xludf.DUMMYFUNCTION("""COMPUTED_VALUE"""),"C1_KA04C5127_JETTING")</f>
        <v>C1_KA04C5127_JETTING</v>
      </c>
      <c r="C47" s="1" t="str">
        <f ca="1">IFERROR(__xludf.DUMMYFUNCTION("""COMPUTED_VALUE"""),"c1_ka04c5127_jetting")</f>
        <v>c1_ka04c5127_jetting</v>
      </c>
      <c r="D47" s="2">
        <f ca="1">IFERROR(__xludf.DUMMYFUNCTION("""COMPUTED_VALUE"""),41640)</f>
        <v>41640</v>
      </c>
      <c r="E47" s="3">
        <f ca="1">IFERROR(__xludf.DUMMYFUNCTION("""COMPUTED_VALUE"""),0.692835648147593)</f>
        <v>0.69283564814759302</v>
      </c>
      <c r="F47" s="1">
        <f ca="1">IFERROR(__xludf.DUMMYFUNCTION("""COMPUTED_VALUE"""),18341)</f>
        <v>18341</v>
      </c>
      <c r="G47" s="1" t="str">
        <f ca="1">IFERROR(__xludf.DUMMYFUNCTION("""COMPUTED_VALUE"""),"12.9871/77.5901")</f>
        <v>12.9871/77.5901</v>
      </c>
      <c r="H47" s="1" t="str">
        <f ca="1">IFERROR(__xludf.DUMMYFUNCTION("""COMPUTED_VALUE"""),"Hotel Chalukya")</f>
        <v>Hotel Chalukya</v>
      </c>
      <c r="I47" s="1"/>
      <c r="J47" s="1" t="str">
        <f ca="1">IFERROR(__xludf.DUMMYFUNCTION("""COMPUTED_VALUE"""),"5d 23h 54m")</f>
        <v>5d 23h 54m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>
      <c r="A48" s="1">
        <f ca="1">IFERROR(__xludf.DUMMYFUNCTION("""COMPUTED_VALUE"""),85)</f>
        <v>85</v>
      </c>
      <c r="B48" s="1" t="str">
        <f ca="1">IFERROR(__xludf.DUMMYFUNCTION("""COMPUTED_VALUE"""),"C1_KA04C5127_JETTING")</f>
        <v>C1_KA04C5127_JETTING</v>
      </c>
      <c r="C48" s="1" t="str">
        <f ca="1">IFERROR(__xludf.DUMMYFUNCTION("""COMPUTED_VALUE"""),"c1_ka04c5127_jetting")</f>
        <v>c1_ka04c5127_jetting</v>
      </c>
      <c r="D48" s="2">
        <f ca="1">IFERROR(__xludf.DUMMYFUNCTION("""COMPUTED_VALUE"""),41640)</f>
        <v>41640</v>
      </c>
      <c r="E48" s="3">
        <f ca="1">IFERROR(__xludf.DUMMYFUNCTION("""COMPUTED_VALUE"""),0.692835648147593)</f>
        <v>0.69283564814759302</v>
      </c>
      <c r="F48" s="1">
        <f ca="1">IFERROR(__xludf.DUMMYFUNCTION("""COMPUTED_VALUE"""),18341)</f>
        <v>18341</v>
      </c>
      <c r="G48" s="1" t="str">
        <f ca="1">IFERROR(__xludf.DUMMYFUNCTION("""COMPUTED_VALUE"""),"12.9871/77.5901")</f>
        <v>12.9871/77.5901</v>
      </c>
      <c r="H48" s="1" t="str">
        <f ca="1">IFERROR(__xludf.DUMMYFUNCTION("""COMPUTED_VALUE"""),"Hotel Chalukya")</f>
        <v>Hotel Chalukya</v>
      </c>
      <c r="I48" s="1"/>
      <c r="J48" s="1" t="str">
        <f ca="1">IFERROR(__xludf.DUMMYFUNCTION("""COMPUTED_VALUE"""),"5d 23h 57m")</f>
        <v>5d 23h 57m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>
      <c r="A49" s="1">
        <f ca="1">IFERROR(__xludf.DUMMYFUNCTION("""COMPUTED_VALUE"""),85)</f>
        <v>85</v>
      </c>
      <c r="B49" s="1" t="str">
        <f ca="1">IFERROR(__xludf.DUMMYFUNCTION("""COMPUTED_VALUE"""),"C1_KA04C5127_JETTING")</f>
        <v>C1_KA04C5127_JETTING</v>
      </c>
      <c r="C49" s="1" t="str">
        <f ca="1">IFERROR(__xludf.DUMMYFUNCTION("""COMPUTED_VALUE"""),"c1_ka04c5127_jetting")</f>
        <v>c1_ka04c5127_jetting</v>
      </c>
      <c r="D49" s="2">
        <f ca="1">IFERROR(__xludf.DUMMYFUNCTION("""COMPUTED_VALUE"""),41640)</f>
        <v>41640</v>
      </c>
      <c r="E49" s="3">
        <f ca="1">IFERROR(__xludf.DUMMYFUNCTION("""COMPUTED_VALUE"""),0.692835648147593)</f>
        <v>0.69283564814759302</v>
      </c>
      <c r="F49" s="1">
        <f ca="1">IFERROR(__xludf.DUMMYFUNCTION("""COMPUTED_VALUE"""),18341)</f>
        <v>18341</v>
      </c>
      <c r="G49" s="1" t="str">
        <f ca="1">IFERROR(__xludf.DUMMYFUNCTION("""COMPUTED_VALUE"""),"12.9871/77.5901")</f>
        <v>12.9871/77.5901</v>
      </c>
      <c r="H49" s="1" t="str">
        <f ca="1">IFERROR(__xludf.DUMMYFUNCTION("""COMPUTED_VALUE"""),"Hotel Chalukya")</f>
        <v>Hotel Chalukya</v>
      </c>
      <c r="I49" s="1"/>
      <c r="J49" s="1" t="str">
        <f ca="1">IFERROR(__xludf.DUMMYFUNCTION("""COMPUTED_VALUE"""),"5d 23h 58m")</f>
        <v>5d 23h 58m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>
      <c r="A50" s="1">
        <f ca="1">IFERROR(__xludf.DUMMYFUNCTION("""COMPUTED_VALUE"""),85)</f>
        <v>85</v>
      </c>
      <c r="B50" s="1" t="str">
        <f ca="1">IFERROR(__xludf.DUMMYFUNCTION("""COMPUTED_VALUE"""),"C1_KA04C5127_JETTING")</f>
        <v>C1_KA04C5127_JETTING</v>
      </c>
      <c r="C50" s="1" t="str">
        <f ca="1">IFERROR(__xludf.DUMMYFUNCTION("""COMPUTED_VALUE"""),"c1_ka04c5127_jetting")</f>
        <v>c1_ka04c5127_jetting</v>
      </c>
      <c r="D50" s="2">
        <f ca="1">IFERROR(__xludf.DUMMYFUNCTION("""COMPUTED_VALUE"""),41640)</f>
        <v>41640</v>
      </c>
      <c r="E50" s="3">
        <f ca="1">IFERROR(__xludf.DUMMYFUNCTION("""COMPUTED_VALUE"""),0.692835648147593)</f>
        <v>0.69283564814759302</v>
      </c>
      <c r="F50" s="1">
        <f ca="1">IFERROR(__xludf.DUMMYFUNCTION("""COMPUTED_VALUE"""),18341)</f>
        <v>18341</v>
      </c>
      <c r="G50" s="1" t="str">
        <f ca="1">IFERROR(__xludf.DUMMYFUNCTION("""COMPUTED_VALUE"""),"12.9871/77.5901")</f>
        <v>12.9871/77.5901</v>
      </c>
      <c r="H50" s="1" t="str">
        <f ca="1">IFERROR(__xludf.DUMMYFUNCTION("""COMPUTED_VALUE"""),"Hotel Chalukya")</f>
        <v>Hotel Chalukya</v>
      </c>
      <c r="I50" s="1"/>
      <c r="J50" s="1" t="str">
        <f ca="1">IFERROR(__xludf.DUMMYFUNCTION("""COMPUTED_VALUE"""),"5d 23h 59m")</f>
        <v>5d 23h 59m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>
      <c r="A51" s="1">
        <f ca="1">IFERROR(__xludf.DUMMYFUNCTION("""COMPUTED_VALUE"""),85)</f>
        <v>85</v>
      </c>
      <c r="B51" s="1" t="str">
        <f ca="1">IFERROR(__xludf.DUMMYFUNCTION("""COMPUTED_VALUE"""),"C1_KA04C5127_JETTING")</f>
        <v>C1_KA04C5127_JETTING</v>
      </c>
      <c r="C51" s="1" t="str">
        <f ca="1">IFERROR(__xludf.DUMMYFUNCTION("""COMPUTED_VALUE"""),"c1_ka04c5127_jetting")</f>
        <v>c1_ka04c5127_jetting</v>
      </c>
      <c r="D51" s="2">
        <f ca="1">IFERROR(__xludf.DUMMYFUNCTION("""COMPUTED_VALUE"""),41640)</f>
        <v>41640</v>
      </c>
      <c r="E51" s="3">
        <f ca="1">IFERROR(__xludf.DUMMYFUNCTION("""COMPUTED_VALUE"""),0.692835648147593)</f>
        <v>0.69283564814759302</v>
      </c>
      <c r="F51" s="1">
        <f ca="1">IFERROR(__xludf.DUMMYFUNCTION("""COMPUTED_VALUE"""),18341)</f>
        <v>18341</v>
      </c>
      <c r="G51" s="1" t="str">
        <f ca="1">IFERROR(__xludf.DUMMYFUNCTION("""COMPUTED_VALUE"""),"12.9871/77.5901")</f>
        <v>12.9871/77.5901</v>
      </c>
      <c r="H51" s="1" t="str">
        <f ca="1">IFERROR(__xludf.DUMMYFUNCTION("""COMPUTED_VALUE"""),"Hotel Chalukya")</f>
        <v>Hotel Chalukya</v>
      </c>
      <c r="I51" s="1"/>
      <c r="J51" s="1" t="str">
        <f ca="1">IFERROR(__xludf.DUMMYFUNCTION("""COMPUTED_VALUE"""),"6d 00h 00m")</f>
        <v>6d 00h 00m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>
      <c r="A52" s="1">
        <f ca="1">IFERROR(__xludf.DUMMYFUNCTION("""COMPUTED_VALUE"""),85)</f>
        <v>85</v>
      </c>
      <c r="B52" s="1" t="str">
        <f ca="1">IFERROR(__xludf.DUMMYFUNCTION("""COMPUTED_VALUE"""),"C1_KA04C5127_JETTING")</f>
        <v>C1_KA04C5127_JETTING</v>
      </c>
      <c r="C52" s="1" t="str">
        <f ca="1">IFERROR(__xludf.DUMMYFUNCTION("""COMPUTED_VALUE"""),"c1_ka04c5127_jetting")</f>
        <v>c1_ka04c5127_jetting</v>
      </c>
      <c r="D52" s="2">
        <f ca="1">IFERROR(__xludf.DUMMYFUNCTION("""COMPUTED_VALUE"""),41640)</f>
        <v>41640</v>
      </c>
      <c r="E52" s="3">
        <f ca="1">IFERROR(__xludf.DUMMYFUNCTION("""COMPUTED_VALUE"""),0.692835648147593)</f>
        <v>0.69283564814759302</v>
      </c>
      <c r="F52" s="1">
        <f ca="1">IFERROR(__xludf.DUMMYFUNCTION("""COMPUTED_VALUE"""),18341)</f>
        <v>18341</v>
      </c>
      <c r="G52" s="1" t="str">
        <f ca="1">IFERROR(__xludf.DUMMYFUNCTION("""COMPUTED_VALUE"""),"12.9871/77.5901")</f>
        <v>12.9871/77.5901</v>
      </c>
      <c r="H52" s="1" t="str">
        <f ca="1">IFERROR(__xludf.DUMMYFUNCTION("""COMPUTED_VALUE"""),"Hotel Chalukya")</f>
        <v>Hotel Chalukya</v>
      </c>
      <c r="I52" s="1"/>
      <c r="J52" s="1" t="str">
        <f ca="1">IFERROR(__xludf.DUMMYFUNCTION("""COMPUTED_VALUE"""),"6d 00h 01m")</f>
        <v>6d 00h 01m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>
      <c r="A53" s="1">
        <f ca="1">IFERROR(__xludf.DUMMYFUNCTION("""COMPUTED_VALUE"""),35)</f>
        <v>35</v>
      </c>
      <c r="B53" s="1" t="str">
        <f ca="1">IFERROR(__xludf.DUMMYFUNCTION("""COMPUTED_VALUE"""),"C1_KA04D4107_JETTING")</f>
        <v>C1_KA04D4107_JETTING</v>
      </c>
      <c r="C53" s="1" t="str">
        <f ca="1">IFERROR(__xludf.DUMMYFUNCTION("""COMPUTED_VALUE"""),"c1_ka04d4107_jetting")</f>
        <v>c1_ka04d4107_jetting</v>
      </c>
      <c r="D53" s="2">
        <f ca="1">IFERROR(__xludf.DUMMYFUNCTION("""COMPUTED_VALUE"""),41640)</f>
        <v>41640</v>
      </c>
      <c r="E53" s="3">
        <f ca="1">IFERROR(__xludf.DUMMYFUNCTION("""COMPUTED_VALUE"""),0.231458333331829)</f>
        <v>0.231458333331829</v>
      </c>
      <c r="F53" s="1">
        <f ca="1">IFERROR(__xludf.DUMMYFUNCTION("""COMPUTED_VALUE"""),15348)</f>
        <v>15348</v>
      </c>
      <c r="G53" s="1"/>
      <c r="H53" s="1"/>
      <c r="I53" s="1"/>
      <c r="J53" s="1" t="str">
        <f ca="1">IFERROR(__xludf.DUMMYFUNCTION("""COMPUTED_VALUE"""),"0d 00h 00m")</f>
        <v>0d 00h 00m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>
      <c r="A54" s="1">
        <f ca="1">IFERROR(__xludf.DUMMYFUNCTION("""COMPUTED_VALUE"""),35)</f>
        <v>35</v>
      </c>
      <c r="B54" s="1" t="str">
        <f ca="1">IFERROR(__xludf.DUMMYFUNCTION("""COMPUTED_VALUE"""),"C1_KA04D4107_JETTING")</f>
        <v>C1_KA04D4107_JETTING</v>
      </c>
      <c r="C54" s="1" t="str">
        <f ca="1">IFERROR(__xludf.DUMMYFUNCTION("""COMPUTED_VALUE"""),"c1_ka04d4107_jetting")</f>
        <v>c1_ka04d4107_jetting</v>
      </c>
      <c r="D54" s="2">
        <f ca="1">IFERROR(__xludf.DUMMYFUNCTION("""COMPUTED_VALUE"""),41640)</f>
        <v>41640</v>
      </c>
      <c r="E54" s="3">
        <f ca="1">IFERROR(__xludf.DUMMYFUNCTION("""COMPUTED_VALUE"""),0.231458333331829)</f>
        <v>0.231458333331829</v>
      </c>
      <c r="F54" s="1">
        <f ca="1">IFERROR(__xludf.DUMMYFUNCTION("""COMPUTED_VALUE"""),15348)</f>
        <v>15348</v>
      </c>
      <c r="G54" s="1"/>
      <c r="H54" s="1"/>
      <c r="I54" s="1"/>
      <c r="J54" s="1" t="str">
        <f ca="1">IFERROR(__xludf.DUMMYFUNCTION("""COMPUTED_VALUE"""),"0d 00h 00m")</f>
        <v>0d 00h 00m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>
      <c r="A55" s="1">
        <f ca="1">IFERROR(__xludf.DUMMYFUNCTION("""COMPUTED_VALUE"""),35)</f>
        <v>35</v>
      </c>
      <c r="B55" s="1" t="str">
        <f ca="1">IFERROR(__xludf.DUMMYFUNCTION("""COMPUTED_VALUE"""),"C1_KA04D4107_JETTING")</f>
        <v>C1_KA04D4107_JETTING</v>
      </c>
      <c r="C55" s="1" t="str">
        <f ca="1">IFERROR(__xludf.DUMMYFUNCTION("""COMPUTED_VALUE"""),"c1_ka04d4107_jetting")</f>
        <v>c1_ka04d4107_jetting</v>
      </c>
      <c r="D55" s="2">
        <f ca="1">IFERROR(__xludf.DUMMYFUNCTION("""COMPUTED_VALUE"""),41640)</f>
        <v>41640</v>
      </c>
      <c r="E55" s="3">
        <f ca="1">IFERROR(__xludf.DUMMYFUNCTION("""COMPUTED_VALUE"""),0.231458333331829)</f>
        <v>0.231458333331829</v>
      </c>
      <c r="F55" s="1">
        <f ca="1">IFERROR(__xludf.DUMMYFUNCTION("""COMPUTED_VALUE"""),15348)</f>
        <v>15348</v>
      </c>
      <c r="G55" s="1"/>
      <c r="H55" s="1"/>
      <c r="I55" s="1"/>
      <c r="J55" s="1" t="str">
        <f ca="1">IFERROR(__xludf.DUMMYFUNCTION("""COMPUTED_VALUE"""),"0d 00h 00m")</f>
        <v>0d 00h 00m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>
      <c r="A56" s="1">
        <f ca="1">IFERROR(__xludf.DUMMYFUNCTION("""COMPUTED_VALUE"""),35)</f>
        <v>35</v>
      </c>
      <c r="B56" s="1" t="str">
        <f ca="1">IFERROR(__xludf.DUMMYFUNCTION("""COMPUTED_VALUE"""),"C1_KA04D4107_JETTING")</f>
        <v>C1_KA04D4107_JETTING</v>
      </c>
      <c r="C56" s="1" t="str">
        <f ca="1">IFERROR(__xludf.DUMMYFUNCTION("""COMPUTED_VALUE"""),"c1_ka04d4107_jetting")</f>
        <v>c1_ka04d4107_jetting</v>
      </c>
      <c r="D56" s="2">
        <f ca="1">IFERROR(__xludf.DUMMYFUNCTION("""COMPUTED_VALUE"""),41640)</f>
        <v>41640</v>
      </c>
      <c r="E56" s="3">
        <f ca="1">IFERROR(__xludf.DUMMYFUNCTION("""COMPUTED_VALUE"""),0.231458333331829)</f>
        <v>0.231458333331829</v>
      </c>
      <c r="F56" s="1">
        <f ca="1">IFERROR(__xludf.DUMMYFUNCTION("""COMPUTED_VALUE"""),15348)</f>
        <v>15348</v>
      </c>
      <c r="G56" s="1"/>
      <c r="H56" s="1"/>
      <c r="I56" s="1"/>
      <c r="J56" s="1" t="str">
        <f ca="1">IFERROR(__xludf.DUMMYFUNCTION("""COMPUTED_VALUE"""),"0d 00h 00m")</f>
        <v>0d 00h 00m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>
      <c r="A57" s="1">
        <f ca="1">IFERROR(__xludf.DUMMYFUNCTION("""COMPUTED_VALUE"""),35)</f>
        <v>35</v>
      </c>
      <c r="B57" s="1" t="str">
        <f ca="1">IFERROR(__xludf.DUMMYFUNCTION("""COMPUTED_VALUE"""),"C1_KA04D4107_JETTING")</f>
        <v>C1_KA04D4107_JETTING</v>
      </c>
      <c r="C57" s="1" t="str">
        <f ca="1">IFERROR(__xludf.DUMMYFUNCTION("""COMPUTED_VALUE"""),"c1_ka04d4107_jetting")</f>
        <v>c1_ka04d4107_jetting</v>
      </c>
      <c r="D57" s="2">
        <f ca="1">IFERROR(__xludf.DUMMYFUNCTION("""COMPUTED_VALUE"""),41640)</f>
        <v>41640</v>
      </c>
      <c r="E57" s="3">
        <f ca="1">IFERROR(__xludf.DUMMYFUNCTION("""COMPUTED_VALUE"""),0.231458333331829)</f>
        <v>0.231458333331829</v>
      </c>
      <c r="F57" s="1">
        <f ca="1">IFERROR(__xludf.DUMMYFUNCTION("""COMPUTED_VALUE"""),15348)</f>
        <v>15348</v>
      </c>
      <c r="G57" s="1"/>
      <c r="H57" s="1"/>
      <c r="I57" s="1"/>
      <c r="J57" s="1" t="str">
        <f ca="1">IFERROR(__xludf.DUMMYFUNCTION("""COMPUTED_VALUE"""),"0d 00h 00m")</f>
        <v>0d 00h 00m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>
      <c r="A58" s="1">
        <f ca="1">IFERROR(__xludf.DUMMYFUNCTION("""COMPUTED_VALUE"""),35)</f>
        <v>35</v>
      </c>
      <c r="B58" s="1" t="str">
        <f ca="1">IFERROR(__xludf.DUMMYFUNCTION("""COMPUTED_VALUE"""),"C1_KA04D4107_JETTING")</f>
        <v>C1_KA04D4107_JETTING</v>
      </c>
      <c r="C58" s="1" t="str">
        <f ca="1">IFERROR(__xludf.DUMMYFUNCTION("""COMPUTED_VALUE"""),"c1_ka04d4107_jetting")</f>
        <v>c1_ka04d4107_jetting</v>
      </c>
      <c r="D58" s="2">
        <f ca="1">IFERROR(__xludf.DUMMYFUNCTION("""COMPUTED_VALUE"""),41640)</f>
        <v>41640</v>
      </c>
      <c r="E58" s="3">
        <f ca="1">IFERROR(__xludf.DUMMYFUNCTION("""COMPUTED_VALUE"""),0.231458333331829)</f>
        <v>0.231458333331829</v>
      </c>
      <c r="F58" s="1">
        <f ca="1">IFERROR(__xludf.DUMMYFUNCTION("""COMPUTED_VALUE"""),15348)</f>
        <v>15348</v>
      </c>
      <c r="G58" s="1"/>
      <c r="H58" s="1"/>
      <c r="I58" s="1"/>
      <c r="J58" s="1" t="str">
        <f ca="1">IFERROR(__xludf.DUMMYFUNCTION("""COMPUTED_VALUE"""),"0d 00h 00m")</f>
        <v>0d 00h 00m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>
      <c r="A59" s="1">
        <f ca="1">IFERROR(__xludf.DUMMYFUNCTION("""COMPUTED_VALUE"""),35)</f>
        <v>35</v>
      </c>
      <c r="B59" s="1" t="str">
        <f ca="1">IFERROR(__xludf.DUMMYFUNCTION("""COMPUTED_VALUE"""),"C1_KA04D4107_JETTING")</f>
        <v>C1_KA04D4107_JETTING</v>
      </c>
      <c r="C59" s="1" t="str">
        <f ca="1">IFERROR(__xludf.DUMMYFUNCTION("""COMPUTED_VALUE"""),"c1_ka04d4107_jetting")</f>
        <v>c1_ka04d4107_jetting</v>
      </c>
      <c r="D59" s="2">
        <f ca="1">IFERROR(__xludf.DUMMYFUNCTION("""COMPUTED_VALUE"""),41640)</f>
        <v>41640</v>
      </c>
      <c r="E59" s="3">
        <f ca="1">IFERROR(__xludf.DUMMYFUNCTION("""COMPUTED_VALUE"""),0.231458333331829)</f>
        <v>0.231458333331829</v>
      </c>
      <c r="F59" s="1">
        <f ca="1">IFERROR(__xludf.DUMMYFUNCTION("""COMPUTED_VALUE"""),15348)</f>
        <v>15348</v>
      </c>
      <c r="G59" s="1"/>
      <c r="H59" s="1"/>
      <c r="I59" s="1"/>
      <c r="J59" s="1" t="str">
        <f ca="1">IFERROR(__xludf.DUMMYFUNCTION("""COMPUTED_VALUE"""),"0d 00h 00m")</f>
        <v>0d 00h 00m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>
      <c r="A60" s="1">
        <f ca="1">IFERROR(__xludf.DUMMYFUNCTION("""COMPUTED_VALUE"""),33)</f>
        <v>33</v>
      </c>
      <c r="B60" s="1" t="str">
        <f ca="1">IFERROR(__xludf.DUMMYFUNCTION("""COMPUTED_VALUE"""),"C1_KA04D5121_TANKER")</f>
        <v>C1_KA04D5121_TANKER</v>
      </c>
      <c r="C60" s="1" t="str">
        <f ca="1">IFERROR(__xludf.DUMMYFUNCTION("""COMPUTED_VALUE"""),"c1_ka04d5121_tanker")</f>
        <v>c1_ka04d5121_tanker</v>
      </c>
      <c r="D60" s="2">
        <f ca="1">IFERROR(__xludf.DUMMYFUNCTION("""COMPUTED_VALUE"""),41640)</f>
        <v>41640</v>
      </c>
      <c r="E60" s="3">
        <f ca="1">IFERROR(__xludf.DUMMYFUNCTION("""COMPUTED_VALUE"""),0.230474537038389)</f>
        <v>0.23047453703838899</v>
      </c>
      <c r="F60" s="1">
        <f ca="1">IFERROR(__xludf.DUMMYFUNCTION("""COMPUTED_VALUE"""),12473)</f>
        <v>12473</v>
      </c>
      <c r="G60" s="1"/>
      <c r="H60" s="1"/>
      <c r="I60" s="1"/>
      <c r="J60" s="1" t="str">
        <f ca="1">IFERROR(__xludf.DUMMYFUNCTION("""COMPUTED_VALUE"""),"0d 00h 00m")</f>
        <v>0d 00h 00m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>
      <c r="A61" s="1">
        <f ca="1">IFERROR(__xludf.DUMMYFUNCTION("""COMPUTED_VALUE"""),33)</f>
        <v>33</v>
      </c>
      <c r="B61" s="1" t="str">
        <f ca="1">IFERROR(__xludf.DUMMYFUNCTION("""COMPUTED_VALUE"""),"C1_KA04D5121_TANKER")</f>
        <v>C1_KA04D5121_TANKER</v>
      </c>
      <c r="C61" s="1" t="str">
        <f ca="1">IFERROR(__xludf.DUMMYFUNCTION("""COMPUTED_VALUE"""),"c1_ka04d5121_tanker")</f>
        <v>c1_ka04d5121_tanker</v>
      </c>
      <c r="D61" s="2">
        <f ca="1">IFERROR(__xludf.DUMMYFUNCTION("""COMPUTED_VALUE"""),41640)</f>
        <v>41640</v>
      </c>
      <c r="E61" s="3">
        <f ca="1">IFERROR(__xludf.DUMMYFUNCTION("""COMPUTED_VALUE"""),0.230474537038389)</f>
        <v>0.23047453703838899</v>
      </c>
      <c r="F61" s="1">
        <f ca="1">IFERROR(__xludf.DUMMYFUNCTION("""COMPUTED_VALUE"""),12473)</f>
        <v>12473</v>
      </c>
      <c r="G61" s="1"/>
      <c r="H61" s="1"/>
      <c r="I61" s="1"/>
      <c r="J61" s="1" t="str">
        <f ca="1">IFERROR(__xludf.DUMMYFUNCTION("""COMPUTED_VALUE"""),"0d 00h 00m")</f>
        <v>0d 00h 00m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>
      <c r="A62" s="1">
        <f ca="1">IFERROR(__xludf.DUMMYFUNCTION("""COMPUTED_VALUE"""),33)</f>
        <v>33</v>
      </c>
      <c r="B62" s="1" t="str">
        <f ca="1">IFERROR(__xludf.DUMMYFUNCTION("""COMPUTED_VALUE"""),"C1_KA04D5121_TANKER")</f>
        <v>C1_KA04D5121_TANKER</v>
      </c>
      <c r="C62" s="1" t="str">
        <f ca="1">IFERROR(__xludf.DUMMYFUNCTION("""COMPUTED_VALUE"""),"c1_ka04d5121_tanker")</f>
        <v>c1_ka04d5121_tanker</v>
      </c>
      <c r="D62" s="2">
        <f ca="1">IFERROR(__xludf.DUMMYFUNCTION("""COMPUTED_VALUE"""),41640)</f>
        <v>41640</v>
      </c>
      <c r="E62" s="3">
        <f ca="1">IFERROR(__xludf.DUMMYFUNCTION("""COMPUTED_VALUE"""),0.230474537038389)</f>
        <v>0.23047453703838899</v>
      </c>
      <c r="F62" s="1">
        <f ca="1">IFERROR(__xludf.DUMMYFUNCTION("""COMPUTED_VALUE"""),12473)</f>
        <v>12473</v>
      </c>
      <c r="G62" s="1"/>
      <c r="H62" s="1"/>
      <c r="I62" s="1"/>
      <c r="J62" s="1" t="str">
        <f ca="1">IFERROR(__xludf.DUMMYFUNCTION("""COMPUTED_VALUE"""),"0d 00h 00m")</f>
        <v>0d 00h 00m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>
      <c r="A63" s="1">
        <f ca="1">IFERROR(__xludf.DUMMYFUNCTION("""COMPUTED_VALUE"""),33)</f>
        <v>33</v>
      </c>
      <c r="B63" s="1" t="str">
        <f ca="1">IFERROR(__xludf.DUMMYFUNCTION("""COMPUTED_VALUE"""),"C1_KA04D5121_TANKER")</f>
        <v>C1_KA04D5121_TANKER</v>
      </c>
      <c r="C63" s="1" t="str">
        <f ca="1">IFERROR(__xludf.DUMMYFUNCTION("""COMPUTED_VALUE"""),"c1_ka04d5121_tanker")</f>
        <v>c1_ka04d5121_tanker</v>
      </c>
      <c r="D63" s="2">
        <f ca="1">IFERROR(__xludf.DUMMYFUNCTION("""COMPUTED_VALUE"""),41640)</f>
        <v>41640</v>
      </c>
      <c r="E63" s="3">
        <f ca="1">IFERROR(__xludf.DUMMYFUNCTION("""COMPUTED_VALUE"""),0.230474537038389)</f>
        <v>0.23047453703838899</v>
      </c>
      <c r="F63" s="1">
        <f ca="1">IFERROR(__xludf.DUMMYFUNCTION("""COMPUTED_VALUE"""),12473)</f>
        <v>12473</v>
      </c>
      <c r="G63" s="1"/>
      <c r="H63" s="1"/>
      <c r="I63" s="1"/>
      <c r="J63" s="1" t="str">
        <f ca="1">IFERROR(__xludf.DUMMYFUNCTION("""COMPUTED_VALUE"""),"0d 00h 00m")</f>
        <v>0d 00h 00m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>
      <c r="A64" s="1">
        <f ca="1">IFERROR(__xludf.DUMMYFUNCTION("""COMPUTED_VALUE"""),33)</f>
        <v>33</v>
      </c>
      <c r="B64" s="1" t="str">
        <f ca="1">IFERROR(__xludf.DUMMYFUNCTION("""COMPUTED_VALUE"""),"C1_KA04D5121_TANKER")</f>
        <v>C1_KA04D5121_TANKER</v>
      </c>
      <c r="C64" s="1" t="str">
        <f ca="1">IFERROR(__xludf.DUMMYFUNCTION("""COMPUTED_VALUE"""),"c1_ka04d5121_tanker")</f>
        <v>c1_ka04d5121_tanker</v>
      </c>
      <c r="D64" s="2">
        <f ca="1">IFERROR(__xludf.DUMMYFUNCTION("""COMPUTED_VALUE"""),41640)</f>
        <v>41640</v>
      </c>
      <c r="E64" s="3">
        <f ca="1">IFERROR(__xludf.DUMMYFUNCTION("""COMPUTED_VALUE"""),0.230474537038389)</f>
        <v>0.23047453703838899</v>
      </c>
      <c r="F64" s="1">
        <f ca="1">IFERROR(__xludf.DUMMYFUNCTION("""COMPUTED_VALUE"""),12473)</f>
        <v>12473</v>
      </c>
      <c r="G64" s="1"/>
      <c r="H64" s="1"/>
      <c r="I64" s="1"/>
      <c r="J64" s="1" t="str">
        <f ca="1">IFERROR(__xludf.DUMMYFUNCTION("""COMPUTED_VALUE"""),"0d 00h 00m")</f>
        <v>0d 00h 00m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>
      <c r="A65" s="1">
        <f ca="1">IFERROR(__xludf.DUMMYFUNCTION("""COMPUTED_VALUE"""),33)</f>
        <v>33</v>
      </c>
      <c r="B65" s="1" t="str">
        <f ca="1">IFERROR(__xludf.DUMMYFUNCTION("""COMPUTED_VALUE"""),"C1_KA04D5121_TANKER")</f>
        <v>C1_KA04D5121_TANKER</v>
      </c>
      <c r="C65" s="1" t="str">
        <f ca="1">IFERROR(__xludf.DUMMYFUNCTION("""COMPUTED_VALUE"""),"c1_ka04d5121_tanker")</f>
        <v>c1_ka04d5121_tanker</v>
      </c>
      <c r="D65" s="2">
        <f ca="1">IFERROR(__xludf.DUMMYFUNCTION("""COMPUTED_VALUE"""),41640)</f>
        <v>41640</v>
      </c>
      <c r="E65" s="3">
        <f ca="1">IFERROR(__xludf.DUMMYFUNCTION("""COMPUTED_VALUE"""),0.230474537038389)</f>
        <v>0.23047453703838899</v>
      </c>
      <c r="F65" s="1">
        <f ca="1">IFERROR(__xludf.DUMMYFUNCTION("""COMPUTED_VALUE"""),12473)</f>
        <v>12473</v>
      </c>
      <c r="G65" s="1"/>
      <c r="H65" s="1"/>
      <c r="I65" s="1"/>
      <c r="J65" s="1" t="str">
        <f ca="1">IFERROR(__xludf.DUMMYFUNCTION("""COMPUTED_VALUE"""),"0d 00h 00m")</f>
        <v>0d 00h 00m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>
      <c r="A66" s="1">
        <f ca="1">IFERROR(__xludf.DUMMYFUNCTION("""COMPUTED_VALUE"""),33)</f>
        <v>33</v>
      </c>
      <c r="B66" s="1" t="str">
        <f ca="1">IFERROR(__xludf.DUMMYFUNCTION("""COMPUTED_VALUE"""),"C1_KA04D5121_TANKER")</f>
        <v>C1_KA04D5121_TANKER</v>
      </c>
      <c r="C66" s="1" t="str">
        <f ca="1">IFERROR(__xludf.DUMMYFUNCTION("""COMPUTED_VALUE"""),"c1_ka04d5121_tanker")</f>
        <v>c1_ka04d5121_tanker</v>
      </c>
      <c r="D66" s="2">
        <f ca="1">IFERROR(__xludf.DUMMYFUNCTION("""COMPUTED_VALUE"""),41640)</f>
        <v>41640</v>
      </c>
      <c r="E66" s="3">
        <f ca="1">IFERROR(__xludf.DUMMYFUNCTION("""COMPUTED_VALUE"""),0.230474537038389)</f>
        <v>0.23047453703838899</v>
      </c>
      <c r="F66" s="1">
        <f ca="1">IFERROR(__xludf.DUMMYFUNCTION("""COMPUTED_VALUE"""),12473)</f>
        <v>12473</v>
      </c>
      <c r="G66" s="1"/>
      <c r="H66" s="1"/>
      <c r="I66" s="1"/>
      <c r="J66" s="1" t="str">
        <f ca="1">IFERROR(__xludf.DUMMYFUNCTION("""COMPUTED_VALUE"""),"0d 00h 00m")</f>
        <v>0d 00h 00m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>
      <c r="A67" s="1">
        <f ca="1">IFERROR(__xludf.DUMMYFUNCTION("""COMPUTED_VALUE"""),111)</f>
        <v>111</v>
      </c>
      <c r="B67" s="1" t="str">
        <f ca="1">IFERROR(__xludf.DUMMYFUNCTION("""COMPUTED_VALUE"""),"C1_KA04D5123_Tanker")</f>
        <v>C1_KA04D5123_Tanker</v>
      </c>
      <c r="C67" s="1" t="str">
        <f ca="1">IFERROR(__xludf.DUMMYFUNCTION("""COMPUTED_VALUE"""),"c1_ka04d5123_tanker")</f>
        <v>c1_ka04d5123_tanker</v>
      </c>
      <c r="D67" s="2">
        <f ca="1">IFERROR(__xludf.DUMMYFUNCTION("""COMPUTED_VALUE"""),44706)</f>
        <v>44706</v>
      </c>
      <c r="E67" s="3">
        <f ca="1">IFERROR(__xludf.DUMMYFUNCTION("""COMPUTED_VALUE"""),0.370277777776209)</f>
        <v>0.37027777777620902</v>
      </c>
      <c r="F67" s="1">
        <f ca="1">IFERROR(__xludf.DUMMYFUNCTION("""COMPUTED_VALUE"""),9752)</f>
        <v>9752</v>
      </c>
      <c r="G67" s="1" t="str">
        <f ca="1">IFERROR(__xludf.DUMMYFUNCTION("""COMPUTED_VALUE"""),"12.9830/77.5850")</f>
        <v>12.9830/77.5850</v>
      </c>
      <c r="H67" s="1" t="str">
        <f ca="1">IFERROR(__xludf.DUMMYFUNCTION("""COMPUTED_VALUE"""),"Kanija Bhavan")</f>
        <v>Kanija Bhavan</v>
      </c>
      <c r="I67" s="1"/>
      <c r="J67" s="1" t="str">
        <f ca="1">IFERROR(__xludf.DUMMYFUNCTION("""COMPUTED_VALUE"""),"0d 00h 00m")</f>
        <v>0d 00h 00m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>
      <c r="A68" s="1">
        <f ca="1">IFERROR(__xludf.DUMMYFUNCTION("""COMPUTED_VALUE"""),56)</f>
        <v>56</v>
      </c>
      <c r="B68" s="1" t="str">
        <f ca="1">IFERROR(__xludf.DUMMYFUNCTION("""COMPUTED_VALUE"""),"C1_KA04D5123_Tanker")</f>
        <v>C1_KA04D5123_Tanker</v>
      </c>
      <c r="C68" s="1" t="str">
        <f ca="1">IFERROR(__xludf.DUMMYFUNCTION("""COMPUTED_VALUE"""),"c1_ka04d5123_tanker")</f>
        <v>c1_ka04d5123_tanker</v>
      </c>
      <c r="D68" s="2">
        <f ca="1">IFERROR(__xludf.DUMMYFUNCTION("""COMPUTED_VALUE"""),44706)</f>
        <v>44706</v>
      </c>
      <c r="E68" s="3">
        <f ca="1">IFERROR(__xludf.DUMMYFUNCTION("""COMPUTED_VALUE"""),0.370277777776209)</f>
        <v>0.37027777777620902</v>
      </c>
      <c r="F68" s="1">
        <f ca="1">IFERROR(__xludf.DUMMYFUNCTION("""COMPUTED_VALUE"""),9752)</f>
        <v>9752</v>
      </c>
      <c r="G68" s="1" t="str">
        <f ca="1">IFERROR(__xludf.DUMMYFUNCTION("""COMPUTED_VALUE"""),"12.9830/77.5850")</f>
        <v>12.9830/77.5850</v>
      </c>
      <c r="H68" s="1" t="str">
        <f ca="1">IFERROR(__xludf.DUMMYFUNCTION("""COMPUTED_VALUE"""),"Kanija Bhavan")</f>
        <v>Kanija Bhavan</v>
      </c>
      <c r="I68" s="1"/>
      <c r="J68" s="1" t="str">
        <f ca="1">IFERROR(__xludf.DUMMYFUNCTION("""COMPUTED_VALUE"""),"0d 00h 00m")</f>
        <v>0d 00h 00m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>
      <c r="A69" s="1">
        <f ca="1">IFERROR(__xludf.DUMMYFUNCTION("""COMPUTED_VALUE"""),73)</f>
        <v>73</v>
      </c>
      <c r="B69" s="1" t="str">
        <f ca="1">IFERROR(__xludf.DUMMYFUNCTION("""COMPUTED_VALUE"""),"C1_KA04D5123_Tanker")</f>
        <v>C1_KA04D5123_Tanker</v>
      </c>
      <c r="C69" s="1" t="str">
        <f ca="1">IFERROR(__xludf.DUMMYFUNCTION("""COMPUTED_VALUE"""),"c1_ka04d5123_tanker")</f>
        <v>c1_ka04d5123_tanker</v>
      </c>
      <c r="D69" s="2">
        <f ca="1">IFERROR(__xludf.DUMMYFUNCTION("""COMPUTED_VALUE"""),44739)</f>
        <v>44739</v>
      </c>
      <c r="E69" s="3">
        <f ca="1">IFERROR(__xludf.DUMMYFUNCTION("""COMPUTED_VALUE"""),0.598101851850515)</f>
        <v>0.59810185185051501</v>
      </c>
      <c r="F69" s="1">
        <f ca="1">IFERROR(__xludf.DUMMYFUNCTION("""COMPUTED_VALUE"""),9752)</f>
        <v>9752</v>
      </c>
      <c r="G69" s="1" t="str">
        <f ca="1">IFERROR(__xludf.DUMMYFUNCTION("""COMPUTED_VALUE"""),"12.9828/77.5852")</f>
        <v>12.9828/77.5852</v>
      </c>
      <c r="H69" s="1" t="str">
        <f ca="1">IFERROR(__xludf.DUMMYFUNCTION("""COMPUTED_VALUE"""),"Kanija Bhavan")</f>
        <v>Kanija Bhavan</v>
      </c>
      <c r="I69" s="1"/>
      <c r="J69" s="1" t="str">
        <f ca="1">IFERROR(__xludf.DUMMYFUNCTION("""COMPUTED_VALUE"""),"0d 00h 00m")</f>
        <v>0d 00h 00m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>
      <c r="A70" s="1">
        <f ca="1">IFERROR(__xludf.DUMMYFUNCTION("""COMPUTED_VALUE"""),128)</f>
        <v>128</v>
      </c>
      <c r="B70" s="1" t="str">
        <f ca="1">IFERROR(__xludf.DUMMYFUNCTION("""COMPUTED_VALUE"""),"C1_KA04D5123_Tanker")</f>
        <v>C1_KA04D5123_Tanker</v>
      </c>
      <c r="C70" s="1" t="str">
        <f ca="1">IFERROR(__xludf.DUMMYFUNCTION("""COMPUTED_VALUE"""),"c1_ka04d5123_tanker")</f>
        <v>c1_ka04d5123_tanker</v>
      </c>
      <c r="D70" s="2">
        <f ca="1">IFERROR(__xludf.DUMMYFUNCTION("""COMPUTED_VALUE"""),44795)</f>
        <v>44795</v>
      </c>
      <c r="E70" s="3">
        <f ca="1">IFERROR(__xludf.DUMMYFUNCTION("""COMPUTED_VALUE"""),0.29008101852014)</f>
        <v>0.29008101852014001</v>
      </c>
      <c r="F70" s="1">
        <f ca="1">IFERROR(__xludf.DUMMYFUNCTION("""COMPUTED_VALUE"""),9760)</f>
        <v>9760</v>
      </c>
      <c r="G70" s="1" t="str">
        <f ca="1">IFERROR(__xludf.DUMMYFUNCTION("""COMPUTED_VALUE"""),"12.9825/77.5852")</f>
        <v>12.9825/77.5852</v>
      </c>
      <c r="H70" s="1" t="str">
        <f ca="1">IFERROR(__xludf.DUMMYFUNCTION("""COMPUTED_VALUE"""),"#100 Bed and Breakfast")</f>
        <v>#100 Bed and Breakfast</v>
      </c>
      <c r="I70" s="1"/>
      <c r="J70" s="1" t="str">
        <f ca="1">IFERROR(__xludf.DUMMYFUNCTION("""COMPUTED_VALUE"""),"0d 00h 00m")</f>
        <v>0d 00h 00m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>
      <c r="A71" s="1">
        <f ca="1">IFERROR(__xludf.DUMMYFUNCTION("""COMPUTED_VALUE"""),184)</f>
        <v>184</v>
      </c>
      <c r="B71" s="1" t="str">
        <f ca="1">IFERROR(__xludf.DUMMYFUNCTION("""COMPUTED_VALUE"""),"C1_KA04D5123_Tanker")</f>
        <v>C1_KA04D5123_Tanker</v>
      </c>
      <c r="C71" s="1" t="str">
        <f ca="1">IFERROR(__xludf.DUMMYFUNCTION("""COMPUTED_VALUE"""),"c1_ka04d5123_tanker")</f>
        <v>c1_ka04d5123_tanker</v>
      </c>
      <c r="D71" s="2">
        <f ca="1">IFERROR(__xludf.DUMMYFUNCTION("""COMPUTED_VALUE"""),44830)</f>
        <v>44830</v>
      </c>
      <c r="E71" s="3">
        <f ca="1">IFERROR(__xludf.DUMMYFUNCTION("""COMPUTED_VALUE"""),0.999074074072268)</f>
        <v>0.999074074072268</v>
      </c>
      <c r="F71" s="1">
        <f ca="1">IFERROR(__xludf.DUMMYFUNCTION("""COMPUTED_VALUE"""),9825)</f>
        <v>9825</v>
      </c>
      <c r="G71" s="1" t="str">
        <f ca="1">IFERROR(__xludf.DUMMYFUNCTION("""COMPUTED_VALUE"""),"12.9827/77.5853")</f>
        <v>12.9827/77.5853</v>
      </c>
      <c r="H71" s="1" t="str">
        <f ca="1">IFERROR(__xludf.DUMMYFUNCTION("""COMPUTED_VALUE"""),"Kanija Bhavan")</f>
        <v>Kanija Bhavan</v>
      </c>
      <c r="I71" s="1"/>
      <c r="J71" s="1" t="str">
        <f ca="1">IFERROR(__xludf.DUMMYFUNCTION("""COMPUTED_VALUE"""),"0d 00h 00m")</f>
        <v>0d 00h 00m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>
      <c r="A72" s="1">
        <f ca="1">IFERROR(__xludf.DUMMYFUNCTION("""COMPUTED_VALUE"""),192)</f>
        <v>192</v>
      </c>
      <c r="B72" s="1" t="str">
        <f ca="1">IFERROR(__xludf.DUMMYFUNCTION("""COMPUTED_VALUE"""),"C1_KA04D5123_Tanker")</f>
        <v>C1_KA04D5123_Tanker</v>
      </c>
      <c r="C72" s="1" t="str">
        <f ca="1">IFERROR(__xludf.DUMMYFUNCTION("""COMPUTED_VALUE"""),"c1_ka04d5123_tanker")</f>
        <v>c1_ka04d5123_tanker</v>
      </c>
      <c r="D72" s="2">
        <f ca="1">IFERROR(__xludf.DUMMYFUNCTION("""COMPUTED_VALUE"""),44860)</f>
        <v>44860</v>
      </c>
      <c r="E72" s="3">
        <f ca="1">IFERROR(__xludf.DUMMYFUNCTION("""COMPUTED_VALUE"""),0.999131944445252)</f>
        <v>0.999131944445252</v>
      </c>
      <c r="F72" s="1">
        <f ca="1">IFERROR(__xludf.DUMMYFUNCTION("""COMPUTED_VALUE"""),10068)</f>
        <v>10068</v>
      </c>
      <c r="G72" s="1" t="str">
        <f ca="1">IFERROR(__xludf.DUMMYFUNCTION("""COMPUTED_VALUE"""),"12.9829/77.5851")</f>
        <v>12.9829/77.5851</v>
      </c>
      <c r="H72" s="1" t="str">
        <f ca="1">IFERROR(__xludf.DUMMYFUNCTION("""COMPUTED_VALUE"""),"Kanija Bhavan")</f>
        <v>Kanija Bhavan</v>
      </c>
      <c r="I72" s="1"/>
      <c r="J72" s="1" t="str">
        <f ca="1">IFERROR(__xludf.DUMMYFUNCTION("""COMPUTED_VALUE"""),"0d 00h 00m")</f>
        <v>0d 00h 00m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>
      <c r="A73" s="1">
        <f ca="1">IFERROR(__xludf.DUMMYFUNCTION("""COMPUTED_VALUE"""),73)</f>
        <v>73</v>
      </c>
      <c r="B73" s="1" t="str">
        <f ca="1">IFERROR(__xludf.DUMMYFUNCTION("""COMPUTED_VALUE"""),"C2_KA02AC5935_JETTING")</f>
        <v>C2_KA02AC5935_JETTING</v>
      </c>
      <c r="C73" s="1" t="str">
        <f ca="1">IFERROR(__xludf.DUMMYFUNCTION("""COMPUTED_VALUE"""),"c2_ka02ac5935_jetting")</f>
        <v>c2_ka02ac5935_jetting</v>
      </c>
      <c r="D73" s="2">
        <f ca="1">IFERROR(__xludf.DUMMYFUNCTION("""COMPUTED_VALUE"""),41640)</f>
        <v>41640</v>
      </c>
      <c r="E73" s="3">
        <f ca="1">IFERROR(__xludf.DUMMYFUNCTION("""COMPUTED_VALUE"""),0.623576388887158)</f>
        <v>0.62357638888715805</v>
      </c>
      <c r="F73" s="1">
        <f ca="1">IFERROR(__xludf.DUMMYFUNCTION("""COMPUTED_VALUE"""),32286)</f>
        <v>32286</v>
      </c>
      <c r="G73" s="1" t="str">
        <f ca="1">IFERROR(__xludf.DUMMYFUNCTION("""COMPUTED_VALUE"""),"13.0115/77.6044")</f>
        <v>13.0115/77.6044</v>
      </c>
      <c r="H73" s="1" t="str">
        <f ca="1">IFERROR(__xludf.DUMMYFUNCTION("""COMPUTED_VALUE"""),"DevaraJevanaHalli")</f>
        <v>DevaraJevanaHalli</v>
      </c>
      <c r="I73" s="1"/>
      <c r="J73" s="1" t="str">
        <f ca="1">IFERROR(__xludf.DUMMYFUNCTION("""COMPUTED_VALUE"""),"0d 00h 00m")</f>
        <v>0d 00h 00m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>
      <c r="A74" s="1">
        <f ca="1">IFERROR(__xludf.DUMMYFUNCTION("""COMPUTED_VALUE"""),73)</f>
        <v>73</v>
      </c>
      <c r="B74" s="1" t="str">
        <f ca="1">IFERROR(__xludf.DUMMYFUNCTION("""COMPUTED_VALUE"""),"C2_KA02AC5935_JETTING")</f>
        <v>C2_KA02AC5935_JETTING</v>
      </c>
      <c r="C74" s="1" t="str">
        <f ca="1">IFERROR(__xludf.DUMMYFUNCTION("""COMPUTED_VALUE"""),"c2_ka02ac5935_jetting")</f>
        <v>c2_ka02ac5935_jetting</v>
      </c>
      <c r="D74" s="2">
        <f ca="1">IFERROR(__xludf.DUMMYFUNCTION("""COMPUTED_VALUE"""),41640)</f>
        <v>41640</v>
      </c>
      <c r="E74" s="3">
        <f ca="1">IFERROR(__xludf.DUMMYFUNCTION("""COMPUTED_VALUE"""),0.623576388887158)</f>
        <v>0.62357638888715805</v>
      </c>
      <c r="F74" s="1">
        <f ca="1">IFERROR(__xludf.DUMMYFUNCTION("""COMPUTED_VALUE"""),32286)</f>
        <v>32286</v>
      </c>
      <c r="G74" s="1" t="str">
        <f ca="1">IFERROR(__xludf.DUMMYFUNCTION("""COMPUTED_VALUE"""),"13.0115/77.6044")</f>
        <v>13.0115/77.6044</v>
      </c>
      <c r="H74" s="1" t="str">
        <f ca="1">IFERROR(__xludf.DUMMYFUNCTION("""COMPUTED_VALUE"""),"DevaraJevanaHalli")</f>
        <v>DevaraJevanaHalli</v>
      </c>
      <c r="I74" s="1"/>
      <c r="J74" s="1" t="str">
        <f ca="1">IFERROR(__xludf.DUMMYFUNCTION("""COMPUTED_VALUE"""),"0d 00h 01m")</f>
        <v>0d 00h 01m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>
      <c r="A75" s="1">
        <f ca="1">IFERROR(__xludf.DUMMYFUNCTION("""COMPUTED_VALUE"""),71)</f>
        <v>71</v>
      </c>
      <c r="B75" s="1" t="str">
        <f ca="1">IFERROR(__xludf.DUMMYFUNCTION("""COMPUTED_VALUE"""),"C2_KA02AC5935_JETTING")</f>
        <v>C2_KA02AC5935_JETTING</v>
      </c>
      <c r="C75" s="1" t="str">
        <f ca="1">IFERROR(__xludf.DUMMYFUNCTION("""COMPUTED_VALUE"""),"c2_ka02ac5935_jetting")</f>
        <v>c2_ka02ac5935_jetting</v>
      </c>
      <c r="D75" s="2">
        <f ca="1">IFERROR(__xludf.DUMMYFUNCTION("""COMPUTED_VALUE"""),41640)</f>
        <v>41640</v>
      </c>
      <c r="E75" s="3">
        <f ca="1">IFERROR(__xludf.DUMMYFUNCTION("""COMPUTED_VALUE"""),0.623576388887158)</f>
        <v>0.62357638888715805</v>
      </c>
      <c r="F75" s="1">
        <f ca="1">IFERROR(__xludf.DUMMYFUNCTION("""COMPUTED_VALUE"""),32286)</f>
        <v>32286</v>
      </c>
      <c r="G75" s="1" t="str">
        <f ca="1">IFERROR(__xludf.DUMMYFUNCTION("""COMPUTED_VALUE"""),"13.0115/77.6044")</f>
        <v>13.0115/77.6044</v>
      </c>
      <c r="H75" s="1" t="str">
        <f ca="1">IFERROR(__xludf.DUMMYFUNCTION("""COMPUTED_VALUE"""),"DevaraJevanaHalli")</f>
        <v>DevaraJevanaHalli</v>
      </c>
      <c r="I75" s="1"/>
      <c r="J75" s="1" t="str">
        <f ca="1">IFERROR(__xludf.DUMMYFUNCTION("""COMPUTED_VALUE"""),"0d 00h 00m")</f>
        <v>0d 00h 00m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>
      <c r="A76" s="1">
        <f ca="1">IFERROR(__xludf.DUMMYFUNCTION("""COMPUTED_VALUE"""),71)</f>
        <v>71</v>
      </c>
      <c r="B76" s="1" t="str">
        <f ca="1">IFERROR(__xludf.DUMMYFUNCTION("""COMPUTED_VALUE"""),"C2_KA02AC5935_JETTING")</f>
        <v>C2_KA02AC5935_JETTING</v>
      </c>
      <c r="C76" s="1" t="str">
        <f ca="1">IFERROR(__xludf.DUMMYFUNCTION("""COMPUTED_VALUE"""),"c2_ka02ac5935_jetting")</f>
        <v>c2_ka02ac5935_jetting</v>
      </c>
      <c r="D76" s="2">
        <f ca="1">IFERROR(__xludf.DUMMYFUNCTION("""COMPUTED_VALUE"""),41640)</f>
        <v>41640</v>
      </c>
      <c r="E76" s="3">
        <f ca="1">IFERROR(__xludf.DUMMYFUNCTION("""COMPUTED_VALUE"""),0.623576388887158)</f>
        <v>0.62357638888715805</v>
      </c>
      <c r="F76" s="1">
        <f ca="1">IFERROR(__xludf.DUMMYFUNCTION("""COMPUTED_VALUE"""),32286)</f>
        <v>32286</v>
      </c>
      <c r="G76" s="1" t="str">
        <f ca="1">IFERROR(__xludf.DUMMYFUNCTION("""COMPUTED_VALUE"""),"13.0115/77.6044")</f>
        <v>13.0115/77.6044</v>
      </c>
      <c r="H76" s="1" t="str">
        <f ca="1">IFERROR(__xludf.DUMMYFUNCTION("""COMPUTED_VALUE"""),"DevaraJevanaHalli")</f>
        <v>DevaraJevanaHalli</v>
      </c>
      <c r="I76" s="1"/>
      <c r="J76" s="1" t="str">
        <f ca="1">IFERROR(__xludf.DUMMYFUNCTION("""COMPUTED_VALUE"""),"0d 00h 00m")</f>
        <v>0d 00h 00m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>
      <c r="A77" s="1">
        <f ca="1">IFERROR(__xludf.DUMMYFUNCTION("""COMPUTED_VALUE"""),71)</f>
        <v>71</v>
      </c>
      <c r="B77" s="1" t="str">
        <f ca="1">IFERROR(__xludf.DUMMYFUNCTION("""COMPUTED_VALUE"""),"C2_KA02AC5935_JETTING")</f>
        <v>C2_KA02AC5935_JETTING</v>
      </c>
      <c r="C77" s="1" t="str">
        <f ca="1">IFERROR(__xludf.DUMMYFUNCTION("""COMPUTED_VALUE"""),"c2_ka02ac5935_jetting")</f>
        <v>c2_ka02ac5935_jetting</v>
      </c>
      <c r="D77" s="2">
        <f ca="1">IFERROR(__xludf.DUMMYFUNCTION("""COMPUTED_VALUE"""),41640)</f>
        <v>41640</v>
      </c>
      <c r="E77" s="3">
        <f ca="1">IFERROR(__xludf.DUMMYFUNCTION("""COMPUTED_VALUE"""),0.623576388887158)</f>
        <v>0.62357638888715805</v>
      </c>
      <c r="F77" s="1">
        <f ca="1">IFERROR(__xludf.DUMMYFUNCTION("""COMPUTED_VALUE"""),32286)</f>
        <v>32286</v>
      </c>
      <c r="G77" s="1" t="str">
        <f ca="1">IFERROR(__xludf.DUMMYFUNCTION("""COMPUTED_VALUE"""),"13.0115/77.6044")</f>
        <v>13.0115/77.6044</v>
      </c>
      <c r="H77" s="1" t="str">
        <f ca="1">IFERROR(__xludf.DUMMYFUNCTION("""COMPUTED_VALUE"""),"DevaraJevanaHalli")</f>
        <v>DevaraJevanaHalli</v>
      </c>
      <c r="I77" s="1"/>
      <c r="J77" s="1" t="str">
        <f ca="1">IFERROR(__xludf.DUMMYFUNCTION("""COMPUTED_VALUE"""),"0d 00h 00m")</f>
        <v>0d 00h 00m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>
      <c r="A78" s="1">
        <f ca="1">IFERROR(__xludf.DUMMYFUNCTION("""COMPUTED_VALUE"""),71)</f>
        <v>71</v>
      </c>
      <c r="B78" s="1" t="str">
        <f ca="1">IFERROR(__xludf.DUMMYFUNCTION("""COMPUTED_VALUE"""),"C2_KA02AC5935_JETTING")</f>
        <v>C2_KA02AC5935_JETTING</v>
      </c>
      <c r="C78" s="1" t="str">
        <f ca="1">IFERROR(__xludf.DUMMYFUNCTION("""COMPUTED_VALUE"""),"c2_ka02ac5935_jetting")</f>
        <v>c2_ka02ac5935_jetting</v>
      </c>
      <c r="D78" s="2">
        <f ca="1">IFERROR(__xludf.DUMMYFUNCTION("""COMPUTED_VALUE"""),41640)</f>
        <v>41640</v>
      </c>
      <c r="E78" s="3">
        <f ca="1">IFERROR(__xludf.DUMMYFUNCTION("""COMPUTED_VALUE"""),0.623576388887158)</f>
        <v>0.62357638888715805</v>
      </c>
      <c r="F78" s="1">
        <f ca="1">IFERROR(__xludf.DUMMYFUNCTION("""COMPUTED_VALUE"""),32286)</f>
        <v>32286</v>
      </c>
      <c r="G78" s="1" t="str">
        <f ca="1">IFERROR(__xludf.DUMMYFUNCTION("""COMPUTED_VALUE"""),"13.0115/77.6044")</f>
        <v>13.0115/77.6044</v>
      </c>
      <c r="H78" s="1" t="str">
        <f ca="1">IFERROR(__xludf.DUMMYFUNCTION("""COMPUTED_VALUE"""),"DevaraJevanaHalli")</f>
        <v>DevaraJevanaHalli</v>
      </c>
      <c r="I78" s="1"/>
      <c r="J78" s="1" t="str">
        <f ca="1">IFERROR(__xludf.DUMMYFUNCTION("""COMPUTED_VALUE"""),"0d 00h 00m")</f>
        <v>0d 00h 00m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>
      <c r="A79" s="1">
        <f ca="1">IFERROR(__xludf.DUMMYFUNCTION("""COMPUTED_VALUE"""),71)</f>
        <v>71</v>
      </c>
      <c r="B79" s="1" t="str">
        <f ca="1">IFERROR(__xludf.DUMMYFUNCTION("""COMPUTED_VALUE"""),"C2_KA02AC5935_JETTING")</f>
        <v>C2_KA02AC5935_JETTING</v>
      </c>
      <c r="C79" s="1" t="str">
        <f ca="1">IFERROR(__xludf.DUMMYFUNCTION("""COMPUTED_VALUE"""),"c2_ka02ac5935_jetting")</f>
        <v>c2_ka02ac5935_jetting</v>
      </c>
      <c r="D79" s="2">
        <f ca="1">IFERROR(__xludf.DUMMYFUNCTION("""COMPUTED_VALUE"""),41640)</f>
        <v>41640</v>
      </c>
      <c r="E79" s="3">
        <f ca="1">IFERROR(__xludf.DUMMYFUNCTION("""COMPUTED_VALUE"""),0.623576388887158)</f>
        <v>0.62357638888715805</v>
      </c>
      <c r="F79" s="1">
        <f ca="1">IFERROR(__xludf.DUMMYFUNCTION("""COMPUTED_VALUE"""),32286)</f>
        <v>32286</v>
      </c>
      <c r="G79" s="1" t="str">
        <f ca="1">IFERROR(__xludf.DUMMYFUNCTION("""COMPUTED_VALUE"""),"13.0115/77.6044")</f>
        <v>13.0115/77.6044</v>
      </c>
      <c r="H79" s="1" t="str">
        <f ca="1">IFERROR(__xludf.DUMMYFUNCTION("""COMPUTED_VALUE"""),"DevaraJevanaHalli")</f>
        <v>DevaraJevanaHalli</v>
      </c>
      <c r="I79" s="1"/>
      <c r="J79" s="1" t="str">
        <f ca="1">IFERROR(__xludf.DUMMYFUNCTION("""COMPUTED_VALUE"""),"0d 00h 00m")</f>
        <v>0d 00h 00m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>
      <c r="A80" s="1">
        <f ca="1">IFERROR(__xludf.DUMMYFUNCTION("""COMPUTED_VALUE"""),54)</f>
        <v>54</v>
      </c>
      <c r="B80" s="1" t="str">
        <f ca="1">IFERROR(__xludf.DUMMYFUNCTION("""COMPUTED_VALUE"""),"C2_KA02AC5950_JETTING")</f>
        <v>C2_KA02AC5950_JETTING</v>
      </c>
      <c r="C80" s="1" t="str">
        <f ca="1">IFERROR(__xludf.DUMMYFUNCTION("""COMPUTED_VALUE"""),"c2_ka02ac5950_jetting")</f>
        <v>c2_ka02ac5950_jetting</v>
      </c>
      <c r="D80" s="2">
        <f ca="1">IFERROR(__xludf.DUMMYFUNCTION("""COMPUTED_VALUE"""),41640)</f>
        <v>41640</v>
      </c>
      <c r="E80" s="3">
        <f ca="1">IFERROR(__xludf.DUMMYFUNCTION("""COMPUTED_VALUE"""),0.409999999999854)</f>
        <v>0.40999999999985398</v>
      </c>
      <c r="F80" s="1">
        <f ca="1">IFERROR(__xludf.DUMMYFUNCTION("""COMPUTED_VALUE"""),18767)</f>
        <v>18767</v>
      </c>
      <c r="G80" s="1"/>
      <c r="H80" s="1"/>
      <c r="I80" s="1"/>
      <c r="J80" s="1" t="str">
        <f ca="1">IFERROR(__xludf.DUMMYFUNCTION("""COMPUTED_VALUE"""),"0d 00h 00m")</f>
        <v>0d 00h 00m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>
      <c r="A81" s="1">
        <f ca="1">IFERROR(__xludf.DUMMYFUNCTION("""COMPUTED_VALUE"""),54)</f>
        <v>54</v>
      </c>
      <c r="B81" s="1" t="str">
        <f ca="1">IFERROR(__xludf.DUMMYFUNCTION("""COMPUTED_VALUE"""),"C2_KA02AC5950_JETTING")</f>
        <v>C2_KA02AC5950_JETTING</v>
      </c>
      <c r="C81" s="1" t="str">
        <f ca="1">IFERROR(__xludf.DUMMYFUNCTION("""COMPUTED_VALUE"""),"c2_ka02ac5950_jetting")</f>
        <v>c2_ka02ac5950_jetting</v>
      </c>
      <c r="D81" s="2">
        <f ca="1">IFERROR(__xludf.DUMMYFUNCTION("""COMPUTED_VALUE"""),41640)</f>
        <v>41640</v>
      </c>
      <c r="E81" s="3">
        <f ca="1">IFERROR(__xludf.DUMMYFUNCTION("""COMPUTED_VALUE"""),0.409999999999854)</f>
        <v>0.40999999999985398</v>
      </c>
      <c r="F81" s="1">
        <f ca="1">IFERROR(__xludf.DUMMYFUNCTION("""COMPUTED_VALUE"""),18767)</f>
        <v>18767</v>
      </c>
      <c r="G81" s="1"/>
      <c r="H81" s="1"/>
      <c r="I81" s="1"/>
      <c r="J81" s="1" t="str">
        <f ca="1">IFERROR(__xludf.DUMMYFUNCTION("""COMPUTED_VALUE"""),"0d 00h 00m")</f>
        <v>0d 00h 00m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>
      <c r="A82" s="1">
        <f ca="1">IFERROR(__xludf.DUMMYFUNCTION("""COMPUTED_VALUE"""),53)</f>
        <v>53</v>
      </c>
      <c r="B82" s="1" t="str">
        <f ca="1">IFERROR(__xludf.DUMMYFUNCTION("""COMPUTED_VALUE"""),"C2_KA02AC5950_JETTING")</f>
        <v>C2_KA02AC5950_JETTING</v>
      </c>
      <c r="C82" s="1" t="str">
        <f ca="1">IFERROR(__xludf.DUMMYFUNCTION("""COMPUTED_VALUE"""),"c2_ka02ac5950_jetting")</f>
        <v>c2_ka02ac5950_jetting</v>
      </c>
      <c r="D82" s="2">
        <f ca="1">IFERROR(__xludf.DUMMYFUNCTION("""COMPUTED_VALUE"""),41640)</f>
        <v>41640</v>
      </c>
      <c r="E82" s="3">
        <f ca="1">IFERROR(__xludf.DUMMYFUNCTION("""COMPUTED_VALUE"""),0.409999999999854)</f>
        <v>0.40999999999985398</v>
      </c>
      <c r="F82" s="1">
        <f ca="1">IFERROR(__xludf.DUMMYFUNCTION("""COMPUTED_VALUE"""),18767)</f>
        <v>18767</v>
      </c>
      <c r="G82" s="1"/>
      <c r="H82" s="1"/>
      <c r="I82" s="1"/>
      <c r="J82" s="1" t="str">
        <f ca="1">IFERROR(__xludf.DUMMYFUNCTION("""COMPUTED_VALUE"""),"0d 00h 00m")</f>
        <v>0d 00h 00m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>
      <c r="A83" s="1">
        <f ca="1">IFERROR(__xludf.DUMMYFUNCTION("""COMPUTED_VALUE"""),53)</f>
        <v>53</v>
      </c>
      <c r="B83" s="1" t="str">
        <f ca="1">IFERROR(__xludf.DUMMYFUNCTION("""COMPUTED_VALUE"""),"C2_KA02AC5950_JETTING")</f>
        <v>C2_KA02AC5950_JETTING</v>
      </c>
      <c r="C83" s="1" t="str">
        <f ca="1">IFERROR(__xludf.DUMMYFUNCTION("""COMPUTED_VALUE"""),"c2_ka02ac5950_jetting")</f>
        <v>c2_ka02ac5950_jetting</v>
      </c>
      <c r="D83" s="2">
        <f ca="1">IFERROR(__xludf.DUMMYFUNCTION("""COMPUTED_VALUE"""),41640)</f>
        <v>41640</v>
      </c>
      <c r="E83" s="3">
        <f ca="1">IFERROR(__xludf.DUMMYFUNCTION("""COMPUTED_VALUE"""),0.409999999999854)</f>
        <v>0.40999999999985398</v>
      </c>
      <c r="F83" s="1">
        <f ca="1">IFERROR(__xludf.DUMMYFUNCTION("""COMPUTED_VALUE"""),18767)</f>
        <v>18767</v>
      </c>
      <c r="G83" s="1"/>
      <c r="H83" s="1"/>
      <c r="I83" s="1"/>
      <c r="J83" s="1" t="str">
        <f ca="1">IFERROR(__xludf.DUMMYFUNCTION("""COMPUTED_VALUE"""),"0d 00h 00m")</f>
        <v>0d 00h 00m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>
      <c r="A84" s="1">
        <f ca="1">IFERROR(__xludf.DUMMYFUNCTION("""COMPUTED_VALUE"""),53)</f>
        <v>53</v>
      </c>
      <c r="B84" s="1" t="str">
        <f ca="1">IFERROR(__xludf.DUMMYFUNCTION("""COMPUTED_VALUE"""),"C2_KA02AC5950_JETTING")</f>
        <v>C2_KA02AC5950_JETTING</v>
      </c>
      <c r="C84" s="1" t="str">
        <f ca="1">IFERROR(__xludf.DUMMYFUNCTION("""COMPUTED_VALUE"""),"c2_ka02ac5950_jetting")</f>
        <v>c2_ka02ac5950_jetting</v>
      </c>
      <c r="D84" s="2">
        <f ca="1">IFERROR(__xludf.DUMMYFUNCTION("""COMPUTED_VALUE"""),41640)</f>
        <v>41640</v>
      </c>
      <c r="E84" s="3">
        <f ca="1">IFERROR(__xludf.DUMMYFUNCTION("""COMPUTED_VALUE"""),0.409999999999854)</f>
        <v>0.40999999999985398</v>
      </c>
      <c r="F84" s="1">
        <f ca="1">IFERROR(__xludf.DUMMYFUNCTION("""COMPUTED_VALUE"""),18767)</f>
        <v>18767</v>
      </c>
      <c r="G84" s="1"/>
      <c r="H84" s="1"/>
      <c r="I84" s="1"/>
      <c r="J84" s="1" t="str">
        <f ca="1">IFERROR(__xludf.DUMMYFUNCTION("""COMPUTED_VALUE"""),"0d 00h 00m")</f>
        <v>0d 00h 00m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>
      <c r="A85" s="1">
        <f ca="1">IFERROR(__xludf.DUMMYFUNCTION("""COMPUTED_VALUE"""),53)</f>
        <v>53</v>
      </c>
      <c r="B85" s="1" t="str">
        <f ca="1">IFERROR(__xludf.DUMMYFUNCTION("""COMPUTED_VALUE"""),"C2_KA02AC5950_JETTING")</f>
        <v>C2_KA02AC5950_JETTING</v>
      </c>
      <c r="C85" s="1" t="str">
        <f ca="1">IFERROR(__xludf.DUMMYFUNCTION("""COMPUTED_VALUE"""),"c2_ka02ac5950_jetting")</f>
        <v>c2_ka02ac5950_jetting</v>
      </c>
      <c r="D85" s="2">
        <f ca="1">IFERROR(__xludf.DUMMYFUNCTION("""COMPUTED_VALUE"""),41640)</f>
        <v>41640</v>
      </c>
      <c r="E85" s="3">
        <f ca="1">IFERROR(__xludf.DUMMYFUNCTION("""COMPUTED_VALUE"""),0.409999999999854)</f>
        <v>0.40999999999985398</v>
      </c>
      <c r="F85" s="1">
        <f ca="1">IFERROR(__xludf.DUMMYFUNCTION("""COMPUTED_VALUE"""),18767)</f>
        <v>18767</v>
      </c>
      <c r="G85" s="1"/>
      <c r="H85" s="1"/>
      <c r="I85" s="1"/>
      <c r="J85" s="1" t="str">
        <f ca="1">IFERROR(__xludf.DUMMYFUNCTION("""COMPUTED_VALUE"""),"0d 00h 00m")</f>
        <v>0d 00h 00m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>
      <c r="A86" s="1">
        <f ca="1">IFERROR(__xludf.DUMMYFUNCTION("""COMPUTED_VALUE"""),53)</f>
        <v>53</v>
      </c>
      <c r="B86" s="1" t="str">
        <f ca="1">IFERROR(__xludf.DUMMYFUNCTION("""COMPUTED_VALUE"""),"C2_KA02AC5950_JETTING")</f>
        <v>C2_KA02AC5950_JETTING</v>
      </c>
      <c r="C86" s="1" t="str">
        <f ca="1">IFERROR(__xludf.DUMMYFUNCTION("""COMPUTED_VALUE"""),"c2_ka02ac5950_jetting")</f>
        <v>c2_ka02ac5950_jetting</v>
      </c>
      <c r="D86" s="2">
        <f ca="1">IFERROR(__xludf.DUMMYFUNCTION("""COMPUTED_VALUE"""),41640)</f>
        <v>41640</v>
      </c>
      <c r="E86" s="3">
        <f ca="1">IFERROR(__xludf.DUMMYFUNCTION("""COMPUTED_VALUE"""),0.409999999999854)</f>
        <v>0.40999999999985398</v>
      </c>
      <c r="F86" s="1">
        <f ca="1">IFERROR(__xludf.DUMMYFUNCTION("""COMPUTED_VALUE"""),18767)</f>
        <v>18767</v>
      </c>
      <c r="G86" s="1"/>
      <c r="H86" s="1"/>
      <c r="I86" s="1"/>
      <c r="J86" s="1" t="str">
        <f ca="1">IFERROR(__xludf.DUMMYFUNCTION("""COMPUTED_VALUE"""),"0d 00h 00m")</f>
        <v>0d 00h 00m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>
      <c r="A87" s="1">
        <f ca="1">IFERROR(__xludf.DUMMYFUNCTION("""COMPUTED_VALUE"""),104)</f>
        <v>104</v>
      </c>
      <c r="B87" s="1" t="str">
        <f ca="1">IFERROR(__xludf.DUMMYFUNCTION("""COMPUTED_VALUE"""),"C2_KA03B965_JETTING")</f>
        <v>C2_KA03B965_JETTING</v>
      </c>
      <c r="C87" s="1" t="str">
        <f ca="1">IFERROR(__xludf.DUMMYFUNCTION("""COMPUTED_VALUE"""),"c2_ka03b965_jetting")</f>
        <v>c2_ka03b965_jetting</v>
      </c>
      <c r="D87" s="2">
        <f ca="1">IFERROR(__xludf.DUMMYFUNCTION("""COMPUTED_VALUE"""),43829)</f>
        <v>43829</v>
      </c>
      <c r="E87" s="3">
        <f ca="1">IFERROR(__xludf.DUMMYFUNCTION("""COMPUTED_VALUE"""),0.603657407405989)</f>
        <v>0.60365740740598905</v>
      </c>
      <c r="F87" s="1">
        <f ca="1">IFERROR(__xludf.DUMMYFUNCTION("""COMPUTED_VALUE"""),11427)</f>
        <v>11427</v>
      </c>
      <c r="G87" s="1" t="str">
        <f ca="1">IFERROR(__xludf.DUMMYFUNCTION("""COMPUTED_VALUE"""),"12.9953/77.6152")</f>
        <v>12.9953/77.6152</v>
      </c>
      <c r="H87" s="1" t="str">
        <f ca="1">IFERROR(__xludf.DUMMYFUNCTION("""COMPUTED_VALUE"""),"FrazerTown")</f>
        <v>FrazerTown</v>
      </c>
      <c r="I87" s="1"/>
      <c r="J87" s="1" t="str">
        <f ca="1">IFERROR(__xludf.DUMMYFUNCTION("""COMPUTED_VALUE"""),"1541d 20h 55m")</f>
        <v>1541d 20h 55m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>
      <c r="A88" s="1">
        <f ca="1">IFERROR(__xludf.DUMMYFUNCTION("""COMPUTED_VALUE"""),104)</f>
        <v>104</v>
      </c>
      <c r="B88" s="1" t="str">
        <f ca="1">IFERROR(__xludf.DUMMYFUNCTION("""COMPUTED_VALUE"""),"C2_KA03B965_JETTING")</f>
        <v>C2_KA03B965_JETTING</v>
      </c>
      <c r="C88" s="1" t="str">
        <f ca="1">IFERROR(__xludf.DUMMYFUNCTION("""COMPUTED_VALUE"""),"c2_ka03b965_jetting")</f>
        <v>c2_ka03b965_jetting</v>
      </c>
      <c r="D88" s="2">
        <f ca="1">IFERROR(__xludf.DUMMYFUNCTION("""COMPUTED_VALUE"""),43829)</f>
        <v>43829</v>
      </c>
      <c r="E88" s="3">
        <f ca="1">IFERROR(__xludf.DUMMYFUNCTION("""COMPUTED_VALUE"""),0.603657407405989)</f>
        <v>0.60365740740598905</v>
      </c>
      <c r="F88" s="1">
        <f ca="1">IFERROR(__xludf.DUMMYFUNCTION("""COMPUTED_VALUE"""),11427)</f>
        <v>11427</v>
      </c>
      <c r="G88" s="1" t="str">
        <f ca="1">IFERROR(__xludf.DUMMYFUNCTION("""COMPUTED_VALUE"""),"12.9953/77.6152")</f>
        <v>12.9953/77.6152</v>
      </c>
      <c r="H88" s="1" t="str">
        <f ca="1">IFERROR(__xludf.DUMMYFUNCTION("""COMPUTED_VALUE"""),"FrazerTown")</f>
        <v>FrazerTown</v>
      </c>
      <c r="I88" s="1"/>
      <c r="J88" s="1" t="str">
        <f ca="1">IFERROR(__xludf.DUMMYFUNCTION("""COMPUTED_VALUE"""),"1541d 20h 56m")</f>
        <v>1541d 20h 56m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>
      <c r="A89" s="1">
        <f ca="1">IFERROR(__xludf.DUMMYFUNCTION("""COMPUTED_VALUE"""),101)</f>
        <v>101</v>
      </c>
      <c r="B89" s="1" t="str">
        <f ca="1">IFERROR(__xludf.DUMMYFUNCTION("""COMPUTED_VALUE"""),"C2_KA03B965_JETTING")</f>
        <v>C2_KA03B965_JETTING</v>
      </c>
      <c r="C89" s="1" t="str">
        <f ca="1">IFERROR(__xludf.DUMMYFUNCTION("""COMPUTED_VALUE"""),"c2_ka03b965_jetting")</f>
        <v>c2_ka03b965_jetting</v>
      </c>
      <c r="D89" s="2">
        <f ca="1">IFERROR(__xludf.DUMMYFUNCTION("""COMPUTED_VALUE"""),43829)</f>
        <v>43829</v>
      </c>
      <c r="E89" s="3">
        <f ca="1">IFERROR(__xludf.DUMMYFUNCTION("""COMPUTED_VALUE"""),0.603657407405989)</f>
        <v>0.60365740740598905</v>
      </c>
      <c r="F89" s="1">
        <f ca="1">IFERROR(__xludf.DUMMYFUNCTION("""COMPUTED_VALUE"""),11427)</f>
        <v>11427</v>
      </c>
      <c r="G89" s="1" t="str">
        <f ca="1">IFERROR(__xludf.DUMMYFUNCTION("""COMPUTED_VALUE"""),"12.9953/77.6152")</f>
        <v>12.9953/77.6152</v>
      </c>
      <c r="H89" s="1" t="str">
        <f ca="1">IFERROR(__xludf.DUMMYFUNCTION("""COMPUTED_VALUE"""),"FrazerTown")</f>
        <v>FrazerTown</v>
      </c>
      <c r="I89" s="1"/>
      <c r="J89" s="1" t="str">
        <f ca="1">IFERROR(__xludf.DUMMYFUNCTION("""COMPUTED_VALUE"""),"1541d 20h 59m")</f>
        <v>1541d 20h 59m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>
      <c r="A90" s="1">
        <f ca="1">IFERROR(__xludf.DUMMYFUNCTION("""COMPUTED_VALUE"""),101)</f>
        <v>101</v>
      </c>
      <c r="B90" s="1" t="str">
        <f ca="1">IFERROR(__xludf.DUMMYFUNCTION("""COMPUTED_VALUE"""),"C2_KA03B965_JETTING")</f>
        <v>C2_KA03B965_JETTING</v>
      </c>
      <c r="C90" s="1" t="str">
        <f ca="1">IFERROR(__xludf.DUMMYFUNCTION("""COMPUTED_VALUE"""),"c2_ka03b965_jetting")</f>
        <v>c2_ka03b965_jetting</v>
      </c>
      <c r="D90" s="2">
        <f ca="1">IFERROR(__xludf.DUMMYFUNCTION("""COMPUTED_VALUE"""),43829)</f>
        <v>43829</v>
      </c>
      <c r="E90" s="3">
        <f ca="1">IFERROR(__xludf.DUMMYFUNCTION("""COMPUTED_VALUE"""),0.603657407405989)</f>
        <v>0.60365740740598905</v>
      </c>
      <c r="F90" s="1">
        <f ca="1">IFERROR(__xludf.DUMMYFUNCTION("""COMPUTED_VALUE"""),11427)</f>
        <v>11427</v>
      </c>
      <c r="G90" s="1" t="str">
        <f ca="1">IFERROR(__xludf.DUMMYFUNCTION("""COMPUTED_VALUE"""),"12.9953/77.6152")</f>
        <v>12.9953/77.6152</v>
      </c>
      <c r="H90" s="1" t="str">
        <f ca="1">IFERROR(__xludf.DUMMYFUNCTION("""COMPUTED_VALUE"""),"FrazerTown")</f>
        <v>FrazerTown</v>
      </c>
      <c r="I90" s="1"/>
      <c r="J90" s="1" t="str">
        <f ca="1">IFERROR(__xludf.DUMMYFUNCTION("""COMPUTED_VALUE"""),"1541d 21h 00m")</f>
        <v>1541d 21h 00m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>
      <c r="A91" s="1">
        <f ca="1">IFERROR(__xludf.DUMMYFUNCTION("""COMPUTED_VALUE"""),101)</f>
        <v>101</v>
      </c>
      <c r="B91" s="1" t="str">
        <f ca="1">IFERROR(__xludf.DUMMYFUNCTION("""COMPUTED_VALUE"""),"C2_KA03B965_JETTING")</f>
        <v>C2_KA03B965_JETTING</v>
      </c>
      <c r="C91" s="1" t="str">
        <f ca="1">IFERROR(__xludf.DUMMYFUNCTION("""COMPUTED_VALUE"""),"c2_ka03b965_jetting")</f>
        <v>c2_ka03b965_jetting</v>
      </c>
      <c r="D91" s="2">
        <f ca="1">IFERROR(__xludf.DUMMYFUNCTION("""COMPUTED_VALUE"""),43829)</f>
        <v>43829</v>
      </c>
      <c r="E91" s="3">
        <f ca="1">IFERROR(__xludf.DUMMYFUNCTION("""COMPUTED_VALUE"""),0.603657407405989)</f>
        <v>0.60365740740598905</v>
      </c>
      <c r="F91" s="1">
        <f ca="1">IFERROR(__xludf.DUMMYFUNCTION("""COMPUTED_VALUE"""),11427)</f>
        <v>11427</v>
      </c>
      <c r="G91" s="1" t="str">
        <f ca="1">IFERROR(__xludf.DUMMYFUNCTION("""COMPUTED_VALUE"""),"12.9953/77.6152")</f>
        <v>12.9953/77.6152</v>
      </c>
      <c r="H91" s="1" t="str">
        <f ca="1">IFERROR(__xludf.DUMMYFUNCTION("""COMPUTED_VALUE"""),"FrazerTown")</f>
        <v>FrazerTown</v>
      </c>
      <c r="I91" s="1"/>
      <c r="J91" s="1" t="str">
        <f ca="1">IFERROR(__xludf.DUMMYFUNCTION("""COMPUTED_VALUE"""),"1541d 21h 01m")</f>
        <v>1541d 21h 01m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>
      <c r="A92" s="1">
        <f ca="1">IFERROR(__xludf.DUMMYFUNCTION("""COMPUTED_VALUE"""),101)</f>
        <v>101</v>
      </c>
      <c r="B92" s="1" t="str">
        <f ca="1">IFERROR(__xludf.DUMMYFUNCTION("""COMPUTED_VALUE"""),"C2_KA03B965_JETTING")</f>
        <v>C2_KA03B965_JETTING</v>
      </c>
      <c r="C92" s="1" t="str">
        <f ca="1">IFERROR(__xludf.DUMMYFUNCTION("""COMPUTED_VALUE"""),"c2_ka03b965_jetting")</f>
        <v>c2_ka03b965_jetting</v>
      </c>
      <c r="D92" s="2">
        <f ca="1">IFERROR(__xludf.DUMMYFUNCTION("""COMPUTED_VALUE"""),43829)</f>
        <v>43829</v>
      </c>
      <c r="E92" s="3">
        <f ca="1">IFERROR(__xludf.DUMMYFUNCTION("""COMPUTED_VALUE"""),0.603657407405989)</f>
        <v>0.60365740740598905</v>
      </c>
      <c r="F92" s="1">
        <f ca="1">IFERROR(__xludf.DUMMYFUNCTION("""COMPUTED_VALUE"""),11427)</f>
        <v>11427</v>
      </c>
      <c r="G92" s="1" t="str">
        <f ca="1">IFERROR(__xludf.DUMMYFUNCTION("""COMPUTED_VALUE"""),"12.9953/77.6152")</f>
        <v>12.9953/77.6152</v>
      </c>
      <c r="H92" s="1" t="str">
        <f ca="1">IFERROR(__xludf.DUMMYFUNCTION("""COMPUTED_VALUE"""),"FrazerTown")</f>
        <v>FrazerTown</v>
      </c>
      <c r="I92" s="1"/>
      <c r="J92" s="1" t="str">
        <f ca="1">IFERROR(__xludf.DUMMYFUNCTION("""COMPUTED_VALUE"""),"1541d 21h 02m")</f>
        <v>1541d 21h 02m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>
      <c r="A93" s="1">
        <f ca="1">IFERROR(__xludf.DUMMYFUNCTION("""COMPUTED_VALUE"""),101)</f>
        <v>101</v>
      </c>
      <c r="B93" s="1" t="str">
        <f ca="1">IFERROR(__xludf.DUMMYFUNCTION("""COMPUTED_VALUE"""),"C2_KA03B965_JETTING")</f>
        <v>C2_KA03B965_JETTING</v>
      </c>
      <c r="C93" s="1" t="str">
        <f ca="1">IFERROR(__xludf.DUMMYFUNCTION("""COMPUTED_VALUE"""),"c2_ka03b965_jetting")</f>
        <v>c2_ka03b965_jetting</v>
      </c>
      <c r="D93" s="2">
        <f ca="1">IFERROR(__xludf.DUMMYFUNCTION("""COMPUTED_VALUE"""),43829)</f>
        <v>43829</v>
      </c>
      <c r="E93" s="3">
        <f ca="1">IFERROR(__xludf.DUMMYFUNCTION("""COMPUTED_VALUE"""),0.603657407405989)</f>
        <v>0.60365740740598905</v>
      </c>
      <c r="F93" s="1">
        <f ca="1">IFERROR(__xludf.DUMMYFUNCTION("""COMPUTED_VALUE"""),11427)</f>
        <v>11427</v>
      </c>
      <c r="G93" s="1" t="str">
        <f ca="1">IFERROR(__xludf.DUMMYFUNCTION("""COMPUTED_VALUE"""),"12.9953/77.6152")</f>
        <v>12.9953/77.6152</v>
      </c>
      <c r="H93" s="1" t="str">
        <f ca="1">IFERROR(__xludf.DUMMYFUNCTION("""COMPUTED_VALUE"""),"FrazerTown")</f>
        <v>FrazerTown</v>
      </c>
      <c r="I93" s="1"/>
      <c r="J93" s="1" t="str">
        <f ca="1">IFERROR(__xludf.DUMMYFUNCTION("""COMPUTED_VALUE"""),"1541d 21h 03m")</f>
        <v>1541d 21h 03m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>
      <c r="A94" s="1">
        <f ca="1">IFERROR(__xludf.DUMMYFUNCTION("""COMPUTED_VALUE"""),48)</f>
        <v>48</v>
      </c>
      <c r="B94" s="1" t="str">
        <f ca="1">IFERROR(__xludf.DUMMYFUNCTION("""COMPUTED_VALUE"""),"C2_KA03C5048_TANKER")</f>
        <v>C2_KA03C5048_TANKER</v>
      </c>
      <c r="C94" s="1" t="str">
        <f ca="1">IFERROR(__xludf.DUMMYFUNCTION("""COMPUTED_VALUE"""),"c2_ka03c5048_tanker")</f>
        <v>c2_ka03c5048_tanker</v>
      </c>
      <c r="D94" s="2">
        <f ca="1">IFERROR(__xludf.DUMMYFUNCTION("""COMPUTED_VALUE"""),41640)</f>
        <v>41640</v>
      </c>
      <c r="E94" s="3">
        <f ca="1">IFERROR(__xludf.DUMMYFUNCTION("""COMPUTED_VALUE"""),0.312476851850078)</f>
        <v>0.31247685185007801</v>
      </c>
      <c r="F94" s="1">
        <f ca="1">IFERROR(__xludf.DUMMYFUNCTION("""COMPUTED_VALUE"""),14071)</f>
        <v>14071</v>
      </c>
      <c r="G94" s="1"/>
      <c r="H94" s="1"/>
      <c r="I94" s="1"/>
      <c r="J94" s="1" t="str">
        <f ca="1">IFERROR(__xludf.DUMMYFUNCTION("""COMPUTED_VALUE"""),"0d 00h 00m")</f>
        <v>0d 00h 00m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>
      <c r="A95" s="1">
        <f ca="1">IFERROR(__xludf.DUMMYFUNCTION("""COMPUTED_VALUE"""),48)</f>
        <v>48</v>
      </c>
      <c r="B95" s="1" t="str">
        <f ca="1">IFERROR(__xludf.DUMMYFUNCTION("""COMPUTED_VALUE"""),"C2_KA03C5048_TANKER")</f>
        <v>C2_KA03C5048_TANKER</v>
      </c>
      <c r="C95" s="1" t="str">
        <f ca="1">IFERROR(__xludf.DUMMYFUNCTION("""COMPUTED_VALUE"""),"c2_ka03c5048_tanker")</f>
        <v>c2_ka03c5048_tanker</v>
      </c>
      <c r="D95" s="2">
        <f ca="1">IFERROR(__xludf.DUMMYFUNCTION("""COMPUTED_VALUE"""),41640)</f>
        <v>41640</v>
      </c>
      <c r="E95" s="3">
        <f ca="1">IFERROR(__xludf.DUMMYFUNCTION("""COMPUTED_VALUE"""),0.312476851850078)</f>
        <v>0.31247685185007801</v>
      </c>
      <c r="F95" s="1">
        <f ca="1">IFERROR(__xludf.DUMMYFUNCTION("""COMPUTED_VALUE"""),14071)</f>
        <v>14071</v>
      </c>
      <c r="G95" s="1"/>
      <c r="H95" s="1"/>
      <c r="I95" s="1"/>
      <c r="J95" s="1" t="str">
        <f ca="1">IFERROR(__xludf.DUMMYFUNCTION("""COMPUTED_VALUE"""),"0d 00h 00m")</f>
        <v>0d 00h 00m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>
      <c r="A96" s="1">
        <f ca="1">IFERROR(__xludf.DUMMYFUNCTION("""COMPUTED_VALUE"""),48)</f>
        <v>48</v>
      </c>
      <c r="B96" s="1" t="str">
        <f ca="1">IFERROR(__xludf.DUMMYFUNCTION("""COMPUTED_VALUE"""),"C2_KA03C5048_TANKER")</f>
        <v>C2_KA03C5048_TANKER</v>
      </c>
      <c r="C96" s="1" t="str">
        <f ca="1">IFERROR(__xludf.DUMMYFUNCTION("""COMPUTED_VALUE"""),"c2_ka03c5048_tanker")</f>
        <v>c2_ka03c5048_tanker</v>
      </c>
      <c r="D96" s="2">
        <f ca="1">IFERROR(__xludf.DUMMYFUNCTION("""COMPUTED_VALUE"""),41640)</f>
        <v>41640</v>
      </c>
      <c r="E96" s="3">
        <f ca="1">IFERROR(__xludf.DUMMYFUNCTION("""COMPUTED_VALUE"""),0.312476851850078)</f>
        <v>0.31247685185007801</v>
      </c>
      <c r="F96" s="1">
        <f ca="1">IFERROR(__xludf.DUMMYFUNCTION("""COMPUTED_VALUE"""),14071)</f>
        <v>14071</v>
      </c>
      <c r="G96" s="1"/>
      <c r="H96" s="1"/>
      <c r="I96" s="1"/>
      <c r="J96" s="1" t="str">
        <f ca="1">IFERROR(__xludf.DUMMYFUNCTION("""COMPUTED_VALUE"""),"0d 00h 00m")</f>
        <v>0d 00h 00m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>
      <c r="A97" s="1">
        <f ca="1">IFERROR(__xludf.DUMMYFUNCTION("""COMPUTED_VALUE"""),48)</f>
        <v>48</v>
      </c>
      <c r="B97" s="1" t="str">
        <f ca="1">IFERROR(__xludf.DUMMYFUNCTION("""COMPUTED_VALUE"""),"C2_KA03C5048_TANKER")</f>
        <v>C2_KA03C5048_TANKER</v>
      </c>
      <c r="C97" s="1" t="str">
        <f ca="1">IFERROR(__xludf.DUMMYFUNCTION("""COMPUTED_VALUE"""),"c2_ka03c5048_tanker")</f>
        <v>c2_ka03c5048_tanker</v>
      </c>
      <c r="D97" s="2">
        <f ca="1">IFERROR(__xludf.DUMMYFUNCTION("""COMPUTED_VALUE"""),41640)</f>
        <v>41640</v>
      </c>
      <c r="E97" s="3">
        <f ca="1">IFERROR(__xludf.DUMMYFUNCTION("""COMPUTED_VALUE"""),0.312476851850078)</f>
        <v>0.31247685185007801</v>
      </c>
      <c r="F97" s="1">
        <f ca="1">IFERROR(__xludf.DUMMYFUNCTION("""COMPUTED_VALUE"""),14071)</f>
        <v>14071</v>
      </c>
      <c r="G97" s="1"/>
      <c r="H97" s="1"/>
      <c r="I97" s="1"/>
      <c r="J97" s="1" t="str">
        <f ca="1">IFERROR(__xludf.DUMMYFUNCTION("""COMPUTED_VALUE"""),"0d 00h 00m")</f>
        <v>0d 00h 00m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>
      <c r="A98" s="1">
        <f ca="1">IFERROR(__xludf.DUMMYFUNCTION("""COMPUTED_VALUE"""),48)</f>
        <v>48</v>
      </c>
      <c r="B98" s="1" t="str">
        <f ca="1">IFERROR(__xludf.DUMMYFUNCTION("""COMPUTED_VALUE"""),"C2_KA03C5048_TANKER")</f>
        <v>C2_KA03C5048_TANKER</v>
      </c>
      <c r="C98" s="1" t="str">
        <f ca="1">IFERROR(__xludf.DUMMYFUNCTION("""COMPUTED_VALUE"""),"c2_ka03c5048_tanker")</f>
        <v>c2_ka03c5048_tanker</v>
      </c>
      <c r="D98" s="2">
        <f ca="1">IFERROR(__xludf.DUMMYFUNCTION("""COMPUTED_VALUE"""),41640)</f>
        <v>41640</v>
      </c>
      <c r="E98" s="3">
        <f ca="1">IFERROR(__xludf.DUMMYFUNCTION("""COMPUTED_VALUE"""),0.312476851850078)</f>
        <v>0.31247685185007801</v>
      </c>
      <c r="F98" s="1">
        <f ca="1">IFERROR(__xludf.DUMMYFUNCTION("""COMPUTED_VALUE"""),14071)</f>
        <v>14071</v>
      </c>
      <c r="G98" s="1"/>
      <c r="H98" s="1"/>
      <c r="I98" s="1"/>
      <c r="J98" s="1" t="str">
        <f ca="1">IFERROR(__xludf.DUMMYFUNCTION("""COMPUTED_VALUE"""),"0d 00h 00m")</f>
        <v>0d 00h 00m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>
      <c r="A99" s="1">
        <f ca="1">IFERROR(__xludf.DUMMYFUNCTION("""COMPUTED_VALUE"""),48)</f>
        <v>48</v>
      </c>
      <c r="B99" s="1" t="str">
        <f ca="1">IFERROR(__xludf.DUMMYFUNCTION("""COMPUTED_VALUE"""),"C2_KA03C5048_TANKER")</f>
        <v>C2_KA03C5048_TANKER</v>
      </c>
      <c r="C99" s="1" t="str">
        <f ca="1">IFERROR(__xludf.DUMMYFUNCTION("""COMPUTED_VALUE"""),"c2_ka03c5048_tanker")</f>
        <v>c2_ka03c5048_tanker</v>
      </c>
      <c r="D99" s="2">
        <f ca="1">IFERROR(__xludf.DUMMYFUNCTION("""COMPUTED_VALUE"""),41640)</f>
        <v>41640</v>
      </c>
      <c r="E99" s="3">
        <f ca="1">IFERROR(__xludf.DUMMYFUNCTION("""COMPUTED_VALUE"""),0.312476851850078)</f>
        <v>0.31247685185007801</v>
      </c>
      <c r="F99" s="1">
        <f ca="1">IFERROR(__xludf.DUMMYFUNCTION("""COMPUTED_VALUE"""),14071)</f>
        <v>14071</v>
      </c>
      <c r="G99" s="1"/>
      <c r="H99" s="1"/>
      <c r="I99" s="1"/>
      <c r="J99" s="1" t="str">
        <f ca="1">IFERROR(__xludf.DUMMYFUNCTION("""COMPUTED_VALUE"""),"0d 00h 00m")</f>
        <v>0d 00h 00m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>
      <c r="A100" s="1">
        <f ca="1">IFERROR(__xludf.DUMMYFUNCTION("""COMPUTED_VALUE"""),48)</f>
        <v>48</v>
      </c>
      <c r="B100" s="1" t="str">
        <f ca="1">IFERROR(__xludf.DUMMYFUNCTION("""COMPUTED_VALUE"""),"C2_KA03C5048_TANKER")</f>
        <v>C2_KA03C5048_TANKER</v>
      </c>
      <c r="C100" s="1" t="str">
        <f ca="1">IFERROR(__xludf.DUMMYFUNCTION("""COMPUTED_VALUE"""),"c2_ka03c5048_tanker")</f>
        <v>c2_ka03c5048_tanker</v>
      </c>
      <c r="D100" s="2">
        <f ca="1">IFERROR(__xludf.DUMMYFUNCTION("""COMPUTED_VALUE"""),41640)</f>
        <v>41640</v>
      </c>
      <c r="E100" s="3">
        <f ca="1">IFERROR(__xludf.DUMMYFUNCTION("""COMPUTED_VALUE"""),0.312476851850078)</f>
        <v>0.31247685185007801</v>
      </c>
      <c r="F100" s="1">
        <f ca="1">IFERROR(__xludf.DUMMYFUNCTION("""COMPUTED_VALUE"""),14071)</f>
        <v>14071</v>
      </c>
      <c r="G100" s="1"/>
      <c r="H100" s="1"/>
      <c r="I100" s="1"/>
      <c r="J100" s="1" t="str">
        <f ca="1">IFERROR(__xludf.DUMMYFUNCTION("""COMPUTED_VALUE"""),"0d 00h 00m")</f>
        <v>0d 00h 00m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>
      <c r="A101" s="1">
        <f ca="1">IFERROR(__xludf.DUMMYFUNCTION("""COMPUTED_VALUE"""),93)</f>
        <v>93</v>
      </c>
      <c r="B101" s="1" t="str">
        <f ca="1">IFERROR(__xludf.DUMMYFUNCTION("""COMPUTED_VALUE"""),"C2_KA03C5064_TANKER")</f>
        <v>C2_KA03C5064_TANKER</v>
      </c>
      <c r="C101" s="1" t="str">
        <f ca="1">IFERROR(__xludf.DUMMYFUNCTION("""COMPUTED_VALUE"""),"c2_ka03c5064_tanker")</f>
        <v>c2_ka03c5064_tanker</v>
      </c>
      <c r="D101" s="2">
        <f ca="1">IFERROR(__xludf.DUMMYFUNCTION("""COMPUTED_VALUE"""),41640)</f>
        <v>41640</v>
      </c>
      <c r="E101" s="3">
        <f ca="1">IFERROR(__xludf.DUMMYFUNCTION("""COMPUTED_VALUE"""),0.71072916666526)</f>
        <v>0.71072916666525998</v>
      </c>
      <c r="F101" s="1">
        <f ca="1">IFERROR(__xludf.DUMMYFUNCTION("""COMPUTED_VALUE"""),47770)</f>
        <v>47770</v>
      </c>
      <c r="G101" s="1" t="str">
        <f ca="1">IFERROR(__xludf.DUMMYFUNCTION("""COMPUTED_VALUE"""),"13.0158/77.6160")</f>
        <v>13.0158/77.6160</v>
      </c>
      <c r="H101" s="1" t="str">
        <f ca="1">IFERROR(__xludf.DUMMYFUNCTION("""COMPUTED_VALUE"""),"Jivanhalli")</f>
        <v>Jivanhalli</v>
      </c>
      <c r="I101" s="1"/>
      <c r="J101" s="1" t="str">
        <f ca="1">IFERROR(__xludf.DUMMYFUNCTION("""COMPUTED_VALUE"""),"0d 00h 00m")</f>
        <v>0d 00h 00m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>
      <c r="A102" s="1">
        <f ca="1">IFERROR(__xludf.DUMMYFUNCTION("""COMPUTED_VALUE"""),93)</f>
        <v>93</v>
      </c>
      <c r="B102" s="1" t="str">
        <f ca="1">IFERROR(__xludf.DUMMYFUNCTION("""COMPUTED_VALUE"""),"C2_KA03C5064_TANKER")</f>
        <v>C2_KA03C5064_TANKER</v>
      </c>
      <c r="C102" s="1" t="str">
        <f ca="1">IFERROR(__xludf.DUMMYFUNCTION("""COMPUTED_VALUE"""),"c2_ka03c5064_tanker")</f>
        <v>c2_ka03c5064_tanker</v>
      </c>
      <c r="D102" s="2">
        <f ca="1">IFERROR(__xludf.DUMMYFUNCTION("""COMPUTED_VALUE"""),41640)</f>
        <v>41640</v>
      </c>
      <c r="E102" s="3">
        <f ca="1">IFERROR(__xludf.DUMMYFUNCTION("""COMPUTED_VALUE"""),0.71072916666526)</f>
        <v>0.71072916666525998</v>
      </c>
      <c r="F102" s="1">
        <f ca="1">IFERROR(__xludf.DUMMYFUNCTION("""COMPUTED_VALUE"""),47770)</f>
        <v>47770</v>
      </c>
      <c r="G102" s="1" t="str">
        <f ca="1">IFERROR(__xludf.DUMMYFUNCTION("""COMPUTED_VALUE"""),"13.0158/77.6160")</f>
        <v>13.0158/77.6160</v>
      </c>
      <c r="H102" s="1" t="str">
        <f ca="1">IFERROR(__xludf.DUMMYFUNCTION("""COMPUTED_VALUE"""),"Jivanhalli")</f>
        <v>Jivanhalli</v>
      </c>
      <c r="I102" s="1"/>
      <c r="J102" s="1" t="str">
        <f ca="1">IFERROR(__xludf.DUMMYFUNCTION("""COMPUTED_VALUE"""),"0d 00h 00m")</f>
        <v>0d 00h 00m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>
      <c r="A103" s="1">
        <f ca="1">IFERROR(__xludf.DUMMYFUNCTION("""COMPUTED_VALUE"""),90)</f>
        <v>90</v>
      </c>
      <c r="B103" s="1" t="str">
        <f ca="1">IFERROR(__xludf.DUMMYFUNCTION("""COMPUTED_VALUE"""),"C2_KA03C5064_TANKER")</f>
        <v>C2_KA03C5064_TANKER</v>
      </c>
      <c r="C103" s="1" t="str">
        <f ca="1">IFERROR(__xludf.DUMMYFUNCTION("""COMPUTED_VALUE"""),"c2_ka03c5064_tanker")</f>
        <v>c2_ka03c5064_tanker</v>
      </c>
      <c r="D103" s="2">
        <f ca="1">IFERROR(__xludf.DUMMYFUNCTION("""COMPUTED_VALUE"""),41640)</f>
        <v>41640</v>
      </c>
      <c r="E103" s="3">
        <f ca="1">IFERROR(__xludf.DUMMYFUNCTION("""COMPUTED_VALUE"""),0.71072916666526)</f>
        <v>0.71072916666525998</v>
      </c>
      <c r="F103" s="1">
        <f ca="1">IFERROR(__xludf.DUMMYFUNCTION("""COMPUTED_VALUE"""),47770)</f>
        <v>47770</v>
      </c>
      <c r="G103" s="1" t="str">
        <f ca="1">IFERROR(__xludf.DUMMYFUNCTION("""COMPUTED_VALUE"""),"13.0158/77.6160")</f>
        <v>13.0158/77.6160</v>
      </c>
      <c r="H103" s="1" t="str">
        <f ca="1">IFERROR(__xludf.DUMMYFUNCTION("""COMPUTED_VALUE"""),"Jivanhalli")</f>
        <v>Jivanhalli</v>
      </c>
      <c r="I103" s="1"/>
      <c r="J103" s="1" t="str">
        <f ca="1">IFERROR(__xludf.DUMMYFUNCTION("""COMPUTED_VALUE"""),"0d 00h 00m")</f>
        <v>0d 00h 00m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>
      <c r="A104" s="1">
        <f ca="1">IFERROR(__xludf.DUMMYFUNCTION("""COMPUTED_VALUE"""),90)</f>
        <v>90</v>
      </c>
      <c r="B104" s="1" t="str">
        <f ca="1">IFERROR(__xludf.DUMMYFUNCTION("""COMPUTED_VALUE"""),"C2_KA03C5064_TANKER")</f>
        <v>C2_KA03C5064_TANKER</v>
      </c>
      <c r="C104" s="1" t="str">
        <f ca="1">IFERROR(__xludf.DUMMYFUNCTION("""COMPUTED_VALUE"""),"c2_ka03c5064_tanker")</f>
        <v>c2_ka03c5064_tanker</v>
      </c>
      <c r="D104" s="2">
        <f ca="1">IFERROR(__xludf.DUMMYFUNCTION("""COMPUTED_VALUE"""),41640)</f>
        <v>41640</v>
      </c>
      <c r="E104" s="3">
        <f ca="1">IFERROR(__xludf.DUMMYFUNCTION("""COMPUTED_VALUE"""),0.71072916666526)</f>
        <v>0.71072916666525998</v>
      </c>
      <c r="F104" s="1">
        <f ca="1">IFERROR(__xludf.DUMMYFUNCTION("""COMPUTED_VALUE"""),47770)</f>
        <v>47770</v>
      </c>
      <c r="G104" s="1" t="str">
        <f ca="1">IFERROR(__xludf.DUMMYFUNCTION("""COMPUTED_VALUE"""),"13.0158/77.6160")</f>
        <v>13.0158/77.6160</v>
      </c>
      <c r="H104" s="1" t="str">
        <f ca="1">IFERROR(__xludf.DUMMYFUNCTION("""COMPUTED_VALUE"""),"Jivanhalli")</f>
        <v>Jivanhalli</v>
      </c>
      <c r="I104" s="1"/>
      <c r="J104" s="1" t="str">
        <f ca="1">IFERROR(__xludf.DUMMYFUNCTION("""COMPUTED_VALUE"""),"0d 00h 00m")</f>
        <v>0d 00h 00m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>
      <c r="A105" s="1">
        <f ca="1">IFERROR(__xludf.DUMMYFUNCTION("""COMPUTED_VALUE"""),90)</f>
        <v>90</v>
      </c>
      <c r="B105" s="1" t="str">
        <f ca="1">IFERROR(__xludf.DUMMYFUNCTION("""COMPUTED_VALUE"""),"C2_KA03C5064_TANKER")</f>
        <v>C2_KA03C5064_TANKER</v>
      </c>
      <c r="C105" s="1" t="str">
        <f ca="1">IFERROR(__xludf.DUMMYFUNCTION("""COMPUTED_VALUE"""),"c2_ka03c5064_tanker")</f>
        <v>c2_ka03c5064_tanker</v>
      </c>
      <c r="D105" s="2">
        <f ca="1">IFERROR(__xludf.DUMMYFUNCTION("""COMPUTED_VALUE"""),41640)</f>
        <v>41640</v>
      </c>
      <c r="E105" s="3">
        <f ca="1">IFERROR(__xludf.DUMMYFUNCTION("""COMPUTED_VALUE"""),0.71072916666526)</f>
        <v>0.71072916666525998</v>
      </c>
      <c r="F105" s="1">
        <f ca="1">IFERROR(__xludf.DUMMYFUNCTION("""COMPUTED_VALUE"""),47770)</f>
        <v>47770</v>
      </c>
      <c r="G105" s="1" t="str">
        <f ca="1">IFERROR(__xludf.DUMMYFUNCTION("""COMPUTED_VALUE"""),"13.0158/77.6160")</f>
        <v>13.0158/77.6160</v>
      </c>
      <c r="H105" s="1" t="str">
        <f ca="1">IFERROR(__xludf.DUMMYFUNCTION("""COMPUTED_VALUE"""),"Jivanhalli")</f>
        <v>Jivanhalli</v>
      </c>
      <c r="I105" s="1"/>
      <c r="J105" s="1" t="str">
        <f ca="1">IFERROR(__xludf.DUMMYFUNCTION("""COMPUTED_VALUE"""),"0d 00h 00m")</f>
        <v>0d 00h 00m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>
      <c r="A106" s="1">
        <f ca="1">IFERROR(__xludf.DUMMYFUNCTION("""COMPUTED_VALUE"""),90)</f>
        <v>90</v>
      </c>
      <c r="B106" s="1" t="str">
        <f ca="1">IFERROR(__xludf.DUMMYFUNCTION("""COMPUTED_VALUE"""),"C2_KA03C5064_TANKER")</f>
        <v>C2_KA03C5064_TANKER</v>
      </c>
      <c r="C106" s="1" t="str">
        <f ca="1">IFERROR(__xludf.DUMMYFUNCTION("""COMPUTED_VALUE"""),"c2_ka03c5064_tanker")</f>
        <v>c2_ka03c5064_tanker</v>
      </c>
      <c r="D106" s="2">
        <f ca="1">IFERROR(__xludf.DUMMYFUNCTION("""COMPUTED_VALUE"""),41640)</f>
        <v>41640</v>
      </c>
      <c r="E106" s="3">
        <f ca="1">IFERROR(__xludf.DUMMYFUNCTION("""COMPUTED_VALUE"""),0.71072916666526)</f>
        <v>0.71072916666525998</v>
      </c>
      <c r="F106" s="1">
        <f ca="1">IFERROR(__xludf.DUMMYFUNCTION("""COMPUTED_VALUE"""),47770)</f>
        <v>47770</v>
      </c>
      <c r="G106" s="1" t="str">
        <f ca="1">IFERROR(__xludf.DUMMYFUNCTION("""COMPUTED_VALUE"""),"13.0158/77.6160")</f>
        <v>13.0158/77.6160</v>
      </c>
      <c r="H106" s="1" t="str">
        <f ca="1">IFERROR(__xludf.DUMMYFUNCTION("""COMPUTED_VALUE"""),"Jivanhalli")</f>
        <v>Jivanhalli</v>
      </c>
      <c r="I106" s="1"/>
      <c r="J106" s="1" t="str">
        <f ca="1">IFERROR(__xludf.DUMMYFUNCTION("""COMPUTED_VALUE"""),"0d 00h 00m")</f>
        <v>0d 00h 00m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>
      <c r="A107" s="1">
        <f ca="1">IFERROR(__xludf.DUMMYFUNCTION("""COMPUTED_VALUE"""),90)</f>
        <v>90</v>
      </c>
      <c r="B107" s="1" t="str">
        <f ca="1">IFERROR(__xludf.DUMMYFUNCTION("""COMPUTED_VALUE"""),"C2_KA03C5064_TANKER")</f>
        <v>C2_KA03C5064_TANKER</v>
      </c>
      <c r="C107" s="1" t="str">
        <f ca="1">IFERROR(__xludf.DUMMYFUNCTION("""COMPUTED_VALUE"""),"c2_ka03c5064_tanker")</f>
        <v>c2_ka03c5064_tanker</v>
      </c>
      <c r="D107" s="2">
        <f ca="1">IFERROR(__xludf.DUMMYFUNCTION("""COMPUTED_VALUE"""),41640)</f>
        <v>41640</v>
      </c>
      <c r="E107" s="3">
        <f ca="1">IFERROR(__xludf.DUMMYFUNCTION("""COMPUTED_VALUE"""),0.71072916666526)</f>
        <v>0.71072916666525998</v>
      </c>
      <c r="F107" s="1">
        <f ca="1">IFERROR(__xludf.DUMMYFUNCTION("""COMPUTED_VALUE"""),47770)</f>
        <v>47770</v>
      </c>
      <c r="G107" s="1" t="str">
        <f ca="1">IFERROR(__xludf.DUMMYFUNCTION("""COMPUTED_VALUE"""),"13.0158/77.6160")</f>
        <v>13.0158/77.6160</v>
      </c>
      <c r="H107" s="1" t="str">
        <f ca="1">IFERROR(__xludf.DUMMYFUNCTION("""COMPUTED_VALUE"""),"JÄ«vanhalli")</f>
        <v>JÄ«vanhalli</v>
      </c>
      <c r="I107" s="1"/>
      <c r="J107" s="1" t="str">
        <f ca="1">IFERROR(__xludf.DUMMYFUNCTION("""COMPUTED_VALUE"""),"0d 00h 00m")</f>
        <v>0d 00h 00m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>
      <c r="A108" s="1">
        <f ca="1">IFERROR(__xludf.DUMMYFUNCTION("""COMPUTED_VALUE"""),149)</f>
        <v>149</v>
      </c>
      <c r="B108" s="1" t="str">
        <f ca="1">IFERROR(__xludf.DUMMYFUNCTION("""COMPUTED_VALUE"""),"C2_KA04AA7688_DESILTING")</f>
        <v>C2_KA04AA7688_DESILTING</v>
      </c>
      <c r="C108" s="1" t="str">
        <f ca="1">IFERROR(__xludf.DUMMYFUNCTION("""COMPUTED_VALUE"""),"c2_ka04aa7688_desilting")</f>
        <v>c2_ka04aa7688_desilting</v>
      </c>
      <c r="D108" s="2">
        <f ca="1">IFERROR(__xludf.DUMMYFUNCTION("""COMPUTED_VALUE"""),45289)</f>
        <v>45289</v>
      </c>
      <c r="E108" s="3">
        <f ca="1">IFERROR(__xludf.DUMMYFUNCTION("""COMPUTED_VALUE"""),0.377372685186855)</f>
        <v>0.37737268518685502</v>
      </c>
      <c r="F108" s="1">
        <f ca="1">IFERROR(__xludf.DUMMYFUNCTION("""COMPUTED_VALUE"""),5652)</f>
        <v>5652</v>
      </c>
      <c r="G108" s="1" t="str">
        <f ca="1">IFERROR(__xludf.DUMMYFUNCTION("""COMPUTED_VALUE"""),"13.0013/77.6277")</f>
        <v>13.0013/77.6277</v>
      </c>
      <c r="H108" s="1" t="str">
        <f ca="1">IFERROR(__xludf.DUMMYFUNCTION("""COMPUTED_VALUE"""),"Seva Nagar")</f>
        <v>Seva Nagar</v>
      </c>
      <c r="I108" s="1"/>
      <c r="J108" s="1" t="str">
        <f ca="1">IFERROR(__xludf.DUMMYFUNCTION("""COMPUTED_VALUE"""),"92d 00h 03m")</f>
        <v>92d 00h 03m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>
      <c r="A109" s="1">
        <f ca="1">IFERROR(__xludf.DUMMYFUNCTION("""COMPUTED_VALUE"""),103)</f>
        <v>103</v>
      </c>
      <c r="B109" s="1" t="str">
        <f ca="1">IFERROR(__xludf.DUMMYFUNCTION("""COMPUTED_VALUE"""),"C2_KA04AA9028_DESILTING")</f>
        <v>C2_KA04AA9028_DESILTING</v>
      </c>
      <c r="C109" s="1" t="str">
        <f ca="1">IFERROR(__xludf.DUMMYFUNCTION("""COMPUTED_VALUE"""),"c2_ka04aa9028_desilting")</f>
        <v>c2_ka04aa9028_desilting</v>
      </c>
      <c r="D109" s="2">
        <f ca="1">IFERROR(__xludf.DUMMYFUNCTION("""COMPUTED_VALUE"""),43787)</f>
        <v>43787</v>
      </c>
      <c r="E109" s="3">
        <f ca="1">IFERROR(__xludf.DUMMYFUNCTION("""COMPUTED_VALUE"""),0.707372685184964)</f>
        <v>0.70737268518496399</v>
      </c>
      <c r="F109" s="1">
        <f ca="1">IFERROR(__xludf.DUMMYFUNCTION("""COMPUTED_VALUE"""),28)</f>
        <v>28</v>
      </c>
      <c r="G109" s="1" t="str">
        <f ca="1">IFERROR(__xludf.DUMMYFUNCTION("""COMPUTED_VALUE"""),"13.0016/77.6279")</f>
        <v>13.0016/77.6279</v>
      </c>
      <c r="H109" s="1" t="str">
        <f ca="1">IFERROR(__xludf.DUMMYFUNCTION("""COMPUTED_VALUE"""),"Seva Nagar")</f>
        <v>Seva Nagar</v>
      </c>
      <c r="I109" s="1"/>
      <c r="J109" s="1" t="str">
        <f ca="1">IFERROR(__xludf.DUMMYFUNCTION("""COMPUTED_VALUE"""),"1582d 12h 22m")</f>
        <v>1582d 12h 22m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>
      <c r="A110" s="1">
        <f ca="1">IFERROR(__xludf.DUMMYFUNCTION("""COMPUTED_VALUE"""),103)</f>
        <v>103</v>
      </c>
      <c r="B110" s="1" t="str">
        <f ca="1">IFERROR(__xludf.DUMMYFUNCTION("""COMPUTED_VALUE"""),"C2_KA04AA9028_DESILTING")</f>
        <v>C2_KA04AA9028_DESILTING</v>
      </c>
      <c r="C110" s="1" t="str">
        <f ca="1">IFERROR(__xludf.DUMMYFUNCTION("""COMPUTED_VALUE"""),"c2_ka04aa9028_desilting")</f>
        <v>c2_ka04aa9028_desilting</v>
      </c>
      <c r="D110" s="2">
        <f ca="1">IFERROR(__xludf.DUMMYFUNCTION("""COMPUTED_VALUE"""),43787)</f>
        <v>43787</v>
      </c>
      <c r="E110" s="3">
        <f ca="1">IFERROR(__xludf.DUMMYFUNCTION("""COMPUTED_VALUE"""),0.707372685184964)</f>
        <v>0.70737268518496399</v>
      </c>
      <c r="F110" s="1">
        <f ca="1">IFERROR(__xludf.DUMMYFUNCTION("""COMPUTED_VALUE"""),28)</f>
        <v>28</v>
      </c>
      <c r="G110" s="1" t="str">
        <f ca="1">IFERROR(__xludf.DUMMYFUNCTION("""COMPUTED_VALUE"""),"13.0016/77.6279")</f>
        <v>13.0016/77.6279</v>
      </c>
      <c r="H110" s="1" t="str">
        <f ca="1">IFERROR(__xludf.DUMMYFUNCTION("""COMPUTED_VALUE"""),"Seva Nagar")</f>
        <v>Seva Nagar</v>
      </c>
      <c r="I110" s="1"/>
      <c r="J110" s="1" t="str">
        <f ca="1">IFERROR(__xludf.DUMMYFUNCTION("""COMPUTED_VALUE"""),"1582d 12h 23m")</f>
        <v>1582d 12h 23m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>
      <c r="A111" s="1">
        <f ca="1">IFERROR(__xludf.DUMMYFUNCTION("""COMPUTED_VALUE"""),100)</f>
        <v>100</v>
      </c>
      <c r="B111" s="1" t="str">
        <f ca="1">IFERROR(__xludf.DUMMYFUNCTION("""COMPUTED_VALUE"""),"C2_KA04AA9028_DESILTING")</f>
        <v>C2_KA04AA9028_DESILTING</v>
      </c>
      <c r="C111" s="1" t="str">
        <f ca="1">IFERROR(__xludf.DUMMYFUNCTION("""COMPUTED_VALUE"""),"c2_ka04aa9028_desilting")</f>
        <v>c2_ka04aa9028_desilting</v>
      </c>
      <c r="D111" s="2">
        <f ca="1">IFERROR(__xludf.DUMMYFUNCTION("""COMPUTED_VALUE"""),43787)</f>
        <v>43787</v>
      </c>
      <c r="E111" s="3">
        <f ca="1">IFERROR(__xludf.DUMMYFUNCTION("""COMPUTED_VALUE"""),0.707372685184964)</f>
        <v>0.70737268518496399</v>
      </c>
      <c r="F111" s="1">
        <f ca="1">IFERROR(__xludf.DUMMYFUNCTION("""COMPUTED_VALUE"""),28)</f>
        <v>28</v>
      </c>
      <c r="G111" s="1" t="str">
        <f ca="1">IFERROR(__xludf.DUMMYFUNCTION("""COMPUTED_VALUE"""),"13.0016/77.6279")</f>
        <v>13.0016/77.6279</v>
      </c>
      <c r="H111" s="1" t="str">
        <f ca="1">IFERROR(__xludf.DUMMYFUNCTION("""COMPUTED_VALUE"""),"Seva Nagar")</f>
        <v>Seva Nagar</v>
      </c>
      <c r="I111" s="1"/>
      <c r="J111" s="1" t="str">
        <f ca="1">IFERROR(__xludf.DUMMYFUNCTION("""COMPUTED_VALUE"""),"1582d 12h 26m")</f>
        <v>1582d 12h 26m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>
      <c r="A112" s="1">
        <f ca="1">IFERROR(__xludf.DUMMYFUNCTION("""COMPUTED_VALUE"""),100)</f>
        <v>100</v>
      </c>
      <c r="B112" s="1" t="str">
        <f ca="1">IFERROR(__xludf.DUMMYFUNCTION("""COMPUTED_VALUE"""),"C2_KA04AA9028_DESILTING")</f>
        <v>C2_KA04AA9028_DESILTING</v>
      </c>
      <c r="C112" s="1" t="str">
        <f ca="1">IFERROR(__xludf.DUMMYFUNCTION("""COMPUTED_VALUE"""),"c2_ka04aa9028_desilting")</f>
        <v>c2_ka04aa9028_desilting</v>
      </c>
      <c r="D112" s="2">
        <f ca="1">IFERROR(__xludf.DUMMYFUNCTION("""COMPUTED_VALUE"""),43787)</f>
        <v>43787</v>
      </c>
      <c r="E112" s="3">
        <f ca="1">IFERROR(__xludf.DUMMYFUNCTION("""COMPUTED_VALUE"""),0.707372685184964)</f>
        <v>0.70737268518496399</v>
      </c>
      <c r="F112" s="1">
        <f ca="1">IFERROR(__xludf.DUMMYFUNCTION("""COMPUTED_VALUE"""),28)</f>
        <v>28</v>
      </c>
      <c r="G112" s="1" t="str">
        <f ca="1">IFERROR(__xludf.DUMMYFUNCTION("""COMPUTED_VALUE"""),"13.0016/77.6279")</f>
        <v>13.0016/77.6279</v>
      </c>
      <c r="H112" s="1" t="str">
        <f ca="1">IFERROR(__xludf.DUMMYFUNCTION("""COMPUTED_VALUE"""),"Seva Nagar")</f>
        <v>Seva Nagar</v>
      </c>
      <c r="I112" s="1"/>
      <c r="J112" s="1" t="str">
        <f ca="1">IFERROR(__xludf.DUMMYFUNCTION("""COMPUTED_VALUE"""),"1582d 12h 27m")</f>
        <v>1582d 12h 27m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>
      <c r="A113" s="1">
        <f ca="1">IFERROR(__xludf.DUMMYFUNCTION("""COMPUTED_VALUE"""),100)</f>
        <v>100</v>
      </c>
      <c r="B113" s="1" t="str">
        <f ca="1">IFERROR(__xludf.DUMMYFUNCTION("""COMPUTED_VALUE"""),"C2_KA04AA9028_DESILTING")</f>
        <v>C2_KA04AA9028_DESILTING</v>
      </c>
      <c r="C113" s="1" t="str">
        <f ca="1">IFERROR(__xludf.DUMMYFUNCTION("""COMPUTED_VALUE"""),"c2_ka04aa9028_desilting")</f>
        <v>c2_ka04aa9028_desilting</v>
      </c>
      <c r="D113" s="2">
        <f ca="1">IFERROR(__xludf.DUMMYFUNCTION("""COMPUTED_VALUE"""),43787)</f>
        <v>43787</v>
      </c>
      <c r="E113" s="3">
        <f ca="1">IFERROR(__xludf.DUMMYFUNCTION("""COMPUTED_VALUE"""),0.707372685184964)</f>
        <v>0.70737268518496399</v>
      </c>
      <c r="F113" s="1">
        <f ca="1">IFERROR(__xludf.DUMMYFUNCTION("""COMPUTED_VALUE"""),28)</f>
        <v>28</v>
      </c>
      <c r="G113" s="1" t="str">
        <f ca="1">IFERROR(__xludf.DUMMYFUNCTION("""COMPUTED_VALUE"""),"13.0016/77.6279")</f>
        <v>13.0016/77.6279</v>
      </c>
      <c r="H113" s="1" t="str">
        <f ca="1">IFERROR(__xludf.DUMMYFUNCTION("""COMPUTED_VALUE"""),"Seva Nagar")</f>
        <v>Seva Nagar</v>
      </c>
      <c r="I113" s="1"/>
      <c r="J113" s="1" t="str">
        <f ca="1">IFERROR(__xludf.DUMMYFUNCTION("""COMPUTED_VALUE"""),"1582d 12h 29m")</f>
        <v>1582d 12h 29m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>
      <c r="A114" s="1">
        <f ca="1">IFERROR(__xludf.DUMMYFUNCTION("""COMPUTED_VALUE"""),100)</f>
        <v>100</v>
      </c>
      <c r="B114" s="1" t="str">
        <f ca="1">IFERROR(__xludf.DUMMYFUNCTION("""COMPUTED_VALUE"""),"C2_KA04AA9028_DESILTING")</f>
        <v>C2_KA04AA9028_DESILTING</v>
      </c>
      <c r="C114" s="1" t="str">
        <f ca="1">IFERROR(__xludf.DUMMYFUNCTION("""COMPUTED_VALUE"""),"c2_ka04aa9028_desilting")</f>
        <v>c2_ka04aa9028_desilting</v>
      </c>
      <c r="D114" s="2">
        <f ca="1">IFERROR(__xludf.DUMMYFUNCTION("""COMPUTED_VALUE"""),43787)</f>
        <v>43787</v>
      </c>
      <c r="E114" s="3">
        <f ca="1">IFERROR(__xludf.DUMMYFUNCTION("""COMPUTED_VALUE"""),0.707372685184964)</f>
        <v>0.70737268518496399</v>
      </c>
      <c r="F114" s="1">
        <f ca="1">IFERROR(__xludf.DUMMYFUNCTION("""COMPUTED_VALUE"""),28)</f>
        <v>28</v>
      </c>
      <c r="G114" s="1" t="str">
        <f ca="1">IFERROR(__xludf.DUMMYFUNCTION("""COMPUTED_VALUE"""),"13.0016/77.6279")</f>
        <v>13.0016/77.6279</v>
      </c>
      <c r="H114" s="1" t="str">
        <f ca="1">IFERROR(__xludf.DUMMYFUNCTION("""COMPUTED_VALUE"""),"Seva Nagar")</f>
        <v>Seva Nagar</v>
      </c>
      <c r="I114" s="1"/>
      <c r="J114" s="1" t="str">
        <f ca="1">IFERROR(__xludf.DUMMYFUNCTION("""COMPUTED_VALUE"""),"1582d 12h 30m")</f>
        <v>1582d 12h 30m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>
      <c r="A115" s="1">
        <f ca="1">IFERROR(__xludf.DUMMYFUNCTION("""COMPUTED_VALUE"""),100)</f>
        <v>100</v>
      </c>
      <c r="B115" s="1" t="str">
        <f ca="1">IFERROR(__xludf.DUMMYFUNCTION("""COMPUTED_VALUE"""),"C2_KA04AA9028_DESILTING")</f>
        <v>C2_KA04AA9028_DESILTING</v>
      </c>
      <c r="C115" s="1" t="str">
        <f ca="1">IFERROR(__xludf.DUMMYFUNCTION("""COMPUTED_VALUE"""),"c2_ka04aa9028_desilting")</f>
        <v>c2_ka04aa9028_desilting</v>
      </c>
      <c r="D115" s="2">
        <f ca="1">IFERROR(__xludf.DUMMYFUNCTION("""COMPUTED_VALUE"""),43787)</f>
        <v>43787</v>
      </c>
      <c r="E115" s="3">
        <f ca="1">IFERROR(__xludf.DUMMYFUNCTION("""COMPUTED_VALUE"""),0.707372685184964)</f>
        <v>0.70737268518496399</v>
      </c>
      <c r="F115" s="1">
        <f ca="1">IFERROR(__xludf.DUMMYFUNCTION("""COMPUTED_VALUE"""),28)</f>
        <v>28</v>
      </c>
      <c r="G115" s="1" t="str">
        <f ca="1">IFERROR(__xludf.DUMMYFUNCTION("""COMPUTED_VALUE"""),"13.0016/77.6279")</f>
        <v>13.0016/77.6279</v>
      </c>
      <c r="H115" s="1" t="str">
        <f ca="1">IFERROR(__xludf.DUMMYFUNCTION("""COMPUTED_VALUE"""),"Seva Nagar")</f>
        <v>Seva Nagar</v>
      </c>
      <c r="I115" s="1"/>
      <c r="J115" s="1" t="str">
        <f ca="1">IFERROR(__xludf.DUMMYFUNCTION("""COMPUTED_VALUE"""),"1582d 12h 31m")</f>
        <v>1582d 12h 31m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>
      <c r="A116" s="1">
        <f ca="1">IFERROR(__xludf.DUMMYFUNCTION("""COMPUTED_VALUE"""),234)</f>
        <v>234</v>
      </c>
      <c r="B116" s="1" t="str">
        <f ca="1">IFERROR(__xludf.DUMMYFUNCTION("""COMPUTED_VALUE"""),"C2_KA04AD2944_Desilting")</f>
        <v>C2_KA04AD2944_Desilting</v>
      </c>
      <c r="C116" s="1" t="str">
        <f ca="1">IFERROR(__xludf.DUMMYFUNCTION("""COMPUTED_VALUE"""),"c2_ka04ad2944_desilting")</f>
        <v>c2_ka04ad2944_desilting</v>
      </c>
      <c r="D116" s="2">
        <f ca="1">IFERROR(__xludf.DUMMYFUNCTION("""COMPUTED_VALUE"""),44707)</f>
        <v>44707</v>
      </c>
      <c r="E116" s="3">
        <f ca="1">IFERROR(__xludf.DUMMYFUNCTION("""COMPUTED_VALUE"""),0.999317129630071)</f>
        <v>0.99931712963007102</v>
      </c>
      <c r="F116" s="1">
        <f ca="1">IFERROR(__xludf.DUMMYFUNCTION("""COMPUTED_VALUE"""),61733)</f>
        <v>61733</v>
      </c>
      <c r="G116" s="1" t="str">
        <f ca="1">IFERROR(__xludf.DUMMYFUNCTION("""COMPUTED_VALUE"""),"12.9875/77.5892")</f>
        <v>12.9875/77.5892</v>
      </c>
      <c r="H116" s="1" t="str">
        <f ca="1">IFERROR(__xludf.DUMMYFUNCTION("""COMPUTED_VALUE"""),"Hotel Chalukya")</f>
        <v>Hotel Chalukya</v>
      </c>
      <c r="I116" s="1"/>
      <c r="J116" s="1" t="str">
        <f ca="1">IFERROR(__xludf.DUMMYFUNCTION("""COMPUTED_VALUE"""),"25d 15h 07m")</f>
        <v>25d 15h 07m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>
      <c r="A117" s="1">
        <f ca="1">IFERROR(__xludf.DUMMYFUNCTION("""COMPUTED_VALUE"""),171)</f>
        <v>171</v>
      </c>
      <c r="B117" s="1" t="str">
        <f ca="1">IFERROR(__xludf.DUMMYFUNCTION("""COMPUTED_VALUE"""),"C2_KA04AD2944_Desilting")</f>
        <v>C2_KA04AD2944_Desilting</v>
      </c>
      <c r="C117" s="1" t="str">
        <f ca="1">IFERROR(__xludf.DUMMYFUNCTION("""COMPUTED_VALUE"""),"c2_ka04ad2944_desilting")</f>
        <v>c2_ka04ad2944_desilting</v>
      </c>
      <c r="D117" s="2">
        <f ca="1">IFERROR(__xludf.DUMMYFUNCTION("""COMPUTED_VALUE"""),44738)</f>
        <v>44738</v>
      </c>
      <c r="E117" s="3">
        <f ca="1">IFERROR(__xludf.DUMMYFUNCTION("""COMPUTED_VALUE"""),0.999027777776063)</f>
        <v>0.999027777776063</v>
      </c>
      <c r="F117" s="1">
        <f ca="1">IFERROR(__xludf.DUMMYFUNCTION("""COMPUTED_VALUE"""),63416)</f>
        <v>63416</v>
      </c>
      <c r="G117" s="1" t="str">
        <f ca="1">IFERROR(__xludf.DUMMYFUNCTION("""COMPUTED_VALUE"""),"12.9877/77.5894")</f>
        <v>12.9877/77.5894</v>
      </c>
      <c r="H117" s="1" t="str">
        <f ca="1">IFERROR(__xludf.DUMMYFUNCTION("""COMPUTED_VALUE"""),"Hotel Chalukya")</f>
        <v>Hotel Chalukya</v>
      </c>
      <c r="I117" s="1"/>
      <c r="J117" s="1" t="str">
        <f ca="1">IFERROR(__xludf.DUMMYFUNCTION("""COMPUTED_VALUE"""),"25d 15h 08m")</f>
        <v>25d 15h 08m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>
      <c r="A118" s="1">
        <f ca="1">IFERROR(__xludf.DUMMYFUNCTION("""COMPUTED_VALUE"""),199)</f>
        <v>199</v>
      </c>
      <c r="B118" s="1" t="str">
        <f ca="1">IFERROR(__xludf.DUMMYFUNCTION("""COMPUTED_VALUE"""),"C2_KA04AD2944_Desilting")</f>
        <v>C2_KA04AD2944_Desilting</v>
      </c>
      <c r="C118" s="1" t="str">
        <f ca="1">IFERROR(__xludf.DUMMYFUNCTION("""COMPUTED_VALUE"""),"c2_ka04ad2944_desilting")</f>
        <v>c2_ka04ad2944_desilting</v>
      </c>
      <c r="D118" s="2">
        <f ca="1">IFERROR(__xludf.DUMMYFUNCTION("""COMPUTED_VALUE"""),44768)</f>
        <v>44768</v>
      </c>
      <c r="E118" s="3">
        <f ca="1">IFERROR(__xludf.DUMMYFUNCTION("""COMPUTED_VALUE"""),0.999131944445252)</f>
        <v>0.999131944445252</v>
      </c>
      <c r="F118" s="1">
        <f ca="1">IFERROR(__xludf.DUMMYFUNCTION("""COMPUTED_VALUE"""),63854)</f>
        <v>63854</v>
      </c>
      <c r="G118" s="1" t="str">
        <f ca="1">IFERROR(__xludf.DUMMYFUNCTION("""COMPUTED_VALUE"""),"12.9873/77.5892")</f>
        <v>12.9873/77.5892</v>
      </c>
      <c r="H118" s="1" t="str">
        <f ca="1">IFERROR(__xludf.DUMMYFUNCTION("""COMPUTED_VALUE"""),"Hotel Chalukya")</f>
        <v>Hotel Chalukya</v>
      </c>
      <c r="I118" s="1"/>
      <c r="J118" s="1" t="str">
        <f ca="1">IFERROR(__xludf.DUMMYFUNCTION("""COMPUTED_VALUE"""),"25d 15h 09m")</f>
        <v>25d 15h 09m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>
      <c r="A119" s="1">
        <f ca="1">IFERROR(__xludf.DUMMYFUNCTION("""COMPUTED_VALUE"""),156)</f>
        <v>156</v>
      </c>
      <c r="B119" s="1" t="str">
        <f ca="1">IFERROR(__xludf.DUMMYFUNCTION("""COMPUTED_VALUE"""),"C2_KA04AD2944_Desilting")</f>
        <v>C2_KA04AD2944_Desilting</v>
      </c>
      <c r="C119" s="1" t="str">
        <f ca="1">IFERROR(__xludf.DUMMYFUNCTION("""COMPUTED_VALUE"""),"c2_ka04ad2944_desilting")</f>
        <v>c2_ka04ad2944_desilting</v>
      </c>
      <c r="D119" s="2">
        <f ca="1">IFERROR(__xludf.DUMMYFUNCTION("""COMPUTED_VALUE"""),44799)</f>
        <v>44799</v>
      </c>
      <c r="E119" s="3">
        <f ca="1">IFERROR(__xludf.DUMMYFUNCTION("""COMPUTED_VALUE"""),0.750023148149921)</f>
        <v>0.75002314814992099</v>
      </c>
      <c r="F119" s="1">
        <f ca="1">IFERROR(__xludf.DUMMYFUNCTION("""COMPUTED_VALUE"""),64198)</f>
        <v>64198</v>
      </c>
      <c r="G119" s="1" t="str">
        <f ca="1">IFERROR(__xludf.DUMMYFUNCTION("""COMPUTED_VALUE"""),"13.0101/77.5665")</f>
        <v>13.0101/77.5665</v>
      </c>
      <c r="H119" s="1" t="str">
        <f ca="1">IFERROR(__xludf.DUMMYFUNCTION("""COMPUTED_VALUE"""),"Malleshwaram")</f>
        <v>Malleshwaram</v>
      </c>
      <c r="I119" s="1"/>
      <c r="J119" s="1" t="str">
        <f ca="1">IFERROR(__xludf.DUMMYFUNCTION("""COMPUTED_VALUE"""),"25d 15h 09m")</f>
        <v>25d 15h 09m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>
      <c r="A120" s="1">
        <f ca="1">IFERROR(__xludf.DUMMYFUNCTION("""COMPUTED_VALUE"""),165)</f>
        <v>165</v>
      </c>
      <c r="B120" s="1" t="str">
        <f ca="1">IFERROR(__xludf.DUMMYFUNCTION("""COMPUTED_VALUE"""),"C2_KA04AD2944_Desilting")</f>
        <v>C2_KA04AD2944_Desilting</v>
      </c>
      <c r="C120" s="1" t="str">
        <f ca="1">IFERROR(__xludf.DUMMYFUNCTION("""COMPUTED_VALUE"""),"c2_ka04ad2944_desilting")</f>
        <v>c2_ka04ad2944_desilting</v>
      </c>
      <c r="D120" s="2">
        <f ca="1">IFERROR(__xludf.DUMMYFUNCTION("""COMPUTED_VALUE"""),44830)</f>
        <v>44830</v>
      </c>
      <c r="E120" s="3">
        <f ca="1">IFERROR(__xludf.DUMMYFUNCTION("""COMPUTED_VALUE"""),0.998981481479859)</f>
        <v>0.99898148147985899</v>
      </c>
      <c r="F120" s="1">
        <f ca="1">IFERROR(__xludf.DUMMYFUNCTION("""COMPUTED_VALUE"""),64222)</f>
        <v>64222</v>
      </c>
      <c r="G120" s="1" t="str">
        <f ca="1">IFERROR(__xludf.DUMMYFUNCTION("""COMPUTED_VALUE"""),"13.0101/77.5666")</f>
        <v>13.0101/77.5666</v>
      </c>
      <c r="H120" s="1" t="str">
        <f ca="1">IFERROR(__xludf.DUMMYFUNCTION("""COMPUTED_VALUE"""),"Malleshwaram")</f>
        <v>Malleshwaram</v>
      </c>
      <c r="I120" s="1"/>
      <c r="J120" s="1" t="str">
        <f ca="1">IFERROR(__xludf.DUMMYFUNCTION("""COMPUTED_VALUE"""),"25d 15h 10m")</f>
        <v>25d 15h 10m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>
      <c r="A121" s="1">
        <f ca="1">IFERROR(__xludf.DUMMYFUNCTION("""COMPUTED_VALUE"""),176)</f>
        <v>176</v>
      </c>
      <c r="B121" s="1" t="str">
        <f ca="1">IFERROR(__xludf.DUMMYFUNCTION("""COMPUTED_VALUE"""),"C2_KA04AD2944_Desilting")</f>
        <v>C2_KA04AD2944_Desilting</v>
      </c>
      <c r="C121" s="1" t="str">
        <f ca="1">IFERROR(__xludf.DUMMYFUNCTION("""COMPUTED_VALUE"""),"c2_ka04ad2944_desilting")</f>
        <v>c2_ka04ad2944_desilting</v>
      </c>
      <c r="D121" s="2">
        <f ca="1">IFERROR(__xludf.DUMMYFUNCTION("""COMPUTED_VALUE"""),44860)</f>
        <v>44860</v>
      </c>
      <c r="E121" s="3">
        <f ca="1">IFERROR(__xludf.DUMMYFUNCTION("""COMPUTED_VALUE"""),0.999050925925985)</f>
        <v>0.99905092592598499</v>
      </c>
      <c r="F121" s="1">
        <f ca="1">IFERROR(__xludf.DUMMYFUNCTION("""COMPUTED_VALUE"""),65328)</f>
        <v>65328</v>
      </c>
      <c r="G121" s="1" t="str">
        <f ca="1">IFERROR(__xludf.DUMMYFUNCTION("""COMPUTED_VALUE"""),"12.9874/77.5892")</f>
        <v>12.9874/77.5892</v>
      </c>
      <c r="H121" s="1" t="str">
        <f ca="1">IFERROR(__xludf.DUMMYFUNCTION("""COMPUTED_VALUE"""),"Hotel Chalukya")</f>
        <v>Hotel Chalukya</v>
      </c>
      <c r="I121" s="1"/>
      <c r="J121" s="1" t="str">
        <f ca="1">IFERROR(__xludf.DUMMYFUNCTION("""COMPUTED_VALUE"""),"25d 15h 11m")</f>
        <v>25d 15h 11m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>
      <c r="A122" s="1">
        <f ca="1">IFERROR(__xludf.DUMMYFUNCTION("""COMPUTED_VALUE"""),62)</f>
        <v>62</v>
      </c>
      <c r="B122" s="1" t="str">
        <f ca="1">IFERROR(__xludf.DUMMYFUNCTION("""COMPUTED_VALUE"""),"C2_KA04C5127_Jetting")</f>
        <v>C2_KA04C5127_Jetting</v>
      </c>
      <c r="C122" s="1" t="str">
        <f ca="1">IFERROR(__xludf.DUMMYFUNCTION("""COMPUTED_VALUE"""),"c2_ka04c5127_jetting")</f>
        <v>c2_ka04c5127_jetting</v>
      </c>
      <c r="D122" s="2">
        <f ca="1">IFERROR(__xludf.DUMMYFUNCTION("""COMPUTED_VALUE"""),44674)</f>
        <v>44674</v>
      </c>
      <c r="E122" s="3">
        <f ca="1">IFERROR(__xludf.DUMMYFUNCTION("""COMPUTED_VALUE"""),0.643784722222335)</f>
        <v>0.64378472222233496</v>
      </c>
      <c r="F122" s="1">
        <f ca="1">IFERROR(__xludf.DUMMYFUNCTION("""COMPUTED_VALUE"""),18011)</f>
        <v>18011</v>
      </c>
      <c r="G122" s="1" t="str">
        <f ca="1">IFERROR(__xludf.DUMMYFUNCTION("""COMPUTED_VALUE"""),"12.9872/77.5899")</f>
        <v>12.9872/77.5899</v>
      </c>
      <c r="H122" s="1" t="str">
        <f ca="1">IFERROR(__xludf.DUMMYFUNCTION("""COMPUTED_VALUE"""),"Hotel Chalukya")</f>
        <v>Hotel Chalukya</v>
      </c>
      <c r="I122" s="1"/>
      <c r="J122" s="1" t="str">
        <f ca="1">IFERROR(__xludf.DUMMYFUNCTION("""COMPUTED_VALUE"""),"0d 22h 56m")</f>
        <v>0d 22h 56m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>
      <c r="A123" s="1">
        <f ca="1">IFERROR(__xludf.DUMMYFUNCTION("""COMPUTED_VALUE"""),49)</f>
        <v>49</v>
      </c>
      <c r="B123" s="1" t="str">
        <f ca="1">IFERROR(__xludf.DUMMYFUNCTION("""COMPUTED_VALUE"""),"C2_KA04C5127_Jetting")</f>
        <v>C2_KA04C5127_Jetting</v>
      </c>
      <c r="C123" s="1" t="str">
        <f ca="1">IFERROR(__xludf.DUMMYFUNCTION("""COMPUTED_VALUE"""),"c2_ka04c5127_jetting")</f>
        <v>c2_ka04c5127_jetting</v>
      </c>
      <c r="D123" s="2">
        <f ca="1">IFERROR(__xludf.DUMMYFUNCTION("""COMPUTED_VALUE"""),44674)</f>
        <v>44674</v>
      </c>
      <c r="E123" s="3">
        <f ca="1">IFERROR(__xludf.DUMMYFUNCTION("""COMPUTED_VALUE"""),0.643784722222335)</f>
        <v>0.64378472222233496</v>
      </c>
      <c r="F123" s="1">
        <f ca="1">IFERROR(__xludf.DUMMYFUNCTION("""COMPUTED_VALUE"""),18011)</f>
        <v>18011</v>
      </c>
      <c r="G123" s="1" t="str">
        <f ca="1">IFERROR(__xludf.DUMMYFUNCTION("""COMPUTED_VALUE"""),"12.9872/77.5899")</f>
        <v>12.9872/77.5899</v>
      </c>
      <c r="H123" s="1" t="str">
        <f ca="1">IFERROR(__xludf.DUMMYFUNCTION("""COMPUTED_VALUE"""),"Hotel Chalukya")</f>
        <v>Hotel Chalukya</v>
      </c>
      <c r="I123" s="1"/>
      <c r="J123" s="1" t="str">
        <f ca="1">IFERROR(__xludf.DUMMYFUNCTION("""COMPUTED_VALUE"""),"0d 22h 57m")</f>
        <v>0d 22h 57m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>
      <c r="A124" s="1">
        <f ca="1">IFERROR(__xludf.DUMMYFUNCTION("""COMPUTED_VALUE"""),46)</f>
        <v>46</v>
      </c>
      <c r="B124" s="1" t="str">
        <f ca="1">IFERROR(__xludf.DUMMYFUNCTION("""COMPUTED_VALUE"""),"C2_KA04C5127_Jetting")</f>
        <v>C2_KA04C5127_Jetting</v>
      </c>
      <c r="C124" s="1" t="str">
        <f ca="1">IFERROR(__xludf.DUMMYFUNCTION("""COMPUTED_VALUE"""),"c2_ka04c5127_jetting")</f>
        <v>c2_ka04c5127_jetting</v>
      </c>
      <c r="D124" s="2">
        <f ca="1">IFERROR(__xludf.DUMMYFUNCTION("""COMPUTED_VALUE"""),44674)</f>
        <v>44674</v>
      </c>
      <c r="E124" s="3">
        <f ca="1">IFERROR(__xludf.DUMMYFUNCTION("""COMPUTED_VALUE"""),0.643784722222335)</f>
        <v>0.64378472222233496</v>
      </c>
      <c r="F124" s="1">
        <f ca="1">IFERROR(__xludf.DUMMYFUNCTION("""COMPUTED_VALUE"""),18011)</f>
        <v>18011</v>
      </c>
      <c r="G124" s="1" t="str">
        <f ca="1">IFERROR(__xludf.DUMMYFUNCTION("""COMPUTED_VALUE"""),"12.9872/77.5899")</f>
        <v>12.9872/77.5899</v>
      </c>
      <c r="H124" s="1" t="str">
        <f ca="1">IFERROR(__xludf.DUMMYFUNCTION("""COMPUTED_VALUE"""),"Hotel Chalukya")</f>
        <v>Hotel Chalukya</v>
      </c>
      <c r="I124" s="1"/>
      <c r="J124" s="1" t="str">
        <f ca="1">IFERROR(__xludf.DUMMYFUNCTION("""COMPUTED_VALUE"""),"0d 22h 57m")</f>
        <v>0d 22h 57m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>
      <c r="A125" s="1">
        <f ca="1">IFERROR(__xludf.DUMMYFUNCTION("""COMPUTED_VALUE"""),46)</f>
        <v>46</v>
      </c>
      <c r="B125" s="1" t="str">
        <f ca="1">IFERROR(__xludf.DUMMYFUNCTION("""COMPUTED_VALUE"""),"C2_KA04C5127_Jetting")</f>
        <v>C2_KA04C5127_Jetting</v>
      </c>
      <c r="C125" s="1" t="str">
        <f ca="1">IFERROR(__xludf.DUMMYFUNCTION("""COMPUTED_VALUE"""),"c2_ka04c5127_jetting")</f>
        <v>c2_ka04c5127_jetting</v>
      </c>
      <c r="D125" s="2">
        <f ca="1">IFERROR(__xludf.DUMMYFUNCTION("""COMPUTED_VALUE"""),44674)</f>
        <v>44674</v>
      </c>
      <c r="E125" s="3">
        <f ca="1">IFERROR(__xludf.DUMMYFUNCTION("""COMPUTED_VALUE"""),0.643784722222335)</f>
        <v>0.64378472222233496</v>
      </c>
      <c r="F125" s="1">
        <f ca="1">IFERROR(__xludf.DUMMYFUNCTION("""COMPUTED_VALUE"""),18011)</f>
        <v>18011</v>
      </c>
      <c r="G125" s="1" t="str">
        <f ca="1">IFERROR(__xludf.DUMMYFUNCTION("""COMPUTED_VALUE"""),"12.9872/77.5899")</f>
        <v>12.9872/77.5899</v>
      </c>
      <c r="H125" s="1" t="str">
        <f ca="1">IFERROR(__xludf.DUMMYFUNCTION("""COMPUTED_VALUE"""),"Hotel Chalukya")</f>
        <v>Hotel Chalukya</v>
      </c>
      <c r="I125" s="1"/>
      <c r="J125" s="1" t="str">
        <f ca="1">IFERROR(__xludf.DUMMYFUNCTION("""COMPUTED_VALUE"""),"0d 22h 58m")</f>
        <v>0d 22h 58m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>
      <c r="A126" s="1">
        <f ca="1">IFERROR(__xludf.DUMMYFUNCTION("""COMPUTED_VALUE"""),43)</f>
        <v>43</v>
      </c>
      <c r="B126" s="1" t="str">
        <f ca="1">IFERROR(__xludf.DUMMYFUNCTION("""COMPUTED_VALUE"""),"C2_KA04C5127_Jetting")</f>
        <v>C2_KA04C5127_Jetting</v>
      </c>
      <c r="C126" s="1" t="str">
        <f ca="1">IFERROR(__xludf.DUMMYFUNCTION("""COMPUTED_VALUE"""),"c2_ka04c5127_jetting")</f>
        <v>c2_ka04c5127_jetting</v>
      </c>
      <c r="D126" s="2">
        <f ca="1">IFERROR(__xludf.DUMMYFUNCTION("""COMPUTED_VALUE"""),44674)</f>
        <v>44674</v>
      </c>
      <c r="E126" s="3">
        <f ca="1">IFERROR(__xludf.DUMMYFUNCTION("""COMPUTED_VALUE"""),0.643784722222335)</f>
        <v>0.64378472222233496</v>
      </c>
      <c r="F126" s="1">
        <f ca="1">IFERROR(__xludf.DUMMYFUNCTION("""COMPUTED_VALUE"""),18011)</f>
        <v>18011</v>
      </c>
      <c r="G126" s="1" t="str">
        <f ca="1">IFERROR(__xludf.DUMMYFUNCTION("""COMPUTED_VALUE"""),"12.9872/77.5899")</f>
        <v>12.9872/77.5899</v>
      </c>
      <c r="H126" s="1" t="str">
        <f ca="1">IFERROR(__xludf.DUMMYFUNCTION("""COMPUTED_VALUE"""),"Hotel Chalukya")</f>
        <v>Hotel Chalukya</v>
      </c>
      <c r="I126" s="1"/>
      <c r="J126" s="1" t="str">
        <f ca="1">IFERROR(__xludf.DUMMYFUNCTION("""COMPUTED_VALUE"""),"0d 22h 59m")</f>
        <v>0d 22h 59m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>
      <c r="A127" s="1">
        <f ca="1">IFERROR(__xludf.DUMMYFUNCTION("""COMPUTED_VALUE"""),43)</f>
        <v>43</v>
      </c>
      <c r="B127" s="1" t="str">
        <f ca="1">IFERROR(__xludf.DUMMYFUNCTION("""COMPUTED_VALUE"""),"C2_KA04C5127_Jetting")</f>
        <v>C2_KA04C5127_Jetting</v>
      </c>
      <c r="C127" s="1" t="str">
        <f ca="1">IFERROR(__xludf.DUMMYFUNCTION("""COMPUTED_VALUE"""),"c2_ka04c5127_jetting")</f>
        <v>c2_ka04c5127_jetting</v>
      </c>
      <c r="D127" s="2">
        <f ca="1">IFERROR(__xludf.DUMMYFUNCTION("""COMPUTED_VALUE"""),44674)</f>
        <v>44674</v>
      </c>
      <c r="E127" s="3">
        <f ca="1">IFERROR(__xludf.DUMMYFUNCTION("""COMPUTED_VALUE"""),0.643784722222335)</f>
        <v>0.64378472222233496</v>
      </c>
      <c r="F127" s="1">
        <f ca="1">IFERROR(__xludf.DUMMYFUNCTION("""COMPUTED_VALUE"""),18011)</f>
        <v>18011</v>
      </c>
      <c r="G127" s="1" t="str">
        <f ca="1">IFERROR(__xludf.DUMMYFUNCTION("""COMPUTED_VALUE"""),"12.9872/77.5899")</f>
        <v>12.9872/77.5899</v>
      </c>
      <c r="H127" s="1" t="str">
        <f ca="1">IFERROR(__xludf.DUMMYFUNCTION("""COMPUTED_VALUE"""),"Hotel Chalukya")</f>
        <v>Hotel Chalukya</v>
      </c>
      <c r="I127" s="1"/>
      <c r="J127" s="1" t="str">
        <f ca="1">IFERROR(__xludf.DUMMYFUNCTION("""COMPUTED_VALUE"""),"0d 23h 00m")</f>
        <v>0d 23h 00m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>
      <c r="A128" s="1">
        <f ca="1">IFERROR(__xludf.DUMMYFUNCTION("""COMPUTED_VALUE"""),45)</f>
        <v>45</v>
      </c>
      <c r="B128" s="1" t="str">
        <f ca="1">IFERROR(__xludf.DUMMYFUNCTION("""COMPUTED_VALUE"""),"C2_KA04C5160_JETTING")</f>
        <v>C2_KA04C5160_JETTING</v>
      </c>
      <c r="C128" s="1" t="str">
        <f ca="1">IFERROR(__xludf.DUMMYFUNCTION("""COMPUTED_VALUE"""),"c2_ka04c5160_jetting")</f>
        <v>c2_ka04c5160_jetting</v>
      </c>
      <c r="D128" s="2">
        <f ca="1">IFERROR(__xludf.DUMMYFUNCTION("""COMPUTED_VALUE"""),41640)</f>
        <v>41640</v>
      </c>
      <c r="E128" s="3">
        <f ca="1">IFERROR(__xludf.DUMMYFUNCTION("""COMPUTED_VALUE"""),0.250833333331684)</f>
        <v>0.25083333333168401</v>
      </c>
      <c r="F128" s="1">
        <f ca="1">IFERROR(__xludf.DUMMYFUNCTION("""COMPUTED_VALUE"""),19260)</f>
        <v>19260</v>
      </c>
      <c r="G128" s="1"/>
      <c r="H128" s="1"/>
      <c r="I128" s="1"/>
      <c r="J128" s="1" t="str">
        <f ca="1">IFERROR(__xludf.DUMMYFUNCTION("""COMPUTED_VALUE"""),"0d 00h 00m")</f>
        <v>0d 00h 00m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>
      <c r="A129" s="1">
        <f ca="1">IFERROR(__xludf.DUMMYFUNCTION("""COMPUTED_VALUE"""),45)</f>
        <v>45</v>
      </c>
      <c r="B129" s="1" t="str">
        <f ca="1">IFERROR(__xludf.DUMMYFUNCTION("""COMPUTED_VALUE"""),"C2_KA04C5160_JETTING")</f>
        <v>C2_KA04C5160_JETTING</v>
      </c>
      <c r="C129" s="1" t="str">
        <f ca="1">IFERROR(__xludf.DUMMYFUNCTION("""COMPUTED_VALUE"""),"c2_ka04c5160_jetting")</f>
        <v>c2_ka04c5160_jetting</v>
      </c>
      <c r="D129" s="2">
        <f ca="1">IFERROR(__xludf.DUMMYFUNCTION("""COMPUTED_VALUE"""),41640)</f>
        <v>41640</v>
      </c>
      <c r="E129" s="3">
        <f ca="1">IFERROR(__xludf.DUMMYFUNCTION("""COMPUTED_VALUE"""),0.250833333331684)</f>
        <v>0.25083333333168401</v>
      </c>
      <c r="F129" s="1">
        <f ca="1">IFERROR(__xludf.DUMMYFUNCTION("""COMPUTED_VALUE"""),19260)</f>
        <v>19260</v>
      </c>
      <c r="G129" s="1"/>
      <c r="H129" s="1"/>
      <c r="I129" s="1"/>
      <c r="J129" s="1" t="str">
        <f ca="1">IFERROR(__xludf.DUMMYFUNCTION("""COMPUTED_VALUE"""),"0d 00h 00m")</f>
        <v>0d 00h 00m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>
      <c r="A130" s="1">
        <f ca="1">IFERROR(__xludf.DUMMYFUNCTION("""COMPUTED_VALUE"""),45)</f>
        <v>45</v>
      </c>
      <c r="B130" s="1" t="str">
        <f ca="1">IFERROR(__xludf.DUMMYFUNCTION("""COMPUTED_VALUE"""),"C2_KA04C5160_JETTING")</f>
        <v>C2_KA04C5160_JETTING</v>
      </c>
      <c r="C130" s="1" t="str">
        <f ca="1">IFERROR(__xludf.DUMMYFUNCTION("""COMPUTED_VALUE"""),"c2_ka04c5160_jetting")</f>
        <v>c2_ka04c5160_jetting</v>
      </c>
      <c r="D130" s="2">
        <f ca="1">IFERROR(__xludf.DUMMYFUNCTION("""COMPUTED_VALUE"""),41640)</f>
        <v>41640</v>
      </c>
      <c r="E130" s="3">
        <f ca="1">IFERROR(__xludf.DUMMYFUNCTION("""COMPUTED_VALUE"""),0.250833333331684)</f>
        <v>0.25083333333168401</v>
      </c>
      <c r="F130" s="1">
        <f ca="1">IFERROR(__xludf.DUMMYFUNCTION("""COMPUTED_VALUE"""),19260)</f>
        <v>19260</v>
      </c>
      <c r="G130" s="1"/>
      <c r="H130" s="1"/>
      <c r="I130" s="1"/>
      <c r="J130" s="1" t="str">
        <f ca="1">IFERROR(__xludf.DUMMYFUNCTION("""COMPUTED_VALUE"""),"0d 00h 00m")</f>
        <v>0d 00h 00m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>
      <c r="A131" s="1">
        <f ca="1">IFERROR(__xludf.DUMMYFUNCTION("""COMPUTED_VALUE"""),45)</f>
        <v>45</v>
      </c>
      <c r="B131" s="1" t="str">
        <f ca="1">IFERROR(__xludf.DUMMYFUNCTION("""COMPUTED_VALUE"""),"C2_KA04C5160_JETTING")</f>
        <v>C2_KA04C5160_JETTING</v>
      </c>
      <c r="C131" s="1" t="str">
        <f ca="1">IFERROR(__xludf.DUMMYFUNCTION("""COMPUTED_VALUE"""),"c2_ka04c5160_jetting")</f>
        <v>c2_ka04c5160_jetting</v>
      </c>
      <c r="D131" s="2">
        <f ca="1">IFERROR(__xludf.DUMMYFUNCTION("""COMPUTED_VALUE"""),41640)</f>
        <v>41640</v>
      </c>
      <c r="E131" s="3">
        <f ca="1">IFERROR(__xludf.DUMMYFUNCTION("""COMPUTED_VALUE"""),0.250833333331684)</f>
        <v>0.25083333333168401</v>
      </c>
      <c r="F131" s="1">
        <f ca="1">IFERROR(__xludf.DUMMYFUNCTION("""COMPUTED_VALUE"""),19260)</f>
        <v>19260</v>
      </c>
      <c r="G131" s="1"/>
      <c r="H131" s="1"/>
      <c r="I131" s="1"/>
      <c r="J131" s="1" t="str">
        <f ca="1">IFERROR(__xludf.DUMMYFUNCTION("""COMPUTED_VALUE"""),"0d 00h 00m")</f>
        <v>0d 00h 00m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>
      <c r="A132" s="1">
        <f ca="1">IFERROR(__xludf.DUMMYFUNCTION("""COMPUTED_VALUE"""),45)</f>
        <v>45</v>
      </c>
      <c r="B132" s="1" t="str">
        <f ca="1">IFERROR(__xludf.DUMMYFUNCTION("""COMPUTED_VALUE"""),"C2_KA04C5160_JETTING")</f>
        <v>C2_KA04C5160_JETTING</v>
      </c>
      <c r="C132" s="1" t="str">
        <f ca="1">IFERROR(__xludf.DUMMYFUNCTION("""COMPUTED_VALUE"""),"c2_ka04c5160_jetting")</f>
        <v>c2_ka04c5160_jetting</v>
      </c>
      <c r="D132" s="2">
        <f ca="1">IFERROR(__xludf.DUMMYFUNCTION("""COMPUTED_VALUE"""),41640)</f>
        <v>41640</v>
      </c>
      <c r="E132" s="3">
        <f ca="1">IFERROR(__xludf.DUMMYFUNCTION("""COMPUTED_VALUE"""),0.250833333331684)</f>
        <v>0.25083333333168401</v>
      </c>
      <c r="F132" s="1">
        <f ca="1">IFERROR(__xludf.DUMMYFUNCTION("""COMPUTED_VALUE"""),19260)</f>
        <v>19260</v>
      </c>
      <c r="G132" s="1"/>
      <c r="H132" s="1"/>
      <c r="I132" s="1"/>
      <c r="J132" s="1" t="str">
        <f ca="1">IFERROR(__xludf.DUMMYFUNCTION("""COMPUTED_VALUE"""),"0d 00h 00m")</f>
        <v>0d 00h 00m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>
      <c r="A133" s="1">
        <f ca="1">IFERROR(__xludf.DUMMYFUNCTION("""COMPUTED_VALUE"""),45)</f>
        <v>45</v>
      </c>
      <c r="B133" s="1" t="str">
        <f ca="1">IFERROR(__xludf.DUMMYFUNCTION("""COMPUTED_VALUE"""),"C2_KA04C5160_JETTING")</f>
        <v>C2_KA04C5160_JETTING</v>
      </c>
      <c r="C133" s="1" t="str">
        <f ca="1">IFERROR(__xludf.DUMMYFUNCTION("""COMPUTED_VALUE"""),"c2_ka04c5160_jetting")</f>
        <v>c2_ka04c5160_jetting</v>
      </c>
      <c r="D133" s="2">
        <f ca="1">IFERROR(__xludf.DUMMYFUNCTION("""COMPUTED_VALUE"""),41640)</f>
        <v>41640</v>
      </c>
      <c r="E133" s="3">
        <f ca="1">IFERROR(__xludf.DUMMYFUNCTION("""COMPUTED_VALUE"""),0.250833333331684)</f>
        <v>0.25083333333168401</v>
      </c>
      <c r="F133" s="1">
        <f ca="1">IFERROR(__xludf.DUMMYFUNCTION("""COMPUTED_VALUE"""),19260)</f>
        <v>19260</v>
      </c>
      <c r="G133" s="1"/>
      <c r="H133" s="1"/>
      <c r="I133" s="1"/>
      <c r="J133" s="1" t="str">
        <f ca="1">IFERROR(__xludf.DUMMYFUNCTION("""COMPUTED_VALUE"""),"0d 00h 00m")</f>
        <v>0d 00h 00m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>
      <c r="A134" s="1">
        <f ca="1">IFERROR(__xludf.DUMMYFUNCTION("""COMPUTED_VALUE"""),45)</f>
        <v>45</v>
      </c>
      <c r="B134" s="1" t="str">
        <f ca="1">IFERROR(__xludf.DUMMYFUNCTION("""COMPUTED_VALUE"""),"C2_KA04C5160_JETTING")</f>
        <v>C2_KA04C5160_JETTING</v>
      </c>
      <c r="C134" s="1" t="str">
        <f ca="1">IFERROR(__xludf.DUMMYFUNCTION("""COMPUTED_VALUE"""),"c2_ka04c5160_jetting")</f>
        <v>c2_ka04c5160_jetting</v>
      </c>
      <c r="D134" s="2">
        <f ca="1">IFERROR(__xludf.DUMMYFUNCTION("""COMPUTED_VALUE"""),41640)</f>
        <v>41640</v>
      </c>
      <c r="E134" s="3">
        <f ca="1">IFERROR(__xludf.DUMMYFUNCTION("""COMPUTED_VALUE"""),0.250833333331684)</f>
        <v>0.25083333333168401</v>
      </c>
      <c r="F134" s="1">
        <f ca="1">IFERROR(__xludf.DUMMYFUNCTION("""COMPUTED_VALUE"""),19260)</f>
        <v>19260</v>
      </c>
      <c r="G134" s="1"/>
      <c r="H134" s="1"/>
      <c r="I134" s="1"/>
      <c r="J134" s="1" t="str">
        <f ca="1">IFERROR(__xludf.DUMMYFUNCTION("""COMPUTED_VALUE"""),"0d 00h 00m")</f>
        <v>0d 00h 00m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>
      <c r="A135" s="1">
        <f ca="1">IFERROR(__xludf.DUMMYFUNCTION("""COMPUTED_VALUE"""),163)</f>
        <v>163</v>
      </c>
      <c r="B135" s="1" t="str">
        <f ca="1">IFERROR(__xludf.DUMMYFUNCTION("""COMPUTED_VALUE"""),"C2_KA04D4107_Jetting")</f>
        <v>C2_KA04D4107_Jetting</v>
      </c>
      <c r="C135" s="1" t="str">
        <f ca="1">IFERROR(__xludf.DUMMYFUNCTION("""COMPUTED_VALUE"""),"c2_ka04d4107_jetting")</f>
        <v>c2_ka04d4107_jetting</v>
      </c>
      <c r="D135" s="2">
        <f ca="1">IFERROR(__xludf.DUMMYFUNCTION("""COMPUTED_VALUE"""),44707)</f>
        <v>44707</v>
      </c>
      <c r="E135" s="3">
        <f ca="1">IFERROR(__xludf.DUMMYFUNCTION("""COMPUTED_VALUE"""),0.99900462962978)</f>
        <v>0.99900462962977998</v>
      </c>
      <c r="F135" s="1">
        <f ca="1">IFERROR(__xludf.DUMMYFUNCTION("""COMPUTED_VALUE"""),16904)</f>
        <v>16904</v>
      </c>
      <c r="G135" s="1" t="str">
        <f ca="1">IFERROR(__xludf.DUMMYFUNCTION("""COMPUTED_VALUE"""),"12.9873/77.5897")</f>
        <v>12.9873/77.5897</v>
      </c>
      <c r="H135" s="1" t="str">
        <f ca="1">IFERROR(__xludf.DUMMYFUNCTION("""COMPUTED_VALUE"""),"Hotel Chalukya")</f>
        <v>Hotel Chalukya</v>
      </c>
      <c r="I135" s="1"/>
      <c r="J135" s="1" t="str">
        <f ca="1">IFERROR(__xludf.DUMMYFUNCTION("""COMPUTED_VALUE"""),"0d 00h 00m")</f>
        <v>0d 00h 00m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>
      <c r="A136" s="1">
        <f ca="1">IFERROR(__xludf.DUMMYFUNCTION("""COMPUTED_VALUE"""),132)</f>
        <v>132</v>
      </c>
      <c r="B136" s="1" t="str">
        <f ca="1">IFERROR(__xludf.DUMMYFUNCTION("""COMPUTED_VALUE"""),"C2_KA04D4107_Jetting")</f>
        <v>C2_KA04D4107_Jetting</v>
      </c>
      <c r="C136" s="1" t="str">
        <f ca="1">IFERROR(__xludf.DUMMYFUNCTION("""COMPUTED_VALUE"""),"c2_ka04d4107_jetting")</f>
        <v>c2_ka04d4107_jetting</v>
      </c>
      <c r="D136" s="2">
        <f ca="1">IFERROR(__xludf.DUMMYFUNCTION("""COMPUTED_VALUE"""),44737)</f>
        <v>44737</v>
      </c>
      <c r="E136" s="3">
        <f ca="1">IFERROR(__xludf.DUMMYFUNCTION("""COMPUTED_VALUE"""),0.640567129630653)</f>
        <v>0.64056712963065299</v>
      </c>
      <c r="F136" s="1">
        <f ca="1">IFERROR(__xludf.DUMMYFUNCTION("""COMPUTED_VALUE"""),17004)</f>
        <v>17004</v>
      </c>
      <c r="G136" s="1" t="str">
        <f ca="1">IFERROR(__xludf.DUMMYFUNCTION("""COMPUTED_VALUE"""),"12.9919/77.6041")</f>
        <v>12.9919/77.6041</v>
      </c>
      <c r="H136" s="1" t="str">
        <f ca="1">IFERROR(__xludf.DUMMYFUNCTION("""COMPUTED_VALUE"""),"Fortune Select Jp Cosmos Bengaluru")</f>
        <v>Fortune Select Jp Cosmos Bengaluru</v>
      </c>
      <c r="I136" s="1"/>
      <c r="J136" s="1" t="str">
        <f ca="1">IFERROR(__xludf.DUMMYFUNCTION("""COMPUTED_VALUE"""),"0d 00h 00m")</f>
        <v>0d 00h 00m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>
      <c r="A137" s="1">
        <f ca="1">IFERROR(__xludf.DUMMYFUNCTION("""COMPUTED_VALUE"""),102)</f>
        <v>102</v>
      </c>
      <c r="B137" s="1" t="str">
        <f ca="1">IFERROR(__xludf.DUMMYFUNCTION("""COMPUTED_VALUE"""),"C2_KA04D4107_Jetting")</f>
        <v>C2_KA04D4107_Jetting</v>
      </c>
      <c r="C137" s="1" t="str">
        <f ca="1">IFERROR(__xludf.DUMMYFUNCTION("""COMPUTED_VALUE"""),"c2_ka04d4107_jetting")</f>
        <v>c2_ka04d4107_jetting</v>
      </c>
      <c r="D137" s="2">
        <f ca="1">IFERROR(__xludf.DUMMYFUNCTION("""COMPUTED_VALUE"""),44759)</f>
        <v>44759</v>
      </c>
      <c r="E137" s="3">
        <f ca="1">IFERROR(__xludf.DUMMYFUNCTION("""COMPUTED_VALUE"""),0.688692129628179)</f>
        <v>0.68869212962817905</v>
      </c>
      <c r="F137" s="1">
        <f ca="1">IFERROR(__xludf.DUMMYFUNCTION("""COMPUTED_VALUE"""),17036)</f>
        <v>17036</v>
      </c>
      <c r="G137" s="1" t="str">
        <f ca="1">IFERROR(__xludf.DUMMYFUNCTION("""COMPUTED_VALUE"""),"12.9872/77.5901")</f>
        <v>12.9872/77.5901</v>
      </c>
      <c r="H137" s="1" t="str">
        <f ca="1">IFERROR(__xludf.DUMMYFUNCTION("""COMPUTED_VALUE"""),"Hotel Chalukya")</f>
        <v>Hotel Chalukya</v>
      </c>
      <c r="I137" s="1"/>
      <c r="J137" s="1" t="str">
        <f ca="1">IFERROR(__xludf.DUMMYFUNCTION("""COMPUTED_VALUE"""),"0d 00h 00m")</f>
        <v>0d 00h 00m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>
      <c r="A138" s="1">
        <f ca="1">IFERROR(__xludf.DUMMYFUNCTION("""COMPUTED_VALUE"""),107)</f>
        <v>107</v>
      </c>
      <c r="B138" s="1" t="str">
        <f ca="1">IFERROR(__xludf.DUMMYFUNCTION("""COMPUTED_VALUE"""),"C2_KA04D4107_Jetting")</f>
        <v>C2_KA04D4107_Jetting</v>
      </c>
      <c r="C138" s="1" t="str">
        <f ca="1">IFERROR(__xludf.DUMMYFUNCTION("""COMPUTED_VALUE"""),"c2_ka04d4107_jetting")</f>
        <v>c2_ka04d4107_jetting</v>
      </c>
      <c r="D138" s="2">
        <f ca="1">IFERROR(__xludf.DUMMYFUNCTION("""COMPUTED_VALUE"""),44785)</f>
        <v>44785</v>
      </c>
      <c r="E138" s="3">
        <f ca="1">IFERROR(__xludf.DUMMYFUNCTION("""COMPUTED_VALUE"""),0.348796296297223)</f>
        <v>0.34879629629722297</v>
      </c>
      <c r="F138" s="1">
        <f ca="1">IFERROR(__xludf.DUMMYFUNCTION("""COMPUTED_VALUE"""),17039)</f>
        <v>17039</v>
      </c>
      <c r="G138" s="1" t="str">
        <f ca="1">IFERROR(__xludf.DUMMYFUNCTION("""COMPUTED_VALUE"""),"13.0102/77.5665")</f>
        <v>13.0102/77.5665</v>
      </c>
      <c r="H138" s="1" t="str">
        <f ca="1">IFERROR(__xludf.DUMMYFUNCTION("""COMPUTED_VALUE"""),"Malleshwaram")</f>
        <v>Malleshwaram</v>
      </c>
      <c r="I138" s="1"/>
      <c r="J138" s="1" t="str">
        <f ca="1">IFERROR(__xludf.DUMMYFUNCTION("""COMPUTED_VALUE"""),"0d 00h 00m")</f>
        <v>0d 00h 00m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>
      <c r="A139" s="1">
        <f ca="1">IFERROR(__xludf.DUMMYFUNCTION("""COMPUTED_VALUE"""),69)</f>
        <v>69</v>
      </c>
      <c r="B139" s="1" t="str">
        <f ca="1">IFERROR(__xludf.DUMMYFUNCTION("""COMPUTED_VALUE"""),"C2_KA04D4107_Jetting")</f>
        <v>C2_KA04D4107_Jetting</v>
      </c>
      <c r="C139" s="1" t="str">
        <f ca="1">IFERROR(__xludf.DUMMYFUNCTION("""COMPUTED_VALUE"""),"c2_ka04d4107_jetting")</f>
        <v>c2_ka04d4107_jetting</v>
      </c>
      <c r="D139" s="2">
        <f ca="1">IFERROR(__xludf.DUMMYFUNCTION("""COMPUTED_VALUE"""),44785)</f>
        <v>44785</v>
      </c>
      <c r="E139" s="3">
        <f ca="1">IFERROR(__xludf.DUMMYFUNCTION("""COMPUTED_VALUE"""),0.348796296297223)</f>
        <v>0.34879629629722297</v>
      </c>
      <c r="F139" s="1">
        <f ca="1">IFERROR(__xludf.DUMMYFUNCTION("""COMPUTED_VALUE"""),17039)</f>
        <v>17039</v>
      </c>
      <c r="G139" s="1" t="str">
        <f ca="1">IFERROR(__xludf.DUMMYFUNCTION("""COMPUTED_VALUE"""),"13.0102/77.5665")</f>
        <v>13.0102/77.5665</v>
      </c>
      <c r="H139" s="1" t="str">
        <f ca="1">IFERROR(__xludf.DUMMYFUNCTION("""COMPUTED_VALUE"""),"Malleshwaram")</f>
        <v>Malleshwaram</v>
      </c>
      <c r="I139" s="1"/>
      <c r="J139" s="1" t="str">
        <f ca="1">IFERROR(__xludf.DUMMYFUNCTION("""COMPUTED_VALUE"""),"0d 00h 00m")</f>
        <v>0d 00h 00m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>
      <c r="A140" s="1">
        <f ca="1">IFERROR(__xludf.DUMMYFUNCTION("""COMPUTED_VALUE"""),193)</f>
        <v>193</v>
      </c>
      <c r="B140" s="1" t="str">
        <f ca="1">IFERROR(__xludf.DUMMYFUNCTION("""COMPUTED_VALUE"""),"C2_KA04D4107_Jetting")</f>
        <v>C2_KA04D4107_Jetting</v>
      </c>
      <c r="C140" s="1" t="str">
        <f ca="1">IFERROR(__xludf.DUMMYFUNCTION("""COMPUTED_VALUE"""),"c2_ka04d4107_jetting")</f>
        <v>c2_ka04d4107_jetting</v>
      </c>
      <c r="D140" s="2">
        <f ca="1">IFERROR(__xludf.DUMMYFUNCTION("""COMPUTED_VALUE"""),44860)</f>
        <v>44860</v>
      </c>
      <c r="E140" s="3">
        <f ca="1">IFERROR(__xludf.DUMMYFUNCTION("""COMPUTED_VALUE"""),0.999131944445252)</f>
        <v>0.999131944445252</v>
      </c>
      <c r="F140" s="1">
        <f ca="1">IFERROR(__xludf.DUMMYFUNCTION("""COMPUTED_VALUE"""),17329)</f>
        <v>17329</v>
      </c>
      <c r="G140" s="1" t="str">
        <f ca="1">IFERROR(__xludf.DUMMYFUNCTION("""COMPUTED_VALUE"""),"12.9872/77.5900")</f>
        <v>12.9872/77.5900</v>
      </c>
      <c r="H140" s="1" t="str">
        <f ca="1">IFERROR(__xludf.DUMMYFUNCTION("""COMPUTED_VALUE"""),"Hotel Chalukya")</f>
        <v>Hotel Chalukya</v>
      </c>
      <c r="I140" s="1"/>
      <c r="J140" s="1" t="str">
        <f ca="1">IFERROR(__xludf.DUMMYFUNCTION("""COMPUTED_VALUE"""),"0d 00h 00m")</f>
        <v>0d 00h 00m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>
      <c r="A141" s="1">
        <f ca="1">IFERROR(__xludf.DUMMYFUNCTION("""COMPUTED_VALUE"""),169)</f>
        <v>169</v>
      </c>
      <c r="B141" s="1" t="str">
        <f ca="1">IFERROR(__xludf.DUMMYFUNCTION("""COMPUTED_VALUE"""),"C2_KA04D5121_Tanker")</f>
        <v>C2_KA04D5121_Tanker</v>
      </c>
      <c r="C141" s="1" t="str">
        <f ca="1">IFERROR(__xludf.DUMMYFUNCTION("""COMPUTED_VALUE"""),"c2_ka04d5121_tanker")</f>
        <v>c2_ka04d5121_tanker</v>
      </c>
      <c r="D141" s="2">
        <f ca="1">IFERROR(__xludf.DUMMYFUNCTION("""COMPUTED_VALUE"""),44707)</f>
        <v>44707</v>
      </c>
      <c r="E141" s="3">
        <f ca="1">IFERROR(__xludf.DUMMYFUNCTION("""COMPUTED_VALUE"""),0.999027777776063)</f>
        <v>0.999027777776063</v>
      </c>
      <c r="F141" s="1">
        <f ca="1">IFERROR(__xludf.DUMMYFUNCTION("""COMPUTED_VALUE"""),10009)</f>
        <v>10009</v>
      </c>
      <c r="G141" s="1" t="str">
        <f ca="1">IFERROR(__xludf.DUMMYFUNCTION("""COMPUTED_VALUE"""),"12.9873/77.5899")</f>
        <v>12.9873/77.5899</v>
      </c>
      <c r="H141" s="1" t="str">
        <f ca="1">IFERROR(__xludf.DUMMYFUNCTION("""COMPUTED_VALUE"""),"Hotel Chalukya")</f>
        <v>Hotel Chalukya</v>
      </c>
      <c r="I141" s="1"/>
      <c r="J141" s="1" t="str">
        <f ca="1">IFERROR(__xludf.DUMMYFUNCTION("""COMPUTED_VALUE"""),"0d 00h 00m")</f>
        <v>0d 00h 00m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>
      <c r="A142" s="1">
        <f ca="1">IFERROR(__xludf.DUMMYFUNCTION("""COMPUTED_VALUE"""),166)</f>
        <v>166</v>
      </c>
      <c r="B142" s="1" t="str">
        <f ca="1">IFERROR(__xludf.DUMMYFUNCTION("""COMPUTED_VALUE"""),"C2_KA04D5121_Tanker")</f>
        <v>C2_KA04D5121_Tanker</v>
      </c>
      <c r="C142" s="1" t="str">
        <f ca="1">IFERROR(__xludf.DUMMYFUNCTION("""COMPUTED_VALUE"""),"c2_ka04d5121_tanker")</f>
        <v>c2_ka04d5121_tanker</v>
      </c>
      <c r="D142" s="2">
        <f ca="1">IFERROR(__xludf.DUMMYFUNCTION("""COMPUTED_VALUE"""),44738)</f>
        <v>44738</v>
      </c>
      <c r="E142" s="3">
        <f ca="1">IFERROR(__xludf.DUMMYFUNCTION("""COMPUTED_VALUE"""),0.99900462962978)</f>
        <v>0.99900462962977998</v>
      </c>
      <c r="F142" s="1">
        <f ca="1">IFERROR(__xludf.DUMMYFUNCTION("""COMPUTED_VALUE"""),10093)</f>
        <v>10093</v>
      </c>
      <c r="G142" s="1" t="str">
        <f ca="1">IFERROR(__xludf.DUMMYFUNCTION("""COMPUTED_VALUE"""),"12.9874/77.5896")</f>
        <v>12.9874/77.5896</v>
      </c>
      <c r="H142" s="1" t="str">
        <f ca="1">IFERROR(__xludf.DUMMYFUNCTION("""COMPUTED_VALUE"""),"Hotel Chalukya")</f>
        <v>Hotel Chalukya</v>
      </c>
      <c r="I142" s="1"/>
      <c r="J142" s="1" t="str">
        <f ca="1">IFERROR(__xludf.DUMMYFUNCTION("""COMPUTED_VALUE"""),"0d 00h 00m")</f>
        <v>0d 00h 00m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>
      <c r="A143" s="1">
        <f ca="1">IFERROR(__xludf.DUMMYFUNCTION("""COMPUTED_VALUE"""),217)</f>
        <v>217</v>
      </c>
      <c r="B143" s="1" t="str">
        <f ca="1">IFERROR(__xludf.DUMMYFUNCTION("""COMPUTED_VALUE"""),"C2_KA04D5121_Tanker")</f>
        <v>C2_KA04D5121_Tanker</v>
      </c>
      <c r="C143" s="1" t="str">
        <f ca="1">IFERROR(__xludf.DUMMYFUNCTION("""COMPUTED_VALUE"""),"c2_ka04d5121_tanker")</f>
        <v>c2_ka04d5121_tanker</v>
      </c>
      <c r="D143" s="2">
        <f ca="1">IFERROR(__xludf.DUMMYFUNCTION("""COMPUTED_VALUE"""),44768)</f>
        <v>44768</v>
      </c>
      <c r="E143" s="3">
        <f ca="1">IFERROR(__xludf.DUMMYFUNCTION("""COMPUTED_VALUE"""),0.999224537037662)</f>
        <v>0.99922453703766201</v>
      </c>
      <c r="F143" s="1">
        <f ca="1">IFERROR(__xludf.DUMMYFUNCTION("""COMPUTED_VALUE"""),10183)</f>
        <v>10183</v>
      </c>
      <c r="G143" s="1" t="str">
        <f ca="1">IFERROR(__xludf.DUMMYFUNCTION("""COMPUTED_VALUE"""),"12.9874/77.5895")</f>
        <v>12.9874/77.5895</v>
      </c>
      <c r="H143" s="1" t="str">
        <f ca="1">IFERROR(__xludf.DUMMYFUNCTION("""COMPUTED_VALUE"""),"Hotel Chalukya")</f>
        <v>Hotel Chalukya</v>
      </c>
      <c r="I143" s="1"/>
      <c r="J143" s="1" t="str">
        <f ca="1">IFERROR(__xludf.DUMMYFUNCTION("""COMPUTED_VALUE"""),"0d 00h 00m")</f>
        <v>0d 00h 00m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>
      <c r="A144" s="1">
        <f ca="1">IFERROR(__xludf.DUMMYFUNCTION("""COMPUTED_VALUE"""),169)</f>
        <v>169</v>
      </c>
      <c r="B144" s="1" t="str">
        <f ca="1">IFERROR(__xludf.DUMMYFUNCTION("""COMPUTED_VALUE"""),"C2_KA04D5121_Tanker")</f>
        <v>C2_KA04D5121_Tanker</v>
      </c>
      <c r="C144" s="1" t="str">
        <f ca="1">IFERROR(__xludf.DUMMYFUNCTION("""COMPUTED_VALUE"""),"c2_ka04d5121_tanker")</f>
        <v>c2_ka04d5121_tanker</v>
      </c>
      <c r="D144" s="2">
        <f ca="1">IFERROR(__xludf.DUMMYFUNCTION("""COMPUTED_VALUE"""),44799)</f>
        <v>44799</v>
      </c>
      <c r="E144" s="3">
        <f ca="1">IFERROR(__xludf.DUMMYFUNCTION("""COMPUTED_VALUE"""),0.998865740741166)</f>
        <v>0.99886574074116596</v>
      </c>
      <c r="F144" s="1">
        <f ca="1">IFERROR(__xludf.DUMMYFUNCTION("""COMPUTED_VALUE"""),10443)</f>
        <v>10443</v>
      </c>
      <c r="G144" s="1" t="str">
        <f ca="1">IFERROR(__xludf.DUMMYFUNCTION("""COMPUTED_VALUE"""),"13.0103/77.5665")</f>
        <v>13.0103/77.5665</v>
      </c>
      <c r="H144" s="1" t="str">
        <f ca="1">IFERROR(__xludf.DUMMYFUNCTION("""COMPUTED_VALUE"""),"Malleshwaram")</f>
        <v>Malleshwaram</v>
      </c>
      <c r="I144" s="1"/>
      <c r="J144" s="1" t="str">
        <f ca="1">IFERROR(__xludf.DUMMYFUNCTION("""COMPUTED_VALUE"""),"0d 00h 00m")</f>
        <v>0d 00h 00m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>
      <c r="A145" s="1">
        <f ca="1">IFERROR(__xludf.DUMMYFUNCTION("""COMPUTED_VALUE"""),192)</f>
        <v>192</v>
      </c>
      <c r="B145" s="1" t="str">
        <f ca="1">IFERROR(__xludf.DUMMYFUNCTION("""COMPUTED_VALUE"""),"C2_KA04D5121_Tanker")</f>
        <v>C2_KA04D5121_Tanker</v>
      </c>
      <c r="C145" s="1" t="str">
        <f ca="1">IFERROR(__xludf.DUMMYFUNCTION("""COMPUTED_VALUE"""),"c2_ka04d5121_tanker")</f>
        <v>c2_ka04d5121_tanker</v>
      </c>
      <c r="D145" s="2">
        <f ca="1">IFERROR(__xludf.DUMMYFUNCTION("""COMPUTED_VALUE"""),44830)</f>
        <v>44830</v>
      </c>
      <c r="E145" s="3">
        <f ca="1">IFERROR(__xludf.DUMMYFUNCTION("""COMPUTED_VALUE"""),0.999097222222189)</f>
        <v>0.999097222222189</v>
      </c>
      <c r="F145" s="1">
        <f ca="1">IFERROR(__xludf.DUMMYFUNCTION("""COMPUTED_VALUE"""),10798)</f>
        <v>10798</v>
      </c>
      <c r="G145" s="1" t="str">
        <f ca="1">IFERROR(__xludf.DUMMYFUNCTION("""COMPUTED_VALUE"""),"12.9873/77.5897")</f>
        <v>12.9873/77.5897</v>
      </c>
      <c r="H145" s="1" t="str">
        <f ca="1">IFERROR(__xludf.DUMMYFUNCTION("""COMPUTED_VALUE"""),"Hotel Chalukya")</f>
        <v>Hotel Chalukya</v>
      </c>
      <c r="I145" s="1"/>
      <c r="J145" s="1" t="str">
        <f ca="1">IFERROR(__xludf.DUMMYFUNCTION("""COMPUTED_VALUE"""),"0d 00h 00m")</f>
        <v>0d 00h 00m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>
      <c r="A146" s="1">
        <f ca="1">IFERROR(__xludf.DUMMYFUNCTION("""COMPUTED_VALUE"""),200)</f>
        <v>200</v>
      </c>
      <c r="B146" s="1" t="str">
        <f ca="1">IFERROR(__xludf.DUMMYFUNCTION("""COMPUTED_VALUE"""),"C2_KA04D5121_Tanker")</f>
        <v>C2_KA04D5121_Tanker</v>
      </c>
      <c r="C146" s="1" t="str">
        <f ca="1">IFERROR(__xludf.DUMMYFUNCTION("""COMPUTED_VALUE"""),"c2_ka04d5121_tanker")</f>
        <v>c2_ka04d5121_tanker</v>
      </c>
      <c r="D146" s="2">
        <f ca="1">IFERROR(__xludf.DUMMYFUNCTION("""COMPUTED_VALUE"""),44860)</f>
        <v>44860</v>
      </c>
      <c r="E146" s="3">
        <f ca="1">IFERROR(__xludf.DUMMYFUNCTION("""COMPUTED_VALUE"""),0.999155092591536)</f>
        <v>0.99915509259153601</v>
      </c>
      <c r="F146" s="1">
        <f ca="1">IFERROR(__xludf.DUMMYFUNCTION("""COMPUTED_VALUE"""),10883)</f>
        <v>10883</v>
      </c>
      <c r="G146" s="1" t="str">
        <f ca="1">IFERROR(__xludf.DUMMYFUNCTION("""COMPUTED_VALUE"""),"12.9873/77.5896")</f>
        <v>12.9873/77.5896</v>
      </c>
      <c r="H146" s="1" t="str">
        <f ca="1">IFERROR(__xludf.DUMMYFUNCTION("""COMPUTED_VALUE"""),"Hotel Chalukya")</f>
        <v>Hotel Chalukya</v>
      </c>
      <c r="I146" s="1"/>
      <c r="J146" s="1" t="str">
        <f ca="1">IFERROR(__xludf.DUMMYFUNCTION("""COMPUTED_VALUE"""),"0d 00h 00m")</f>
        <v>0d 00h 00m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>
      <c r="A147" s="1">
        <f ca="1">IFERROR(__xludf.DUMMYFUNCTION("""COMPUTED_VALUE"""),194)</f>
        <v>194</v>
      </c>
      <c r="B147" s="1" t="str">
        <f ca="1">IFERROR(__xludf.DUMMYFUNCTION("""COMPUTED_VALUE"""),"C2_KA0D17292_Jetting")</f>
        <v>C2_KA0D17292_Jetting</v>
      </c>
      <c r="C147" s="1" t="str">
        <f ca="1">IFERROR(__xludf.DUMMYFUNCTION("""COMPUTED_VALUE"""),"c2_ka0d17279_jetting")</f>
        <v>c2_ka0d17279_jetting</v>
      </c>
      <c r="D147" s="2">
        <f ca="1">IFERROR(__xludf.DUMMYFUNCTION("""COMPUTED_VALUE"""),44707)</f>
        <v>44707</v>
      </c>
      <c r="E147" s="3">
        <f ca="1">IFERROR(__xludf.DUMMYFUNCTION("""COMPUTED_VALUE"""),0.999178240741457)</f>
        <v>0.999178240741457</v>
      </c>
      <c r="F147" s="1">
        <f ca="1">IFERROR(__xludf.DUMMYFUNCTION("""COMPUTED_VALUE"""),17817)</f>
        <v>17817</v>
      </c>
      <c r="G147" s="1" t="str">
        <f ca="1">IFERROR(__xludf.DUMMYFUNCTION("""COMPUTED_VALUE"""),"12.9874/77.5894")</f>
        <v>12.9874/77.5894</v>
      </c>
      <c r="H147" s="1" t="str">
        <f ca="1">IFERROR(__xludf.DUMMYFUNCTION("""COMPUTED_VALUE"""),"Hotel Chalukya")</f>
        <v>Hotel Chalukya</v>
      </c>
      <c r="I147" s="1"/>
      <c r="J147" s="1" t="str">
        <f ca="1">IFERROR(__xludf.DUMMYFUNCTION("""COMPUTED_VALUE"""),"0d 00h 00m")</f>
        <v>0d 00h 00m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>
      <c r="A148" s="1">
        <f ca="1">IFERROR(__xludf.DUMMYFUNCTION("""COMPUTED_VALUE"""),226)</f>
        <v>226</v>
      </c>
      <c r="B148" s="1" t="str">
        <f ca="1">IFERROR(__xludf.DUMMYFUNCTION("""COMPUTED_VALUE"""),"C2_KA0D17292_Jetting")</f>
        <v>C2_KA0D17292_Jetting</v>
      </c>
      <c r="C148" s="1" t="str">
        <f ca="1">IFERROR(__xludf.DUMMYFUNCTION("""COMPUTED_VALUE"""),"c2_ka0d17279_jetting")</f>
        <v>c2_ka0d17279_jetting</v>
      </c>
      <c r="D148" s="2">
        <f ca="1">IFERROR(__xludf.DUMMYFUNCTION("""COMPUTED_VALUE"""),44738)</f>
        <v>44738</v>
      </c>
      <c r="E148" s="3">
        <f ca="1">IFERROR(__xludf.DUMMYFUNCTION("""COMPUTED_VALUE"""),0.999270833333866)</f>
        <v>0.99927083333386602</v>
      </c>
      <c r="F148" s="1">
        <f ca="1">IFERROR(__xludf.DUMMYFUNCTION("""COMPUTED_VALUE"""),18010)</f>
        <v>18010</v>
      </c>
      <c r="G148" s="1" t="str">
        <f ca="1">IFERROR(__xludf.DUMMYFUNCTION("""COMPUTED_VALUE"""),"12.9876/77.5893")</f>
        <v>12.9876/77.5893</v>
      </c>
      <c r="H148" s="1" t="str">
        <f ca="1">IFERROR(__xludf.DUMMYFUNCTION("""COMPUTED_VALUE"""),"Hotel Chalukya")</f>
        <v>Hotel Chalukya</v>
      </c>
      <c r="I148" s="1"/>
      <c r="J148" s="1" t="str">
        <f ca="1">IFERROR(__xludf.DUMMYFUNCTION("""COMPUTED_VALUE"""),"0d 00h 00m")</f>
        <v>0d 00h 00m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>
      <c r="A149" s="1">
        <f ca="1">IFERROR(__xludf.DUMMYFUNCTION("""COMPUTED_VALUE"""),174)</f>
        <v>174</v>
      </c>
      <c r="B149" s="1" t="str">
        <f ca="1">IFERROR(__xludf.DUMMYFUNCTION("""COMPUTED_VALUE"""),"C2_KA0D17292_Jetting")</f>
        <v>C2_KA0D17292_Jetting</v>
      </c>
      <c r="C149" s="1" t="str">
        <f ca="1">IFERROR(__xludf.DUMMYFUNCTION("""COMPUTED_VALUE"""),"c2_ka0d17279_jetting")</f>
        <v>c2_ka0d17279_jetting</v>
      </c>
      <c r="D149" s="2">
        <f ca="1">IFERROR(__xludf.DUMMYFUNCTION("""COMPUTED_VALUE"""),44768)</f>
        <v>44768</v>
      </c>
      <c r="E149" s="3">
        <f ca="1">IFERROR(__xludf.DUMMYFUNCTION("""COMPUTED_VALUE"""),0.999016203702922)</f>
        <v>0.99901620370292199</v>
      </c>
      <c r="F149" s="1">
        <f ca="1">IFERROR(__xludf.DUMMYFUNCTION("""COMPUTED_VALUE"""),18256)</f>
        <v>18256</v>
      </c>
      <c r="G149" s="1" t="str">
        <f ca="1">IFERROR(__xludf.DUMMYFUNCTION("""COMPUTED_VALUE"""),"12.9875/77.5894")</f>
        <v>12.9875/77.5894</v>
      </c>
      <c r="H149" s="1" t="str">
        <f ca="1">IFERROR(__xludf.DUMMYFUNCTION("""COMPUTED_VALUE"""),"Hotel Chalukya")</f>
        <v>Hotel Chalukya</v>
      </c>
      <c r="I149" s="1"/>
      <c r="J149" s="1" t="str">
        <f ca="1">IFERROR(__xludf.DUMMYFUNCTION("""COMPUTED_VALUE"""),"0d 00h 00m")</f>
        <v>0d 00h 00m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>
      <c r="A150" s="1">
        <f ca="1">IFERROR(__xludf.DUMMYFUNCTION("""COMPUTED_VALUE"""),131)</f>
        <v>131</v>
      </c>
      <c r="B150" s="1" t="str">
        <f ca="1">IFERROR(__xludf.DUMMYFUNCTION("""COMPUTED_VALUE"""),"C2_KA0D17292_Jetting")</f>
        <v>C2_KA0D17292_Jetting</v>
      </c>
      <c r="C150" s="1" t="str">
        <f ca="1">IFERROR(__xludf.DUMMYFUNCTION("""COMPUTED_VALUE"""),"c2_ka0d17279_jetting")</f>
        <v>c2_ka0d17279_jetting</v>
      </c>
      <c r="D150" s="2">
        <f ca="1">IFERROR(__xludf.DUMMYFUNCTION("""COMPUTED_VALUE"""),44795)</f>
        <v>44795</v>
      </c>
      <c r="E150" s="3">
        <f ca="1">IFERROR(__xludf.DUMMYFUNCTION("""COMPUTED_VALUE"""),0.56972222222248)</f>
        <v>0.56972222222248003</v>
      </c>
      <c r="F150" s="1">
        <f ca="1">IFERROR(__xludf.DUMMYFUNCTION("""COMPUTED_VALUE"""),18440)</f>
        <v>18440</v>
      </c>
      <c r="G150" s="1" t="str">
        <f ca="1">IFERROR(__xludf.DUMMYFUNCTION("""COMPUTED_VALUE"""),"13.0101/77.5665")</f>
        <v>13.0101/77.5665</v>
      </c>
      <c r="H150" s="1" t="str">
        <f ca="1">IFERROR(__xludf.DUMMYFUNCTION("""COMPUTED_VALUE"""),"Malleshwaram")</f>
        <v>Malleshwaram</v>
      </c>
      <c r="I150" s="1"/>
      <c r="J150" s="1" t="str">
        <f ca="1">IFERROR(__xludf.DUMMYFUNCTION("""COMPUTED_VALUE"""),"0d 00h 00m")</f>
        <v>0d 00h 00m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>
      <c r="A151" s="1">
        <f ca="1">IFERROR(__xludf.DUMMYFUNCTION("""COMPUTED_VALUE"""),182)</f>
        <v>182</v>
      </c>
      <c r="B151" s="1" t="str">
        <f ca="1">IFERROR(__xludf.DUMMYFUNCTION("""COMPUTED_VALUE"""),"C2_KA0D17292_Jetting")</f>
        <v>C2_KA0D17292_Jetting</v>
      </c>
      <c r="C151" s="1" t="str">
        <f ca="1">IFERROR(__xludf.DUMMYFUNCTION("""COMPUTED_VALUE"""),"c2_ka0d17279_jetting")</f>
        <v>c2_ka0d17279_jetting</v>
      </c>
      <c r="D151" s="2">
        <f ca="1">IFERROR(__xludf.DUMMYFUNCTION("""COMPUTED_VALUE"""),44830)</f>
        <v>44830</v>
      </c>
      <c r="E151" s="3">
        <f ca="1">IFERROR(__xludf.DUMMYFUNCTION("""COMPUTED_VALUE"""),0.999074074072268)</f>
        <v>0.999074074072268</v>
      </c>
      <c r="F151" s="1">
        <f ca="1">IFERROR(__xludf.DUMMYFUNCTION("""COMPUTED_VALUE"""),18604)</f>
        <v>18604</v>
      </c>
      <c r="G151" s="1" t="str">
        <f ca="1">IFERROR(__xludf.DUMMYFUNCTION("""COMPUTED_VALUE"""),"12.9874/77.5894")</f>
        <v>12.9874/77.5894</v>
      </c>
      <c r="H151" s="1" t="str">
        <f ca="1">IFERROR(__xludf.DUMMYFUNCTION("""COMPUTED_VALUE"""),"Hotel Chalukya")</f>
        <v>Hotel Chalukya</v>
      </c>
      <c r="I151" s="1"/>
      <c r="J151" s="1" t="str">
        <f ca="1">IFERROR(__xludf.DUMMYFUNCTION("""COMPUTED_VALUE"""),"0d 00h 00m")</f>
        <v>0d 00h 00m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>
      <c r="A152" s="1">
        <f ca="1">IFERROR(__xludf.DUMMYFUNCTION("""COMPUTED_VALUE"""),223)</f>
        <v>223</v>
      </c>
      <c r="B152" s="1" t="str">
        <f ca="1">IFERROR(__xludf.DUMMYFUNCTION("""COMPUTED_VALUE"""),"C2_KA0D17292_Jetting")</f>
        <v>C2_KA0D17292_Jetting</v>
      </c>
      <c r="C152" s="1" t="str">
        <f ca="1">IFERROR(__xludf.DUMMYFUNCTION("""COMPUTED_VALUE"""),"c2_ka0d17279_jetting")</f>
        <v>c2_ka0d17279_jetting</v>
      </c>
      <c r="D152" s="2">
        <f ca="1">IFERROR(__xludf.DUMMYFUNCTION("""COMPUTED_VALUE"""),44860)</f>
        <v>44860</v>
      </c>
      <c r="E152" s="3">
        <f ca="1">IFERROR(__xludf.DUMMYFUNCTION("""COMPUTED_VALUE"""),0.999247685183945)</f>
        <v>0.99924768518394502</v>
      </c>
      <c r="F152" s="1">
        <f ca="1">IFERROR(__xludf.DUMMYFUNCTION("""COMPUTED_VALUE"""),18766)</f>
        <v>18766</v>
      </c>
      <c r="G152" s="1" t="str">
        <f ca="1">IFERROR(__xludf.DUMMYFUNCTION("""COMPUTED_VALUE"""),"12.9873/77.5893")</f>
        <v>12.9873/77.5893</v>
      </c>
      <c r="H152" s="1" t="str">
        <f ca="1">IFERROR(__xludf.DUMMYFUNCTION("""COMPUTED_VALUE"""),"Hotel Chalukya")</f>
        <v>Hotel Chalukya</v>
      </c>
      <c r="I152" s="1"/>
      <c r="J152" s="1" t="str">
        <f ca="1">IFERROR(__xludf.DUMMYFUNCTION("""COMPUTED_VALUE"""),"0d 00h 00m")</f>
        <v>0d 00h 00m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>
      <c r="A153" s="1">
        <f ca="1">IFERROR(__xludf.DUMMYFUNCTION("""COMPUTED_VALUE"""),152)</f>
        <v>152</v>
      </c>
      <c r="B153" s="1" t="str">
        <f ca="1">IFERROR(__xludf.DUMMYFUNCTION("""COMPUTED_VALUE"""),"C3_KA02AC5935_Jetting")</f>
        <v>C3_KA02AC5935_Jetting</v>
      </c>
      <c r="C153" s="1" t="str">
        <f ca="1">IFERROR(__xludf.DUMMYFUNCTION("""COMPUTED_VALUE"""),"c3_ka02ac5935_jetting")</f>
        <v>c3_ka02ac5935_jetting</v>
      </c>
      <c r="D153" s="2">
        <f ca="1">IFERROR(__xludf.DUMMYFUNCTION("""COMPUTED_VALUE"""),44707)</f>
        <v>44707</v>
      </c>
      <c r="E153" s="3">
        <f ca="1">IFERROR(__xludf.DUMMYFUNCTION("""COMPUTED_VALUE"""),0.998842592591245)</f>
        <v>0.99884259259124497</v>
      </c>
      <c r="F153" s="1">
        <f ca="1">IFERROR(__xludf.DUMMYFUNCTION("""COMPUTED_VALUE"""),19163)</f>
        <v>19163</v>
      </c>
      <c r="G153" s="1" t="str">
        <f ca="1">IFERROR(__xludf.DUMMYFUNCTION("""COMPUTED_VALUE"""),"13.0015/77.6275")</f>
        <v>13.0015/77.6275</v>
      </c>
      <c r="H153" s="1" t="str">
        <f ca="1">IFERROR(__xludf.DUMMYFUNCTION("""COMPUTED_VALUE"""),"Seva Nagar")</f>
        <v>Seva Nagar</v>
      </c>
      <c r="I153" s="1"/>
      <c r="J153" s="1" t="str">
        <f ca="1">IFERROR(__xludf.DUMMYFUNCTION("""COMPUTED_VALUE"""),"0d 00h 01m")</f>
        <v>0d 00h 01m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>
      <c r="A154" s="1">
        <f ca="1">IFERROR(__xludf.DUMMYFUNCTION("""COMPUTED_VALUE"""),68)</f>
        <v>68</v>
      </c>
      <c r="B154" s="1" t="str">
        <f ca="1">IFERROR(__xludf.DUMMYFUNCTION("""COMPUTED_VALUE"""),"C3_KA02AC5935_Jetting")</f>
        <v>C3_KA02AC5935_Jetting</v>
      </c>
      <c r="C154" s="1" t="str">
        <f ca="1">IFERROR(__xludf.DUMMYFUNCTION("""COMPUTED_VALUE"""),"c3_ka02ac5935_jetting")</f>
        <v>c3_ka02ac5935_jetting</v>
      </c>
      <c r="D154" s="2">
        <f ca="1">IFERROR(__xludf.DUMMYFUNCTION("""COMPUTED_VALUE"""),44715)</f>
        <v>44715</v>
      </c>
      <c r="E154" s="3">
        <f ca="1">IFERROR(__xludf.DUMMYFUNCTION("""COMPUTED_VALUE"""),0.333946759259561)</f>
        <v>0.33394675925956102</v>
      </c>
      <c r="F154" s="1">
        <f ca="1">IFERROR(__xludf.DUMMYFUNCTION("""COMPUTED_VALUE"""),19217)</f>
        <v>19217</v>
      </c>
      <c r="G154" s="1" t="str">
        <f ca="1">IFERROR(__xludf.DUMMYFUNCTION("""COMPUTED_VALUE"""),"13.0014/77.6274")</f>
        <v>13.0014/77.6274</v>
      </c>
      <c r="H154" s="1" t="str">
        <f ca="1">IFERROR(__xludf.DUMMYFUNCTION("""COMPUTED_VALUE"""),"Seva Nagar")</f>
        <v>Seva Nagar</v>
      </c>
      <c r="I154" s="1"/>
      <c r="J154" s="1" t="str">
        <f ca="1">IFERROR(__xludf.DUMMYFUNCTION("""COMPUTED_VALUE"""),"0d 00h 00m")</f>
        <v>0d 00h 00m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>
      <c r="A155" s="1">
        <f ca="1">IFERROR(__xludf.DUMMYFUNCTION("""COMPUTED_VALUE"""),54)</f>
        <v>54</v>
      </c>
      <c r="B155" s="1" t="str">
        <f ca="1">IFERROR(__xludf.DUMMYFUNCTION("""COMPUTED_VALUE"""),"C3_KA02AC5935_Jetting")</f>
        <v>C3_KA02AC5935_Jetting</v>
      </c>
      <c r="C155" s="1" t="str">
        <f ca="1">IFERROR(__xludf.DUMMYFUNCTION("""COMPUTED_VALUE"""),"c3_ka02ac5935_jetting")</f>
        <v>c3_ka02ac5935_jetting</v>
      </c>
      <c r="D155" s="2">
        <f ca="1">IFERROR(__xludf.DUMMYFUNCTION("""COMPUTED_VALUE"""),44715)</f>
        <v>44715</v>
      </c>
      <c r="E155" s="3">
        <f ca="1">IFERROR(__xludf.DUMMYFUNCTION("""COMPUTED_VALUE"""),0.333946759259561)</f>
        <v>0.33394675925956102</v>
      </c>
      <c r="F155" s="1">
        <f ca="1">IFERROR(__xludf.DUMMYFUNCTION("""COMPUTED_VALUE"""),19217)</f>
        <v>19217</v>
      </c>
      <c r="G155" s="1" t="str">
        <f ca="1">IFERROR(__xludf.DUMMYFUNCTION("""COMPUTED_VALUE"""),"13.0014/77.6274")</f>
        <v>13.0014/77.6274</v>
      </c>
      <c r="H155" s="1" t="str">
        <f ca="1">IFERROR(__xludf.DUMMYFUNCTION("""COMPUTED_VALUE"""),"Seva Nagar")</f>
        <v>Seva Nagar</v>
      </c>
      <c r="I155" s="1"/>
      <c r="J155" s="1" t="str">
        <f ca="1">IFERROR(__xludf.DUMMYFUNCTION("""COMPUTED_VALUE"""),"0d 00h 00m")</f>
        <v>0d 00h 00m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>
      <c r="A156" s="1">
        <f ca="1">IFERROR(__xludf.DUMMYFUNCTION("""COMPUTED_VALUE"""),53)</f>
        <v>53</v>
      </c>
      <c r="B156" s="1" t="str">
        <f ca="1">IFERROR(__xludf.DUMMYFUNCTION("""COMPUTED_VALUE"""),"C3_KA02AC5935_Jetting")</f>
        <v>C3_KA02AC5935_Jetting</v>
      </c>
      <c r="C156" s="1" t="str">
        <f ca="1">IFERROR(__xludf.DUMMYFUNCTION("""COMPUTED_VALUE"""),"c3_ka02ac5935_jetting")</f>
        <v>c3_ka02ac5935_jetting</v>
      </c>
      <c r="D156" s="2">
        <f ca="1">IFERROR(__xludf.DUMMYFUNCTION("""COMPUTED_VALUE"""),44715)</f>
        <v>44715</v>
      </c>
      <c r="E156" s="3">
        <f ca="1">IFERROR(__xludf.DUMMYFUNCTION("""COMPUTED_VALUE"""),0.333946759259561)</f>
        <v>0.33394675925956102</v>
      </c>
      <c r="F156" s="1">
        <f ca="1">IFERROR(__xludf.DUMMYFUNCTION("""COMPUTED_VALUE"""),19217)</f>
        <v>19217</v>
      </c>
      <c r="G156" s="1" t="str">
        <f ca="1">IFERROR(__xludf.DUMMYFUNCTION("""COMPUTED_VALUE"""),"13.0014/77.6274")</f>
        <v>13.0014/77.6274</v>
      </c>
      <c r="H156" s="1" t="str">
        <f ca="1">IFERROR(__xludf.DUMMYFUNCTION("""COMPUTED_VALUE"""),"Seva Nagar")</f>
        <v>Seva Nagar</v>
      </c>
      <c r="I156" s="1"/>
      <c r="J156" s="1" t="str">
        <f ca="1">IFERROR(__xludf.DUMMYFUNCTION("""COMPUTED_VALUE"""),"0d 00h 00m")</f>
        <v>0d 00h 00m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>
      <c r="A157" s="1">
        <f ca="1">IFERROR(__xludf.DUMMYFUNCTION("""COMPUTED_VALUE"""),107)</f>
        <v>107</v>
      </c>
      <c r="B157" s="1" t="str">
        <f ca="1">IFERROR(__xludf.DUMMYFUNCTION("""COMPUTED_VALUE"""),"C3_KA02AC5935_Jetting")</f>
        <v>C3_KA02AC5935_Jetting</v>
      </c>
      <c r="C157" s="1" t="str">
        <f ca="1">IFERROR(__xludf.DUMMYFUNCTION("""COMPUTED_VALUE"""),"c3_ka02ac5935_jetting")</f>
        <v>c3_ka02ac5935_jetting</v>
      </c>
      <c r="D157" s="2">
        <f ca="1">IFERROR(__xludf.DUMMYFUNCTION("""COMPUTED_VALUE"""),44824)</f>
        <v>44824</v>
      </c>
      <c r="E157" s="3">
        <f ca="1">IFERROR(__xludf.DUMMYFUNCTION("""COMPUTED_VALUE"""),0.364074074073869)</f>
        <v>0.36407407407386899</v>
      </c>
      <c r="F157" s="1">
        <f ca="1">IFERROR(__xludf.DUMMYFUNCTION("""COMPUTED_VALUE"""),19246)</f>
        <v>19246</v>
      </c>
      <c r="G157" s="1" t="str">
        <f ca="1">IFERROR(__xludf.DUMMYFUNCTION("""COMPUTED_VALUE"""),"13.0020/77.6277")</f>
        <v>13.0020/77.6277</v>
      </c>
      <c r="H157" s="1" t="str">
        <f ca="1">IFERROR(__xludf.DUMMYFUNCTION("""COMPUTED_VALUE"""),"Seva Nagar")</f>
        <v>Seva Nagar</v>
      </c>
      <c r="I157" s="1"/>
      <c r="J157" s="1" t="str">
        <f ca="1">IFERROR(__xludf.DUMMYFUNCTION("""COMPUTED_VALUE"""),"0d 00h 00m")</f>
        <v>0d 00h 00m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>
      <c r="A158" s="1">
        <f ca="1">IFERROR(__xludf.DUMMYFUNCTION("""COMPUTED_VALUE"""),197)</f>
        <v>197</v>
      </c>
      <c r="B158" s="1" t="str">
        <f ca="1">IFERROR(__xludf.DUMMYFUNCTION("""COMPUTED_VALUE"""),"C3_KA02AC5935_Jetting")</f>
        <v>C3_KA02AC5935_Jetting</v>
      </c>
      <c r="C158" s="1" t="str">
        <f ca="1">IFERROR(__xludf.DUMMYFUNCTION("""COMPUTED_VALUE"""),"c3_ka02ac5935_jetting")</f>
        <v>c3_ka02ac5935_jetting</v>
      </c>
      <c r="D158" s="2">
        <f ca="1">IFERROR(__xludf.DUMMYFUNCTION("""COMPUTED_VALUE"""),44860)</f>
        <v>44860</v>
      </c>
      <c r="E158" s="3">
        <f ca="1">IFERROR(__xludf.DUMMYFUNCTION("""COMPUTED_VALUE"""),0.999143518518394)</f>
        <v>0.999143518518394</v>
      </c>
      <c r="F158" s="1">
        <f ca="1">IFERROR(__xludf.DUMMYFUNCTION("""COMPUTED_VALUE"""),21876)</f>
        <v>21876</v>
      </c>
      <c r="G158" s="1" t="str">
        <f ca="1">IFERROR(__xludf.DUMMYFUNCTION("""COMPUTED_VALUE"""),"13.0014/77.6275")</f>
        <v>13.0014/77.6275</v>
      </c>
      <c r="H158" s="1" t="str">
        <f ca="1">IFERROR(__xludf.DUMMYFUNCTION("""COMPUTED_VALUE"""),"Seva Nagar")</f>
        <v>Seva Nagar</v>
      </c>
      <c r="I158" s="1"/>
      <c r="J158" s="1" t="str">
        <f ca="1">IFERROR(__xludf.DUMMYFUNCTION("""COMPUTED_VALUE"""),"0d 00h 00m")</f>
        <v>0d 00h 00m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>
      <c r="A159" s="1">
        <f ca="1">IFERROR(__xludf.DUMMYFUNCTION("""COMPUTED_VALUE"""),48)</f>
        <v>48</v>
      </c>
      <c r="B159" s="1" t="str">
        <f ca="1">IFERROR(__xludf.DUMMYFUNCTION("""COMPUTED_VALUE"""),"C3_KA02AC5950_Jetting")</f>
        <v>C3_KA02AC5950_Jetting</v>
      </c>
      <c r="C159" s="1" t="str">
        <f ca="1">IFERROR(__xludf.DUMMYFUNCTION("""COMPUTED_VALUE"""),"c3_ka02ac5950_jetting")</f>
        <v>c3_ka02ac5950_jetting</v>
      </c>
      <c r="D159" s="2">
        <f ca="1">IFERROR(__xludf.DUMMYFUNCTION("""COMPUTED_VALUE"""),44605)</f>
        <v>44605</v>
      </c>
      <c r="E159" s="3">
        <f ca="1">IFERROR(__xludf.DUMMYFUNCTION("""COMPUTED_VALUE"""),0.905173611110512)</f>
        <v>0.90517361111051198</v>
      </c>
      <c r="F159" s="1">
        <f ca="1">IFERROR(__xludf.DUMMYFUNCTION("""COMPUTED_VALUE"""),17166)</f>
        <v>17166</v>
      </c>
      <c r="G159" s="1" t="str">
        <f ca="1">IFERROR(__xludf.DUMMYFUNCTION("""COMPUTED_VALUE"""),"13.0013/77.6279")</f>
        <v>13.0013/77.6279</v>
      </c>
      <c r="H159" s="1" t="str">
        <f ca="1">IFERROR(__xludf.DUMMYFUNCTION("""COMPUTED_VALUE"""),"Seva Nagar")</f>
        <v>Seva Nagar</v>
      </c>
      <c r="I159" s="1"/>
      <c r="J159" s="1" t="str">
        <f ca="1">IFERROR(__xludf.DUMMYFUNCTION("""COMPUTED_VALUE"""),"0d 00h 00m")</f>
        <v>0d 00h 00m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>
      <c r="A160" s="1">
        <f ca="1">IFERROR(__xludf.DUMMYFUNCTION("""COMPUTED_VALUE"""),42)</f>
        <v>42</v>
      </c>
      <c r="B160" s="1" t="str">
        <f ca="1">IFERROR(__xludf.DUMMYFUNCTION("""COMPUTED_VALUE"""),"C3_KA02AC5950_Jetting")</f>
        <v>C3_KA02AC5950_Jetting</v>
      </c>
      <c r="C160" s="1" t="str">
        <f ca="1">IFERROR(__xludf.DUMMYFUNCTION("""COMPUTED_VALUE"""),"c3_ka02ac5950_jetting")</f>
        <v>c3_ka02ac5950_jetting</v>
      </c>
      <c r="D160" s="2">
        <f ca="1">IFERROR(__xludf.DUMMYFUNCTION("""COMPUTED_VALUE"""),44605)</f>
        <v>44605</v>
      </c>
      <c r="E160" s="3">
        <f ca="1">IFERROR(__xludf.DUMMYFUNCTION("""COMPUTED_VALUE"""),0.905173611110512)</f>
        <v>0.90517361111051198</v>
      </c>
      <c r="F160" s="1">
        <f ca="1">IFERROR(__xludf.DUMMYFUNCTION("""COMPUTED_VALUE"""),17166)</f>
        <v>17166</v>
      </c>
      <c r="G160" s="1" t="str">
        <f ca="1">IFERROR(__xludf.DUMMYFUNCTION("""COMPUTED_VALUE"""),"13.0013/77.6279")</f>
        <v>13.0013/77.6279</v>
      </c>
      <c r="H160" s="1" t="str">
        <f ca="1">IFERROR(__xludf.DUMMYFUNCTION("""COMPUTED_VALUE"""),"Seva Nagar")</f>
        <v>Seva Nagar</v>
      </c>
      <c r="I160" s="1"/>
      <c r="J160" s="1" t="str">
        <f ca="1">IFERROR(__xludf.DUMMYFUNCTION("""COMPUTED_VALUE"""),"0d 00h 00m")</f>
        <v>0d 00h 00m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>
      <c r="A161" s="1">
        <f ca="1">IFERROR(__xludf.DUMMYFUNCTION("""COMPUTED_VALUE"""),42)</f>
        <v>42</v>
      </c>
      <c r="B161" s="1" t="str">
        <f ca="1">IFERROR(__xludf.DUMMYFUNCTION("""COMPUTED_VALUE"""),"C3_KA02AC5950_Jetting")</f>
        <v>C3_KA02AC5950_Jetting</v>
      </c>
      <c r="C161" s="1" t="str">
        <f ca="1">IFERROR(__xludf.DUMMYFUNCTION("""COMPUTED_VALUE"""),"c3_ka02ac5950_jetting")</f>
        <v>c3_ka02ac5950_jetting</v>
      </c>
      <c r="D161" s="2">
        <f ca="1">IFERROR(__xludf.DUMMYFUNCTION("""COMPUTED_VALUE"""),44605)</f>
        <v>44605</v>
      </c>
      <c r="E161" s="3">
        <f ca="1">IFERROR(__xludf.DUMMYFUNCTION("""COMPUTED_VALUE"""),0.905173611110512)</f>
        <v>0.90517361111051198</v>
      </c>
      <c r="F161" s="1">
        <f ca="1">IFERROR(__xludf.DUMMYFUNCTION("""COMPUTED_VALUE"""),17166)</f>
        <v>17166</v>
      </c>
      <c r="G161" s="1" t="str">
        <f ca="1">IFERROR(__xludf.DUMMYFUNCTION("""COMPUTED_VALUE"""),"13.0013/77.6279")</f>
        <v>13.0013/77.6279</v>
      </c>
      <c r="H161" s="1" t="str">
        <f ca="1">IFERROR(__xludf.DUMMYFUNCTION("""COMPUTED_VALUE"""),"Seva Nagar")</f>
        <v>Seva Nagar</v>
      </c>
      <c r="I161" s="1"/>
      <c r="J161" s="1" t="str">
        <f ca="1">IFERROR(__xludf.DUMMYFUNCTION("""COMPUTED_VALUE"""),"0d 00h 00m")</f>
        <v>0d 00h 00m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>
      <c r="A162" s="1">
        <f ca="1">IFERROR(__xludf.DUMMYFUNCTION("""COMPUTED_VALUE"""),42)</f>
        <v>42</v>
      </c>
      <c r="B162" s="1" t="str">
        <f ca="1">IFERROR(__xludf.DUMMYFUNCTION("""COMPUTED_VALUE"""),"C3_KA02AC5950_Jetting")</f>
        <v>C3_KA02AC5950_Jetting</v>
      </c>
      <c r="C162" s="1" t="str">
        <f ca="1">IFERROR(__xludf.DUMMYFUNCTION("""COMPUTED_VALUE"""),"c3_ka02ac5950_jetting")</f>
        <v>c3_ka02ac5950_jetting</v>
      </c>
      <c r="D162" s="2">
        <f ca="1">IFERROR(__xludf.DUMMYFUNCTION("""COMPUTED_VALUE"""),44605)</f>
        <v>44605</v>
      </c>
      <c r="E162" s="3">
        <f ca="1">IFERROR(__xludf.DUMMYFUNCTION("""COMPUTED_VALUE"""),0.905173611110512)</f>
        <v>0.90517361111051198</v>
      </c>
      <c r="F162" s="1">
        <f ca="1">IFERROR(__xludf.DUMMYFUNCTION("""COMPUTED_VALUE"""),17166)</f>
        <v>17166</v>
      </c>
      <c r="G162" s="1" t="str">
        <f ca="1">IFERROR(__xludf.DUMMYFUNCTION("""COMPUTED_VALUE"""),"13.0013/77.6279")</f>
        <v>13.0013/77.6279</v>
      </c>
      <c r="H162" s="1" t="str">
        <f ca="1">IFERROR(__xludf.DUMMYFUNCTION("""COMPUTED_VALUE"""),"Seva Nagar")</f>
        <v>Seva Nagar</v>
      </c>
      <c r="I162" s="1"/>
      <c r="J162" s="1" t="str">
        <f ca="1">IFERROR(__xludf.DUMMYFUNCTION("""COMPUTED_VALUE"""),"0d 00h 00m")</f>
        <v>0d 00h 00m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>
      <c r="A163" s="1">
        <f ca="1">IFERROR(__xludf.DUMMYFUNCTION("""COMPUTED_VALUE"""),220)</f>
        <v>220</v>
      </c>
      <c r="B163" s="1" t="str">
        <f ca="1">IFERROR(__xludf.DUMMYFUNCTION("""COMPUTED_VALUE"""),"C3_KA02AC5950_Jetting")</f>
        <v>C3_KA02AC5950_Jetting</v>
      </c>
      <c r="C163" s="1" t="str">
        <f ca="1">IFERROR(__xludf.DUMMYFUNCTION("""COMPUTED_VALUE"""),"c3_ka02ac5950_jetting")</f>
        <v>c3_ka02ac5950_jetting</v>
      </c>
      <c r="D163" s="2">
        <f ca="1">IFERROR(__xludf.DUMMYFUNCTION("""COMPUTED_VALUE"""),44830)</f>
        <v>44830</v>
      </c>
      <c r="E163" s="3">
        <f ca="1">IFERROR(__xludf.DUMMYFUNCTION("""COMPUTED_VALUE"""),0.999224537037662)</f>
        <v>0.99922453703766201</v>
      </c>
      <c r="F163" s="1">
        <f ca="1">IFERROR(__xludf.DUMMYFUNCTION("""COMPUTED_VALUE"""),17206)</f>
        <v>17206</v>
      </c>
      <c r="G163" s="1" t="str">
        <f ca="1">IFERROR(__xludf.DUMMYFUNCTION("""COMPUTED_VALUE"""),"13.0015/77.6275")</f>
        <v>13.0015/77.6275</v>
      </c>
      <c r="H163" s="1" t="str">
        <f ca="1">IFERROR(__xludf.DUMMYFUNCTION("""COMPUTED_VALUE"""),"Seva Nagar")</f>
        <v>Seva Nagar</v>
      </c>
      <c r="I163" s="1"/>
      <c r="J163" s="1" t="str">
        <f ca="1">IFERROR(__xludf.DUMMYFUNCTION("""COMPUTED_VALUE"""),"0d 00h 00m")</f>
        <v>0d 00h 00m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>
      <c r="A164" s="1">
        <f ca="1">IFERROR(__xludf.DUMMYFUNCTION("""COMPUTED_VALUE"""),185)</f>
        <v>185</v>
      </c>
      <c r="B164" s="1" t="str">
        <f ca="1">IFERROR(__xludf.DUMMYFUNCTION("""COMPUTED_VALUE"""),"C3_KA02AC5950_Jetting")</f>
        <v>C3_KA02AC5950_Jetting</v>
      </c>
      <c r="C164" s="1" t="str">
        <f ca="1">IFERROR(__xludf.DUMMYFUNCTION("""COMPUTED_VALUE"""),"c3_ka02ac5950_jetting")</f>
        <v>c3_ka02ac5950_jetting</v>
      </c>
      <c r="D164" s="2">
        <f ca="1">IFERROR(__xludf.DUMMYFUNCTION("""COMPUTED_VALUE"""),44860)</f>
        <v>44860</v>
      </c>
      <c r="E164" s="3">
        <f ca="1">IFERROR(__xludf.DUMMYFUNCTION("""COMPUTED_VALUE"""),0.999108796295331)</f>
        <v>0.999108796295331</v>
      </c>
      <c r="F164" s="1">
        <f ca="1">IFERROR(__xludf.DUMMYFUNCTION("""COMPUTED_VALUE"""),17552)</f>
        <v>17552</v>
      </c>
      <c r="G164" s="1" t="str">
        <f ca="1">IFERROR(__xludf.DUMMYFUNCTION("""COMPUTED_VALUE"""),"13.0014/77.6274")</f>
        <v>13.0014/77.6274</v>
      </c>
      <c r="H164" s="1" t="str">
        <f ca="1">IFERROR(__xludf.DUMMYFUNCTION("""COMPUTED_VALUE"""),"Seva Nagar")</f>
        <v>Seva Nagar</v>
      </c>
      <c r="I164" s="1"/>
      <c r="J164" s="1" t="str">
        <f ca="1">IFERROR(__xludf.DUMMYFUNCTION("""COMPUTED_VALUE"""),"0d 00h 00m")</f>
        <v>0d 00h 00m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>
      <c r="A165" s="1">
        <f ca="1">IFERROR(__xludf.DUMMYFUNCTION("""COMPUTED_VALUE"""),12)</f>
        <v>12</v>
      </c>
      <c r="B165" s="1" t="str">
        <f ca="1">IFERROR(__xludf.DUMMYFUNCTION("""COMPUTED_VALUE"""),"C3_KA03B965_Jetting")</f>
        <v>C3_KA03B965_Jetting</v>
      </c>
      <c r="C165" s="1" t="str">
        <f ca="1">IFERROR(__xludf.DUMMYFUNCTION("""COMPUTED_VALUE"""),"c3_ka03b965_jetting")</f>
        <v>c3_ka03b965_jetting</v>
      </c>
      <c r="D165" s="2">
        <f ca="1">IFERROR(__xludf.DUMMYFUNCTION("""COMPUTED_VALUE"""),43829)</f>
        <v>43829</v>
      </c>
      <c r="E165" s="3">
        <f ca="1">IFERROR(__xludf.DUMMYFUNCTION("""COMPUTED_VALUE"""),0.603657407405989)</f>
        <v>0.60365740740598905</v>
      </c>
      <c r="F165" s="1">
        <f ca="1">IFERROR(__xludf.DUMMYFUNCTION("""COMPUTED_VALUE"""),11427)</f>
        <v>11427</v>
      </c>
      <c r="G165" s="1" t="str">
        <f ca="1">IFERROR(__xludf.DUMMYFUNCTION("""COMPUTED_VALUE"""),"12.9953/77.6152")</f>
        <v>12.9953/77.6152</v>
      </c>
      <c r="H165" s="1" t="str">
        <f ca="1">IFERROR(__xludf.DUMMYFUNCTION("""COMPUTED_VALUE"""),"FrazerTown")</f>
        <v>FrazerTown</v>
      </c>
      <c r="I165" s="1"/>
      <c r="J165" s="1" t="str">
        <f ca="1">IFERROR(__xludf.DUMMYFUNCTION("""COMPUTED_VALUE"""),"1087d 20h 01m")</f>
        <v>1087d 20h 01m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>
      <c r="A166" s="1">
        <f ca="1">IFERROR(__xludf.DUMMYFUNCTION("""COMPUTED_VALUE"""),12)</f>
        <v>12</v>
      </c>
      <c r="B166" s="1" t="str">
        <f ca="1">IFERROR(__xludf.DUMMYFUNCTION("""COMPUTED_VALUE"""),"C3_KA03B965_Jetting")</f>
        <v>C3_KA03B965_Jetting</v>
      </c>
      <c r="C166" s="1" t="str">
        <f ca="1">IFERROR(__xludf.DUMMYFUNCTION("""COMPUTED_VALUE"""),"c3_ka03b965_jetting")</f>
        <v>c3_ka03b965_jetting</v>
      </c>
      <c r="D166" s="2">
        <f ca="1">IFERROR(__xludf.DUMMYFUNCTION("""COMPUTED_VALUE"""),43829)</f>
        <v>43829</v>
      </c>
      <c r="E166" s="3">
        <f ca="1">IFERROR(__xludf.DUMMYFUNCTION("""COMPUTED_VALUE"""),0.603657407405989)</f>
        <v>0.60365740740598905</v>
      </c>
      <c r="F166" s="1">
        <f ca="1">IFERROR(__xludf.DUMMYFUNCTION("""COMPUTED_VALUE"""),11427)</f>
        <v>11427</v>
      </c>
      <c r="G166" s="1" t="str">
        <f ca="1">IFERROR(__xludf.DUMMYFUNCTION("""COMPUTED_VALUE"""),"12.9953/77.6152")</f>
        <v>12.9953/77.6152</v>
      </c>
      <c r="H166" s="1" t="str">
        <f ca="1">IFERROR(__xludf.DUMMYFUNCTION("""COMPUTED_VALUE"""),"FrazerTown")</f>
        <v>FrazerTown</v>
      </c>
      <c r="I166" s="1"/>
      <c r="J166" s="1" t="str">
        <f ca="1">IFERROR(__xludf.DUMMYFUNCTION("""COMPUTED_VALUE"""),"1087d 20h 03m")</f>
        <v>1087d 20h 03m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>
      <c r="A167" s="1">
        <f ca="1">IFERROR(__xludf.DUMMYFUNCTION("""COMPUTED_VALUE"""),12)</f>
        <v>12</v>
      </c>
      <c r="B167" s="1" t="str">
        <f ca="1">IFERROR(__xludf.DUMMYFUNCTION("""COMPUTED_VALUE"""),"C3_KA03B965_Jetting")</f>
        <v>C3_KA03B965_Jetting</v>
      </c>
      <c r="C167" s="1" t="str">
        <f ca="1">IFERROR(__xludf.DUMMYFUNCTION("""COMPUTED_VALUE"""),"c3_ka03b965_jetting")</f>
        <v>c3_ka03b965_jetting</v>
      </c>
      <c r="D167" s="2">
        <f ca="1">IFERROR(__xludf.DUMMYFUNCTION("""COMPUTED_VALUE"""),43829)</f>
        <v>43829</v>
      </c>
      <c r="E167" s="3">
        <f ca="1">IFERROR(__xludf.DUMMYFUNCTION("""COMPUTED_VALUE"""),0.603657407405989)</f>
        <v>0.60365740740598905</v>
      </c>
      <c r="F167" s="1">
        <f ca="1">IFERROR(__xludf.DUMMYFUNCTION("""COMPUTED_VALUE"""),11427)</f>
        <v>11427</v>
      </c>
      <c r="G167" s="1" t="str">
        <f ca="1">IFERROR(__xludf.DUMMYFUNCTION("""COMPUTED_VALUE"""),"12.9953/77.6152")</f>
        <v>12.9953/77.6152</v>
      </c>
      <c r="H167" s="1" t="str">
        <f ca="1">IFERROR(__xludf.DUMMYFUNCTION("""COMPUTED_VALUE"""),"FrazerTown")</f>
        <v>FrazerTown</v>
      </c>
      <c r="I167" s="1"/>
      <c r="J167" s="1" t="str">
        <f ca="1">IFERROR(__xludf.DUMMYFUNCTION("""COMPUTED_VALUE"""),"1087d 20h 03m")</f>
        <v>1087d 20h 03m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>
      <c r="A168" s="1">
        <f ca="1">IFERROR(__xludf.DUMMYFUNCTION("""COMPUTED_VALUE"""),12)</f>
        <v>12</v>
      </c>
      <c r="B168" s="1" t="str">
        <f ca="1">IFERROR(__xludf.DUMMYFUNCTION("""COMPUTED_VALUE"""),"C3_KA03B965_Jetting")</f>
        <v>C3_KA03B965_Jetting</v>
      </c>
      <c r="C168" s="1" t="str">
        <f ca="1">IFERROR(__xludf.DUMMYFUNCTION("""COMPUTED_VALUE"""),"c3_ka03b965_jetting")</f>
        <v>c3_ka03b965_jetting</v>
      </c>
      <c r="D168" s="2">
        <f ca="1">IFERROR(__xludf.DUMMYFUNCTION("""COMPUTED_VALUE"""),43829)</f>
        <v>43829</v>
      </c>
      <c r="E168" s="3">
        <f ca="1">IFERROR(__xludf.DUMMYFUNCTION("""COMPUTED_VALUE"""),0.603657407405989)</f>
        <v>0.60365740740598905</v>
      </c>
      <c r="F168" s="1">
        <f ca="1">IFERROR(__xludf.DUMMYFUNCTION("""COMPUTED_VALUE"""),11427)</f>
        <v>11427</v>
      </c>
      <c r="G168" s="1" t="str">
        <f ca="1">IFERROR(__xludf.DUMMYFUNCTION("""COMPUTED_VALUE"""),"12.9953/77.6152")</f>
        <v>12.9953/77.6152</v>
      </c>
      <c r="H168" s="1" t="str">
        <f ca="1">IFERROR(__xludf.DUMMYFUNCTION("""COMPUTED_VALUE"""),"FrazerTown")</f>
        <v>FrazerTown</v>
      </c>
      <c r="I168" s="1"/>
      <c r="J168" s="1" t="str">
        <f ca="1">IFERROR(__xludf.DUMMYFUNCTION("""COMPUTED_VALUE"""),"1087d 20h 04m")</f>
        <v>1087d 20h 04m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>
      <c r="A169" s="1">
        <f ca="1">IFERROR(__xludf.DUMMYFUNCTION("""COMPUTED_VALUE"""),12)</f>
        <v>12</v>
      </c>
      <c r="B169" s="1" t="str">
        <f ca="1">IFERROR(__xludf.DUMMYFUNCTION("""COMPUTED_VALUE"""),"C3_KA03B965_Jetting")</f>
        <v>C3_KA03B965_Jetting</v>
      </c>
      <c r="C169" s="1" t="str">
        <f ca="1">IFERROR(__xludf.DUMMYFUNCTION("""COMPUTED_VALUE"""),"c3_ka03b965_jetting")</f>
        <v>c3_ka03b965_jetting</v>
      </c>
      <c r="D169" s="2">
        <f ca="1">IFERROR(__xludf.DUMMYFUNCTION("""COMPUTED_VALUE"""),43829)</f>
        <v>43829</v>
      </c>
      <c r="E169" s="3">
        <f ca="1">IFERROR(__xludf.DUMMYFUNCTION("""COMPUTED_VALUE"""),0.603657407405989)</f>
        <v>0.60365740740598905</v>
      </c>
      <c r="F169" s="1">
        <f ca="1">IFERROR(__xludf.DUMMYFUNCTION("""COMPUTED_VALUE"""),11427)</f>
        <v>11427</v>
      </c>
      <c r="G169" s="1" t="str">
        <f ca="1">IFERROR(__xludf.DUMMYFUNCTION("""COMPUTED_VALUE"""),"12.9953/77.6152")</f>
        <v>12.9953/77.6152</v>
      </c>
      <c r="H169" s="1" t="str">
        <f ca="1">IFERROR(__xludf.DUMMYFUNCTION("""COMPUTED_VALUE"""),"FrazerTown")</f>
        <v>FrazerTown</v>
      </c>
      <c r="I169" s="1"/>
      <c r="J169" s="1" t="str">
        <f ca="1">IFERROR(__xludf.DUMMYFUNCTION("""COMPUTED_VALUE"""),"1087d 20h 05m")</f>
        <v>1087d 20h 05m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>
      <c r="A170" s="1">
        <f ca="1">IFERROR(__xludf.DUMMYFUNCTION("""COMPUTED_VALUE"""),12)</f>
        <v>12</v>
      </c>
      <c r="B170" s="1" t="str">
        <f ca="1">IFERROR(__xludf.DUMMYFUNCTION("""COMPUTED_VALUE"""),"C3_KA03B965_Jetting")</f>
        <v>C3_KA03B965_Jetting</v>
      </c>
      <c r="C170" s="1" t="str">
        <f ca="1">IFERROR(__xludf.DUMMYFUNCTION("""COMPUTED_VALUE"""),"c3_ka03b965_jetting")</f>
        <v>c3_ka03b965_jetting</v>
      </c>
      <c r="D170" s="2">
        <f ca="1">IFERROR(__xludf.DUMMYFUNCTION("""COMPUTED_VALUE"""),43829)</f>
        <v>43829</v>
      </c>
      <c r="E170" s="3">
        <f ca="1">IFERROR(__xludf.DUMMYFUNCTION("""COMPUTED_VALUE"""),0.603657407405989)</f>
        <v>0.60365740740598905</v>
      </c>
      <c r="F170" s="1">
        <f ca="1">IFERROR(__xludf.DUMMYFUNCTION("""COMPUTED_VALUE"""),11427)</f>
        <v>11427</v>
      </c>
      <c r="G170" s="1" t="str">
        <f ca="1">IFERROR(__xludf.DUMMYFUNCTION("""COMPUTED_VALUE"""),"12.9953/77.6152")</f>
        <v>12.9953/77.6152</v>
      </c>
      <c r="H170" s="1" t="str">
        <f ca="1">IFERROR(__xludf.DUMMYFUNCTION("""COMPUTED_VALUE"""),"FrazerTown")</f>
        <v>FrazerTown</v>
      </c>
      <c r="I170" s="1"/>
      <c r="J170" s="1" t="str">
        <f ca="1">IFERROR(__xludf.DUMMYFUNCTION("""COMPUTED_VALUE"""),"1087d 20h 06m")</f>
        <v>1087d 20h 06m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>
      <c r="A171" s="1">
        <f ca="1">IFERROR(__xludf.DUMMYFUNCTION("""COMPUTED_VALUE"""),45)</f>
        <v>45</v>
      </c>
      <c r="B171" s="1" t="str">
        <f ca="1">IFERROR(__xludf.DUMMYFUNCTION("""COMPUTED_VALUE"""),"C3_KA03C5048_Tanker")</f>
        <v>C3_KA03C5048_Tanker</v>
      </c>
      <c r="C171" s="1" t="str">
        <f ca="1">IFERROR(__xludf.DUMMYFUNCTION("""COMPUTED_VALUE"""),"c3_ka03c5048_tanker")</f>
        <v>c3_ka03c5048_tanker</v>
      </c>
      <c r="D171" s="2">
        <f ca="1">IFERROR(__xludf.DUMMYFUNCTION("""COMPUTED_VALUE"""),44571)</f>
        <v>44571</v>
      </c>
      <c r="E171" s="3">
        <f ca="1">IFERROR(__xludf.DUMMYFUNCTION("""COMPUTED_VALUE"""),0.581979166665405)</f>
        <v>0.58197916666540495</v>
      </c>
      <c r="F171" s="1">
        <f ca="1">IFERROR(__xludf.DUMMYFUNCTION("""COMPUTED_VALUE"""),10586)</f>
        <v>10586</v>
      </c>
      <c r="G171" s="1" t="str">
        <f ca="1">IFERROR(__xludf.DUMMYFUNCTION("""COMPUTED_VALUE"""),"13.0285/77.7692")</f>
        <v>13.0285/77.7692</v>
      </c>
      <c r="H171" s="1" t="str">
        <f ca="1">IFERROR(__xludf.DUMMYFUNCTION("""COMPUTED_VALUE"""),"Kanamangala")</f>
        <v>Kanamangala</v>
      </c>
      <c r="I171" s="1"/>
      <c r="J171" s="1" t="str">
        <f ca="1">IFERROR(__xludf.DUMMYFUNCTION("""COMPUTED_VALUE"""),"104d 22h 35m")</f>
        <v>104d 22h 35m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>
      <c r="A172" s="1">
        <f ca="1">IFERROR(__xludf.DUMMYFUNCTION("""COMPUTED_VALUE"""),65)</f>
        <v>65</v>
      </c>
      <c r="B172" s="1" t="str">
        <f ca="1">IFERROR(__xludf.DUMMYFUNCTION("""COMPUTED_VALUE"""),"C3_KA03C5048_Tanker")</f>
        <v>C3_KA03C5048_Tanker</v>
      </c>
      <c r="C172" s="1" t="str">
        <f ca="1">IFERROR(__xludf.DUMMYFUNCTION("""COMPUTED_VALUE"""),"c3_ka03c5048_tanker")</f>
        <v>c3_ka03c5048_tanker</v>
      </c>
      <c r="D172" s="2">
        <f ca="1">IFERROR(__xludf.DUMMYFUNCTION("""COMPUTED_VALUE"""),44712)</f>
        <v>44712</v>
      </c>
      <c r="E172" s="3">
        <f ca="1">IFERROR(__xludf.DUMMYFUNCTION("""COMPUTED_VALUE"""),0.471967592591681)</f>
        <v>0.47196759259168097</v>
      </c>
      <c r="F172" s="1">
        <f ca="1">IFERROR(__xludf.DUMMYFUNCTION("""COMPUTED_VALUE"""),10587)</f>
        <v>10587</v>
      </c>
      <c r="G172" s="1" t="str">
        <f ca="1">IFERROR(__xludf.DUMMYFUNCTION("""COMPUTED_VALUE"""),"13.0287/77.7687")</f>
        <v>13.0287/77.7687</v>
      </c>
      <c r="H172" s="1" t="str">
        <f ca="1">IFERROR(__xludf.DUMMYFUNCTION("""COMPUTED_VALUE"""),"Kanamangala")</f>
        <v>Kanamangala</v>
      </c>
      <c r="I172" s="1"/>
      <c r="J172" s="1" t="str">
        <f ca="1">IFERROR(__xludf.DUMMYFUNCTION("""COMPUTED_VALUE"""),"104d 22h 36m")</f>
        <v>104d 22h 36m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>
      <c r="A173" s="1">
        <f ca="1">IFERROR(__xludf.DUMMYFUNCTION("""COMPUTED_VALUE"""),81)</f>
        <v>81</v>
      </c>
      <c r="B173" s="1" t="str">
        <f ca="1">IFERROR(__xludf.DUMMYFUNCTION("""COMPUTED_VALUE"""),"C3_KA03C5048_Tanker")</f>
        <v>C3_KA03C5048_Tanker</v>
      </c>
      <c r="C173" s="1" t="str">
        <f ca="1">IFERROR(__xludf.DUMMYFUNCTION("""COMPUTED_VALUE"""),"c3_ka03c5048_tanker")</f>
        <v>c3_ka03c5048_tanker</v>
      </c>
      <c r="D173" s="2">
        <f ca="1">IFERROR(__xludf.DUMMYFUNCTION("""COMPUTED_VALUE"""),44749)</f>
        <v>44749</v>
      </c>
      <c r="E173" s="3">
        <f ca="1">IFERROR(__xludf.DUMMYFUNCTION("""COMPUTED_VALUE"""),0.148576388888614)</f>
        <v>0.14857638888861399</v>
      </c>
      <c r="F173" s="1">
        <f ca="1">IFERROR(__xludf.DUMMYFUNCTION("""COMPUTED_VALUE"""),10625)</f>
        <v>10625</v>
      </c>
      <c r="G173" s="1" t="str">
        <f ca="1">IFERROR(__xludf.DUMMYFUNCTION("""COMPUTED_VALUE"""),"13.0014/77.6276")</f>
        <v>13.0014/77.6276</v>
      </c>
      <c r="H173" s="1" t="str">
        <f ca="1">IFERROR(__xludf.DUMMYFUNCTION("""COMPUTED_VALUE"""),"Seva Nagar")</f>
        <v>Seva Nagar</v>
      </c>
      <c r="I173" s="1"/>
      <c r="J173" s="1" t="str">
        <f ca="1">IFERROR(__xludf.DUMMYFUNCTION("""COMPUTED_VALUE"""),"104d 22h 37m")</f>
        <v>104d 22h 37m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>
      <c r="A174" s="1">
        <f ca="1">IFERROR(__xludf.DUMMYFUNCTION("""COMPUTED_VALUE"""),69)</f>
        <v>69</v>
      </c>
      <c r="B174" s="1" t="str">
        <f ca="1">IFERROR(__xludf.DUMMYFUNCTION("""COMPUTED_VALUE"""),"C3_KA03C5048_Tanker")</f>
        <v>C3_KA03C5048_Tanker</v>
      </c>
      <c r="C174" s="1" t="str">
        <f ca="1">IFERROR(__xludf.DUMMYFUNCTION("""COMPUTED_VALUE"""),"c3_ka03c5048_tanker")</f>
        <v>c3_ka03c5048_tanker</v>
      </c>
      <c r="D174" s="2">
        <f ca="1">IFERROR(__xludf.DUMMYFUNCTION("""COMPUTED_VALUE"""),44749)</f>
        <v>44749</v>
      </c>
      <c r="E174" s="3">
        <f ca="1">IFERROR(__xludf.DUMMYFUNCTION("""COMPUTED_VALUE"""),0.148576388888614)</f>
        <v>0.14857638888861399</v>
      </c>
      <c r="F174" s="1">
        <f ca="1">IFERROR(__xludf.DUMMYFUNCTION("""COMPUTED_VALUE"""),10625)</f>
        <v>10625</v>
      </c>
      <c r="G174" s="1" t="str">
        <f ca="1">IFERROR(__xludf.DUMMYFUNCTION("""COMPUTED_VALUE"""),"13.0014/77.6276")</f>
        <v>13.0014/77.6276</v>
      </c>
      <c r="H174" s="1" t="str">
        <f ca="1">IFERROR(__xludf.DUMMYFUNCTION("""COMPUTED_VALUE"""),"Seva Nagar")</f>
        <v>Seva Nagar</v>
      </c>
      <c r="I174" s="1"/>
      <c r="J174" s="1" t="str">
        <f ca="1">IFERROR(__xludf.DUMMYFUNCTION("""COMPUTED_VALUE"""),"104d 22h 37m")</f>
        <v>104d 22h 37m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>
      <c r="A175" s="1">
        <f ca="1">IFERROR(__xludf.DUMMYFUNCTION("""COMPUTED_VALUE"""),89)</f>
        <v>89</v>
      </c>
      <c r="B175" s="1" t="str">
        <f ca="1">IFERROR(__xludf.DUMMYFUNCTION("""COMPUTED_VALUE"""),"C3_KA03C5048_Tanker")</f>
        <v>C3_KA03C5048_Tanker</v>
      </c>
      <c r="C175" s="1" t="str">
        <f ca="1">IFERROR(__xludf.DUMMYFUNCTION("""COMPUTED_VALUE"""),"c3_ka03c5048_tanker")</f>
        <v>c3_ka03c5048_tanker</v>
      </c>
      <c r="D175" s="2">
        <f ca="1">IFERROR(__xludf.DUMMYFUNCTION("""COMPUTED_VALUE"""),44812)</f>
        <v>44812</v>
      </c>
      <c r="E175" s="3">
        <f ca="1">IFERROR(__xludf.DUMMYFUNCTION("""COMPUTED_VALUE"""),0.497314814816491)</f>
        <v>0.49731481481649098</v>
      </c>
      <c r="F175" s="1">
        <f ca="1">IFERROR(__xludf.DUMMYFUNCTION("""COMPUTED_VALUE"""),10670)</f>
        <v>10670</v>
      </c>
      <c r="G175" s="1" t="str">
        <f ca="1">IFERROR(__xludf.DUMMYFUNCTION("""COMPUTED_VALUE"""),"12.9766/77.4427")</f>
        <v>12.9766/77.4427</v>
      </c>
      <c r="H175" s="1" t="str">
        <f ca="1">IFERROR(__xludf.DUMMYFUNCTION("""COMPUTED_VALUE"""),"Bayandhalli")</f>
        <v>Bayandhalli</v>
      </c>
      <c r="I175" s="1"/>
      <c r="J175" s="1" t="str">
        <f ca="1">IFERROR(__xludf.DUMMYFUNCTION("""COMPUTED_VALUE"""),"104d 22h 38m")</f>
        <v>104d 22h 38m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>
      <c r="A176" s="1">
        <f ca="1">IFERROR(__xludf.DUMMYFUNCTION("""COMPUTED_VALUE"""),63)</f>
        <v>63</v>
      </c>
      <c r="B176" s="1" t="str">
        <f ca="1">IFERROR(__xludf.DUMMYFUNCTION("""COMPUTED_VALUE"""),"C3_KA03C5048_Tanker")</f>
        <v>C3_KA03C5048_Tanker</v>
      </c>
      <c r="C176" s="1" t="str">
        <f ca="1">IFERROR(__xludf.DUMMYFUNCTION("""COMPUTED_VALUE"""),"c3_ka03c5048_tanker")</f>
        <v>c3_ka03c5048_tanker</v>
      </c>
      <c r="D176" s="2">
        <f ca="1">IFERROR(__xludf.DUMMYFUNCTION("""COMPUTED_VALUE"""),44812)</f>
        <v>44812</v>
      </c>
      <c r="E176" s="3">
        <f ca="1">IFERROR(__xludf.DUMMYFUNCTION("""COMPUTED_VALUE"""),0.497314814816491)</f>
        <v>0.49731481481649098</v>
      </c>
      <c r="F176" s="1">
        <f ca="1">IFERROR(__xludf.DUMMYFUNCTION("""COMPUTED_VALUE"""),10670)</f>
        <v>10670</v>
      </c>
      <c r="G176" s="1" t="str">
        <f ca="1">IFERROR(__xludf.DUMMYFUNCTION("""COMPUTED_VALUE"""),"12.9766/77.4427")</f>
        <v>12.9766/77.4427</v>
      </c>
      <c r="H176" s="1" t="str">
        <f ca="1">IFERROR(__xludf.DUMMYFUNCTION("""COMPUTED_VALUE"""),"Bayandhalli")</f>
        <v>Bayandhalli</v>
      </c>
      <c r="I176" s="1"/>
      <c r="J176" s="1" t="str">
        <f ca="1">IFERROR(__xludf.DUMMYFUNCTION("""COMPUTED_VALUE"""),"104d 22h 39m")</f>
        <v>104d 22h 39m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>
      <c r="A177" s="1">
        <f ca="1">IFERROR(__xludf.DUMMYFUNCTION("""COMPUTED_VALUE"""),211)</f>
        <v>211</v>
      </c>
      <c r="B177" s="1" t="str">
        <f ca="1">IFERROR(__xludf.DUMMYFUNCTION("""COMPUTED_VALUE"""),"C3_KA03C5064_Tanker")</f>
        <v>C3_KA03C5064_Tanker</v>
      </c>
      <c r="C177" s="1" t="str">
        <f ca="1">IFERROR(__xludf.DUMMYFUNCTION("""COMPUTED_VALUE"""),"c3_ka03c5064_tanker")</f>
        <v>c3_ka03c5064_tanker</v>
      </c>
      <c r="D177" s="2">
        <f ca="1">IFERROR(__xludf.DUMMYFUNCTION("""COMPUTED_VALUE"""),44707)</f>
        <v>44707</v>
      </c>
      <c r="E177" s="3">
        <f ca="1">IFERROR(__xludf.DUMMYFUNCTION("""COMPUTED_VALUE"""),0.999236111110803)</f>
        <v>0.99923611111080302</v>
      </c>
      <c r="F177" s="1">
        <f ca="1">IFERROR(__xludf.DUMMYFUNCTION("""COMPUTED_VALUE"""),43180)</f>
        <v>43180</v>
      </c>
      <c r="G177" s="1" t="str">
        <f ca="1">IFERROR(__xludf.DUMMYFUNCTION("""COMPUTED_VALUE"""),"13.0015/77.6275")</f>
        <v>13.0015/77.6275</v>
      </c>
      <c r="H177" s="1" t="str">
        <f ca="1">IFERROR(__xludf.DUMMYFUNCTION("""COMPUTED_VALUE"""),"Seva Nagar")</f>
        <v>Seva Nagar</v>
      </c>
      <c r="I177" s="1"/>
      <c r="J177" s="1" t="str">
        <f ca="1">IFERROR(__xludf.DUMMYFUNCTION("""COMPUTED_VALUE"""),"16d 08h 20m")</f>
        <v>16d 08h 20m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>
      <c r="A178" s="1">
        <f ca="1">IFERROR(__xludf.DUMMYFUNCTION("""COMPUTED_VALUE"""),221)</f>
        <v>221</v>
      </c>
      <c r="B178" s="1" t="str">
        <f ca="1">IFERROR(__xludf.DUMMYFUNCTION("""COMPUTED_VALUE"""),"C3_KA03C5064_Tanker")</f>
        <v>C3_KA03C5064_Tanker</v>
      </c>
      <c r="C178" s="1" t="str">
        <f ca="1">IFERROR(__xludf.DUMMYFUNCTION("""COMPUTED_VALUE"""),"c3_ka03c5064_tanker")</f>
        <v>c3_ka03c5064_tanker</v>
      </c>
      <c r="D178" s="2">
        <f ca="1">IFERROR(__xludf.DUMMYFUNCTION("""COMPUTED_VALUE"""),44738)</f>
        <v>44738</v>
      </c>
      <c r="E178" s="3">
        <f ca="1">IFERROR(__xludf.DUMMYFUNCTION("""COMPUTED_VALUE"""),0.999247685183945)</f>
        <v>0.99924768518394502</v>
      </c>
      <c r="F178" s="1">
        <f ca="1">IFERROR(__xludf.DUMMYFUNCTION("""COMPUTED_VALUE"""),43887)</f>
        <v>43887</v>
      </c>
      <c r="G178" s="1" t="str">
        <f ca="1">IFERROR(__xludf.DUMMYFUNCTION("""COMPUTED_VALUE"""),"13.0015/77.6276")</f>
        <v>13.0015/77.6276</v>
      </c>
      <c r="H178" s="1" t="str">
        <f ca="1">IFERROR(__xludf.DUMMYFUNCTION("""COMPUTED_VALUE"""),"Seva Nagar")</f>
        <v>Seva Nagar</v>
      </c>
      <c r="I178" s="1"/>
      <c r="J178" s="1" t="str">
        <f ca="1">IFERROR(__xludf.DUMMYFUNCTION("""COMPUTED_VALUE"""),"16d 08h 21m")</f>
        <v>16d 08h 21m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>
      <c r="A179" s="1">
        <f ca="1">IFERROR(__xludf.DUMMYFUNCTION("""COMPUTED_VALUE"""),127)</f>
        <v>127</v>
      </c>
      <c r="B179" s="1" t="str">
        <f ca="1">IFERROR(__xludf.DUMMYFUNCTION("""COMPUTED_VALUE"""),"C3_KA03C5064_Tanker")</f>
        <v>C3_KA03C5064_Tanker</v>
      </c>
      <c r="C179" s="1" t="str">
        <f ca="1">IFERROR(__xludf.DUMMYFUNCTION("""COMPUTED_VALUE"""),"c3_ka03c5064_tanker")</f>
        <v>c3_ka03c5064_tanker</v>
      </c>
      <c r="D179" s="2">
        <f ca="1">IFERROR(__xludf.DUMMYFUNCTION("""COMPUTED_VALUE"""),44767)</f>
        <v>44767</v>
      </c>
      <c r="E179" s="3">
        <f ca="1">IFERROR(__xludf.DUMMYFUNCTION("""COMPUTED_VALUE"""),0.479282407406572)</f>
        <v>0.47928240740657202</v>
      </c>
      <c r="F179" s="1">
        <f ca="1">IFERROR(__xludf.DUMMYFUNCTION("""COMPUTED_VALUE"""),44273)</f>
        <v>44273</v>
      </c>
      <c r="G179" s="1" t="str">
        <f ca="1">IFERROR(__xludf.DUMMYFUNCTION("""COMPUTED_VALUE"""),"13.0123/77.6134")</f>
        <v>13.0123/77.6134</v>
      </c>
      <c r="H179" s="1" t="str">
        <f ca="1">IFERROR(__xludf.DUMMYFUNCTION("""COMPUTED_VALUE"""),"Jivanhalli")</f>
        <v>Jivanhalli</v>
      </c>
      <c r="I179" s="1"/>
      <c r="J179" s="1" t="str">
        <f ca="1">IFERROR(__xludf.DUMMYFUNCTION("""COMPUTED_VALUE"""),"16d 08h 22m")</f>
        <v>16d 08h 22m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>
      <c r="A180" s="1">
        <f ca="1">IFERROR(__xludf.DUMMYFUNCTION("""COMPUTED_VALUE"""),139)</f>
        <v>139</v>
      </c>
      <c r="B180" s="1" t="str">
        <f ca="1">IFERROR(__xludf.DUMMYFUNCTION("""COMPUTED_VALUE"""),"C3_KA03C5064_Tanker")</f>
        <v>C3_KA03C5064_Tanker</v>
      </c>
      <c r="C180" s="1" t="str">
        <f ca="1">IFERROR(__xludf.DUMMYFUNCTION("""COMPUTED_VALUE"""),"c3_ka03c5064_tanker")</f>
        <v>c3_ka03c5064_tanker</v>
      </c>
      <c r="D180" s="2">
        <f ca="1">IFERROR(__xludf.DUMMYFUNCTION("""COMPUTED_VALUE"""),44797)</f>
        <v>44797</v>
      </c>
      <c r="E180" s="3">
        <f ca="1">IFERROR(__xludf.DUMMYFUNCTION("""COMPUTED_VALUE"""),0.698136574075761)</f>
        <v>0.69813657407576102</v>
      </c>
      <c r="F180" s="1">
        <f ca="1">IFERROR(__xludf.DUMMYFUNCTION("""COMPUTED_VALUE"""),44322)</f>
        <v>44322</v>
      </c>
      <c r="G180" s="1" t="str">
        <f ca="1">IFERROR(__xludf.DUMMYFUNCTION("""COMPUTED_VALUE"""),"13.0015/77.6276")</f>
        <v>13.0015/77.6276</v>
      </c>
      <c r="H180" s="1" t="str">
        <f ca="1">IFERROR(__xludf.DUMMYFUNCTION("""COMPUTED_VALUE"""),"Seva Nagar")</f>
        <v>Seva Nagar</v>
      </c>
      <c r="I180" s="1"/>
      <c r="J180" s="1" t="str">
        <f ca="1">IFERROR(__xludf.DUMMYFUNCTION("""COMPUTED_VALUE"""),"16d 08h 23m")</f>
        <v>16d 08h 23m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>
      <c r="A181" s="1">
        <f ca="1">IFERROR(__xludf.DUMMYFUNCTION("""COMPUTED_VALUE"""),97)</f>
        <v>97</v>
      </c>
      <c r="B181" s="1" t="str">
        <f ca="1">IFERROR(__xludf.DUMMYFUNCTION("""COMPUTED_VALUE"""),"C3_KA03C5064_Tanker")</f>
        <v>C3_KA03C5064_Tanker</v>
      </c>
      <c r="C181" s="1" t="str">
        <f ca="1">IFERROR(__xludf.DUMMYFUNCTION("""COMPUTED_VALUE"""),"c3_ka03c5064_tanker")</f>
        <v>c3_ka03c5064_tanker</v>
      </c>
      <c r="D181" s="2">
        <f ca="1">IFERROR(__xludf.DUMMYFUNCTION("""COMPUTED_VALUE"""),44818)</f>
        <v>44818</v>
      </c>
      <c r="E181" s="3">
        <f ca="1">IFERROR(__xludf.DUMMYFUNCTION("""COMPUTED_VALUE"""),0.35146990740759)</f>
        <v>0.35146990740758999</v>
      </c>
      <c r="F181" s="1">
        <f ca="1">IFERROR(__xludf.DUMMYFUNCTION("""COMPUTED_VALUE"""),44435)</f>
        <v>44435</v>
      </c>
      <c r="G181" s="1" t="str">
        <f ca="1">IFERROR(__xludf.DUMMYFUNCTION("""COMPUTED_VALUE"""),"13.0015/77.6275")</f>
        <v>13.0015/77.6275</v>
      </c>
      <c r="H181" s="1" t="str">
        <f ca="1">IFERROR(__xludf.DUMMYFUNCTION("""COMPUTED_VALUE"""),"Seva Nagar")</f>
        <v>Seva Nagar</v>
      </c>
      <c r="I181" s="1"/>
      <c r="J181" s="1" t="str">
        <f ca="1">IFERROR(__xludf.DUMMYFUNCTION("""COMPUTED_VALUE"""),"16d 08h 24m")</f>
        <v>16d 08h 24m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>
      <c r="A182" s="1">
        <f ca="1">IFERROR(__xludf.DUMMYFUNCTION("""COMPUTED_VALUE"""),119)</f>
        <v>119</v>
      </c>
      <c r="B182" s="1" t="str">
        <f ca="1">IFERROR(__xludf.DUMMYFUNCTION("""COMPUTED_VALUE"""),"C3_KA03C5064_Tanker")</f>
        <v>C3_KA03C5064_Tanker</v>
      </c>
      <c r="C182" s="1" t="str">
        <f ca="1">IFERROR(__xludf.DUMMYFUNCTION("""COMPUTED_VALUE"""),"c3_ka03c5064_tanker")</f>
        <v>c3_ka03c5064_tanker</v>
      </c>
      <c r="D182" s="2">
        <f ca="1">IFERROR(__xludf.DUMMYFUNCTION("""COMPUTED_VALUE"""),44859)</f>
        <v>44859</v>
      </c>
      <c r="E182" s="3">
        <f ca="1">IFERROR(__xludf.DUMMYFUNCTION("""COMPUTED_VALUE"""),0.969629629627888)</f>
        <v>0.96962962962788801</v>
      </c>
      <c r="F182" s="1">
        <f ca="1">IFERROR(__xludf.DUMMYFUNCTION("""COMPUTED_VALUE"""),44441)</f>
        <v>44441</v>
      </c>
      <c r="G182" s="1" t="str">
        <f ca="1">IFERROR(__xludf.DUMMYFUNCTION("""COMPUTED_VALUE"""),"13.0014/77.6277")</f>
        <v>13.0014/77.6277</v>
      </c>
      <c r="H182" s="1" t="str">
        <f ca="1">IFERROR(__xludf.DUMMYFUNCTION("""COMPUTED_VALUE"""),"Seva Nagar")</f>
        <v>Seva Nagar</v>
      </c>
      <c r="I182" s="1"/>
      <c r="J182" s="1" t="str">
        <f ca="1">IFERROR(__xludf.DUMMYFUNCTION("""COMPUTED_VALUE"""),"16d 08h 25m")</f>
        <v>16d 08h 25m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>
      <c r="A183" s="1">
        <f ca="1">IFERROR(__xludf.DUMMYFUNCTION("""COMPUTED_VALUE"""),157)</f>
        <v>157</v>
      </c>
      <c r="B183" s="1" t="str">
        <f ca="1">IFERROR(__xludf.DUMMYFUNCTION("""COMPUTED_VALUE"""),"C3_KA04AA7688_Desilting")</f>
        <v>C3_KA04AA7688_Desilting</v>
      </c>
      <c r="C183" s="1" t="str">
        <f ca="1">IFERROR(__xludf.DUMMYFUNCTION("""COMPUTED_VALUE"""),"c3_ka04aa7688_desilting")</f>
        <v>c3_ka04aa7688_desilting</v>
      </c>
      <c r="D183" s="2">
        <f ca="1">IFERROR(__xludf.DUMMYFUNCTION("""COMPUTED_VALUE"""),44707)</f>
        <v>44707</v>
      </c>
      <c r="E183" s="3">
        <f ca="1">IFERROR(__xludf.DUMMYFUNCTION("""COMPUTED_VALUE"""),0.998993055556638)</f>
        <v>0.99899305555663798</v>
      </c>
      <c r="F183" s="1">
        <f ca="1">IFERROR(__xludf.DUMMYFUNCTION("""COMPUTED_VALUE"""),3568)</f>
        <v>3568</v>
      </c>
      <c r="G183" s="1" t="str">
        <f ca="1">IFERROR(__xludf.DUMMYFUNCTION("""COMPUTED_VALUE"""),"13.0014/77.6280")</f>
        <v>13.0014/77.6280</v>
      </c>
      <c r="H183" s="1" t="str">
        <f ca="1">IFERROR(__xludf.DUMMYFUNCTION("""COMPUTED_VALUE"""),"Seva Nagar")</f>
        <v>Seva Nagar</v>
      </c>
      <c r="I183" s="1"/>
      <c r="J183" s="1" t="str">
        <f ca="1">IFERROR(__xludf.DUMMYFUNCTION("""COMPUTED_VALUE"""),"0d 00h 00m")</f>
        <v>0d 00h 00m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>
      <c r="A184" s="1">
        <f ca="1">IFERROR(__xludf.DUMMYFUNCTION("""COMPUTED_VALUE"""),225)</f>
        <v>225</v>
      </c>
      <c r="B184" s="1" t="str">
        <f ca="1">IFERROR(__xludf.DUMMYFUNCTION("""COMPUTED_VALUE"""),"C3_KA04AA7688_Desilting")</f>
        <v>C3_KA04AA7688_Desilting</v>
      </c>
      <c r="C184" s="1" t="str">
        <f ca="1">IFERROR(__xludf.DUMMYFUNCTION("""COMPUTED_VALUE"""),"c3_ka04aa7688_desilting")</f>
        <v>c3_ka04aa7688_desilting</v>
      </c>
      <c r="D184" s="2">
        <f ca="1">IFERROR(__xludf.DUMMYFUNCTION("""COMPUTED_VALUE"""),44738)</f>
        <v>44738</v>
      </c>
      <c r="E184" s="3">
        <f ca="1">IFERROR(__xludf.DUMMYFUNCTION("""COMPUTED_VALUE"""),0.999259259260725)</f>
        <v>0.99925925926072501</v>
      </c>
      <c r="F184" s="1">
        <f ca="1">IFERROR(__xludf.DUMMYFUNCTION("""COMPUTED_VALUE"""),3789)</f>
        <v>3789</v>
      </c>
      <c r="G184" s="1" t="str">
        <f ca="1">IFERROR(__xludf.DUMMYFUNCTION("""COMPUTED_VALUE"""),"13.0012/77.6277")</f>
        <v>13.0012/77.6277</v>
      </c>
      <c r="H184" s="1" t="str">
        <f ca="1">IFERROR(__xludf.DUMMYFUNCTION("""COMPUTED_VALUE"""),"Seva Nagar")</f>
        <v>Seva Nagar</v>
      </c>
      <c r="I184" s="1"/>
      <c r="J184" s="1" t="str">
        <f ca="1">IFERROR(__xludf.DUMMYFUNCTION("""COMPUTED_VALUE"""),"0d 00h 00m")</f>
        <v>0d 00h 00m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>
      <c r="A185" s="1">
        <f ca="1">IFERROR(__xludf.DUMMYFUNCTION("""COMPUTED_VALUE"""),223)</f>
        <v>223</v>
      </c>
      <c r="B185" s="1" t="str">
        <f ca="1">IFERROR(__xludf.DUMMYFUNCTION("""COMPUTED_VALUE"""),"C3_KA04AA7688_Desilting")</f>
        <v>C3_KA04AA7688_Desilting</v>
      </c>
      <c r="C185" s="1" t="str">
        <f ca="1">IFERROR(__xludf.DUMMYFUNCTION("""COMPUTED_VALUE"""),"c3_ka04aa7688_desilting")</f>
        <v>c3_ka04aa7688_desilting</v>
      </c>
      <c r="D185" s="2">
        <f ca="1">IFERROR(__xludf.DUMMYFUNCTION("""COMPUTED_VALUE"""),44768)</f>
        <v>44768</v>
      </c>
      <c r="E185" s="3">
        <f ca="1">IFERROR(__xludf.DUMMYFUNCTION("""COMPUTED_VALUE"""),0.999259259260725)</f>
        <v>0.99925925926072501</v>
      </c>
      <c r="F185" s="1">
        <f ca="1">IFERROR(__xludf.DUMMYFUNCTION("""COMPUTED_VALUE"""),4005)</f>
        <v>4005</v>
      </c>
      <c r="G185" s="1" t="str">
        <f ca="1">IFERROR(__xludf.DUMMYFUNCTION("""COMPUTED_VALUE"""),"13.0014/77.6277")</f>
        <v>13.0014/77.6277</v>
      </c>
      <c r="H185" s="1" t="str">
        <f ca="1">IFERROR(__xludf.DUMMYFUNCTION("""COMPUTED_VALUE"""),"Seva Nagar")</f>
        <v>Seva Nagar</v>
      </c>
      <c r="I185" s="1"/>
      <c r="J185" s="1" t="str">
        <f ca="1">IFERROR(__xludf.DUMMYFUNCTION("""COMPUTED_VALUE"""),"0d 00h 00m")</f>
        <v>0d 00h 00m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>
      <c r="A186" s="1">
        <f ca="1">IFERROR(__xludf.DUMMYFUNCTION("""COMPUTED_VALUE"""),164)</f>
        <v>164</v>
      </c>
      <c r="B186" s="1" t="str">
        <f ca="1">IFERROR(__xludf.DUMMYFUNCTION("""COMPUTED_VALUE"""),"C3_KA04AA7688_Desilting")</f>
        <v>C3_KA04AA7688_Desilting</v>
      </c>
      <c r="C186" s="1" t="str">
        <f ca="1">IFERROR(__xludf.DUMMYFUNCTION("""COMPUTED_VALUE"""),"c3_ka04aa7688_desilting")</f>
        <v>c3_ka04aa7688_desilting</v>
      </c>
      <c r="D186" s="2">
        <f ca="1">IFERROR(__xludf.DUMMYFUNCTION("""COMPUTED_VALUE"""),44799)</f>
        <v>44799</v>
      </c>
      <c r="E186" s="3">
        <f ca="1">IFERROR(__xludf.DUMMYFUNCTION("""COMPUTED_VALUE"""),0.965937500001018)</f>
        <v>0.96593750000101797</v>
      </c>
      <c r="F186" s="1">
        <f ca="1">IFERROR(__xludf.DUMMYFUNCTION("""COMPUTED_VALUE"""),4119)</f>
        <v>4119</v>
      </c>
      <c r="G186" s="1" t="str">
        <f ca="1">IFERROR(__xludf.DUMMYFUNCTION("""COMPUTED_VALUE"""),"13.0013/77.6278")</f>
        <v>13.0013/77.6278</v>
      </c>
      <c r="H186" s="1" t="str">
        <f ca="1">IFERROR(__xludf.DUMMYFUNCTION("""COMPUTED_VALUE"""),"Seva Nagar")</f>
        <v>Seva Nagar</v>
      </c>
      <c r="I186" s="1"/>
      <c r="J186" s="1" t="str">
        <f ca="1">IFERROR(__xludf.DUMMYFUNCTION("""COMPUTED_VALUE"""),"0d 00h 00m")</f>
        <v>0d 00h 00m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>
      <c r="A187" s="1">
        <f ca="1">IFERROR(__xludf.DUMMYFUNCTION("""COMPUTED_VALUE"""),233)</f>
        <v>233</v>
      </c>
      <c r="B187" s="1" t="str">
        <f ca="1">IFERROR(__xludf.DUMMYFUNCTION("""COMPUTED_VALUE"""),"C3_KA04AA7688_Desilting")</f>
        <v>C3_KA04AA7688_Desilting</v>
      </c>
      <c r="C187" s="1" t="str">
        <f ca="1">IFERROR(__xludf.DUMMYFUNCTION("""COMPUTED_VALUE"""),"c3_ka04aa7688_desilting")</f>
        <v>c3_ka04aa7688_desilting</v>
      </c>
      <c r="D187" s="2">
        <f ca="1">IFERROR(__xludf.DUMMYFUNCTION("""COMPUTED_VALUE"""),44830)</f>
        <v>44830</v>
      </c>
      <c r="E187" s="3">
        <f ca="1">IFERROR(__xludf.DUMMYFUNCTION("""COMPUTED_VALUE"""),0.99929398148015)</f>
        <v>0.99929398148015003</v>
      </c>
      <c r="F187" s="1">
        <f ca="1">IFERROR(__xludf.DUMMYFUNCTION("""COMPUTED_VALUE"""),4211)</f>
        <v>4211</v>
      </c>
      <c r="G187" s="1" t="str">
        <f ca="1">IFERROR(__xludf.DUMMYFUNCTION("""COMPUTED_VALUE"""),"13.0012/77.6280")</f>
        <v>13.0012/77.6280</v>
      </c>
      <c r="H187" s="1" t="str">
        <f ca="1">IFERROR(__xludf.DUMMYFUNCTION("""COMPUTED_VALUE"""),"Seva Nagar")</f>
        <v>Seva Nagar</v>
      </c>
      <c r="I187" s="1"/>
      <c r="J187" s="1" t="str">
        <f ca="1">IFERROR(__xludf.DUMMYFUNCTION("""COMPUTED_VALUE"""),"0d 00h 00m")</f>
        <v>0d 00h 00m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>
      <c r="A188" s="1">
        <f ca="1">IFERROR(__xludf.DUMMYFUNCTION("""COMPUTED_VALUE"""),224)</f>
        <v>224</v>
      </c>
      <c r="B188" s="1" t="str">
        <f ca="1">IFERROR(__xludf.DUMMYFUNCTION("""COMPUTED_VALUE"""),"C3_KA04AA7688_Desilting")</f>
        <v>C3_KA04AA7688_Desilting</v>
      </c>
      <c r="C188" s="1" t="str">
        <f ca="1">IFERROR(__xludf.DUMMYFUNCTION("""COMPUTED_VALUE"""),"c3_ka04aa7688_desilting")</f>
        <v>c3_ka04aa7688_desilting</v>
      </c>
      <c r="D188" s="2">
        <f ca="1">IFERROR(__xludf.DUMMYFUNCTION("""COMPUTED_VALUE"""),44860)</f>
        <v>44860</v>
      </c>
      <c r="E188" s="3">
        <f ca="1">IFERROR(__xludf.DUMMYFUNCTION("""COMPUTED_VALUE"""),0.999247685183945)</f>
        <v>0.99924768518394502</v>
      </c>
      <c r="F188" s="1">
        <f ca="1">IFERROR(__xludf.DUMMYFUNCTION("""COMPUTED_VALUE"""),4348)</f>
        <v>4348</v>
      </c>
      <c r="G188" s="1" t="str">
        <f ca="1">IFERROR(__xludf.DUMMYFUNCTION("""COMPUTED_VALUE"""),"13.0014/77.6277")</f>
        <v>13.0014/77.6277</v>
      </c>
      <c r="H188" s="1" t="str">
        <f ca="1">IFERROR(__xludf.DUMMYFUNCTION("""COMPUTED_VALUE"""),"Seva Nagar")</f>
        <v>Seva Nagar</v>
      </c>
      <c r="I188" s="1"/>
      <c r="J188" s="1" t="str">
        <f ca="1">IFERROR(__xludf.DUMMYFUNCTION("""COMPUTED_VALUE"""),"0d 00h 00m")</f>
        <v>0d 00h 00m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>
      <c r="A189" s="1">
        <f ca="1">IFERROR(__xludf.DUMMYFUNCTION("""COMPUTED_VALUE"""),10)</f>
        <v>10</v>
      </c>
      <c r="B189" s="1" t="str">
        <f ca="1">IFERROR(__xludf.DUMMYFUNCTION("""COMPUTED_VALUE"""),"C3_KA04AA9028_Desilting")</f>
        <v>C3_KA04AA9028_Desilting</v>
      </c>
      <c r="C189" s="1" t="str">
        <f ca="1">IFERROR(__xludf.DUMMYFUNCTION("""COMPUTED_VALUE"""),"c3_ka04aa9028_desilting")</f>
        <v>c3_ka04aa9028_desilting</v>
      </c>
      <c r="D189" s="2">
        <f ca="1">IFERROR(__xludf.DUMMYFUNCTION("""COMPUTED_VALUE"""),43787)</f>
        <v>43787</v>
      </c>
      <c r="E189" s="3">
        <f ca="1">IFERROR(__xludf.DUMMYFUNCTION("""COMPUTED_VALUE"""),0.707372685184964)</f>
        <v>0.70737268518496399</v>
      </c>
      <c r="F189" s="1">
        <f ca="1">IFERROR(__xludf.DUMMYFUNCTION("""COMPUTED_VALUE"""),28)</f>
        <v>28</v>
      </c>
      <c r="G189" s="1" t="str">
        <f ca="1">IFERROR(__xludf.DUMMYFUNCTION("""COMPUTED_VALUE"""),"13.0016/77.6279")</f>
        <v>13.0016/77.6279</v>
      </c>
      <c r="H189" s="1" t="str">
        <f ca="1">IFERROR(__xludf.DUMMYFUNCTION("""COMPUTED_VALUE"""),"Seva Nagar")</f>
        <v>Seva Nagar</v>
      </c>
      <c r="I189" s="1"/>
      <c r="J189" s="1" t="str">
        <f ca="1">IFERROR(__xludf.DUMMYFUNCTION("""COMPUTED_VALUE"""),"1128d 11h 29m")</f>
        <v>1128d 11h 29m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>
      <c r="A190" s="1">
        <f ca="1">IFERROR(__xludf.DUMMYFUNCTION("""COMPUTED_VALUE"""),10)</f>
        <v>10</v>
      </c>
      <c r="B190" s="1" t="str">
        <f ca="1">IFERROR(__xludf.DUMMYFUNCTION("""COMPUTED_VALUE"""),"C3_KA04AA9028_Desilting")</f>
        <v>C3_KA04AA9028_Desilting</v>
      </c>
      <c r="C190" s="1" t="str">
        <f ca="1">IFERROR(__xludf.DUMMYFUNCTION("""COMPUTED_VALUE"""),"c3_ka04aa9028_desilting")</f>
        <v>c3_ka04aa9028_desilting</v>
      </c>
      <c r="D190" s="2">
        <f ca="1">IFERROR(__xludf.DUMMYFUNCTION("""COMPUTED_VALUE"""),43787)</f>
        <v>43787</v>
      </c>
      <c r="E190" s="3">
        <f ca="1">IFERROR(__xludf.DUMMYFUNCTION("""COMPUTED_VALUE"""),0.707372685184964)</f>
        <v>0.70737268518496399</v>
      </c>
      <c r="F190" s="1">
        <f ca="1">IFERROR(__xludf.DUMMYFUNCTION("""COMPUTED_VALUE"""),28)</f>
        <v>28</v>
      </c>
      <c r="G190" s="1" t="str">
        <f ca="1">IFERROR(__xludf.DUMMYFUNCTION("""COMPUTED_VALUE"""),"13.0016/77.6279")</f>
        <v>13.0016/77.6279</v>
      </c>
      <c r="H190" s="1" t="str">
        <f ca="1">IFERROR(__xludf.DUMMYFUNCTION("""COMPUTED_VALUE"""),"Seva Nagar")</f>
        <v>Seva Nagar</v>
      </c>
      <c r="I190" s="1"/>
      <c r="J190" s="1" t="str">
        <f ca="1">IFERROR(__xludf.DUMMYFUNCTION("""COMPUTED_VALUE"""),"1128d 11h 30m")</f>
        <v>1128d 11h 30m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>
      <c r="A191" s="1">
        <f ca="1">IFERROR(__xludf.DUMMYFUNCTION("""COMPUTED_VALUE"""),10)</f>
        <v>10</v>
      </c>
      <c r="B191" s="1" t="str">
        <f ca="1">IFERROR(__xludf.DUMMYFUNCTION("""COMPUTED_VALUE"""),"C3_KA04AA9028_Desilting")</f>
        <v>C3_KA04AA9028_Desilting</v>
      </c>
      <c r="C191" s="1" t="str">
        <f ca="1">IFERROR(__xludf.DUMMYFUNCTION("""COMPUTED_VALUE"""),"c3_ka04aa9028_desilting")</f>
        <v>c3_ka04aa9028_desilting</v>
      </c>
      <c r="D191" s="2">
        <f ca="1">IFERROR(__xludf.DUMMYFUNCTION("""COMPUTED_VALUE"""),43787)</f>
        <v>43787</v>
      </c>
      <c r="E191" s="3">
        <f ca="1">IFERROR(__xludf.DUMMYFUNCTION("""COMPUTED_VALUE"""),0.707372685184964)</f>
        <v>0.70737268518496399</v>
      </c>
      <c r="F191" s="1">
        <f ca="1">IFERROR(__xludf.DUMMYFUNCTION("""COMPUTED_VALUE"""),28)</f>
        <v>28</v>
      </c>
      <c r="G191" s="1" t="str">
        <f ca="1">IFERROR(__xludf.DUMMYFUNCTION("""COMPUTED_VALUE"""),"13.0016/77.6279")</f>
        <v>13.0016/77.6279</v>
      </c>
      <c r="H191" s="1" t="str">
        <f ca="1">IFERROR(__xludf.DUMMYFUNCTION("""COMPUTED_VALUE"""),"Seva Nagar")</f>
        <v>Seva Nagar</v>
      </c>
      <c r="I191" s="1"/>
      <c r="J191" s="1" t="str">
        <f ca="1">IFERROR(__xludf.DUMMYFUNCTION("""COMPUTED_VALUE"""),"1128d 11h 31m")</f>
        <v>1128d 11h 31m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>
      <c r="A192" s="1">
        <f ca="1">IFERROR(__xludf.DUMMYFUNCTION("""COMPUTED_VALUE"""),10)</f>
        <v>10</v>
      </c>
      <c r="B192" s="1" t="str">
        <f ca="1">IFERROR(__xludf.DUMMYFUNCTION("""COMPUTED_VALUE"""),"C3_KA04AA9028_Desilting")</f>
        <v>C3_KA04AA9028_Desilting</v>
      </c>
      <c r="C192" s="1" t="str">
        <f ca="1">IFERROR(__xludf.DUMMYFUNCTION("""COMPUTED_VALUE"""),"c3_ka04aa9028_desilting")</f>
        <v>c3_ka04aa9028_desilting</v>
      </c>
      <c r="D192" s="2">
        <f ca="1">IFERROR(__xludf.DUMMYFUNCTION("""COMPUTED_VALUE"""),43787)</f>
        <v>43787</v>
      </c>
      <c r="E192" s="3">
        <f ca="1">IFERROR(__xludf.DUMMYFUNCTION("""COMPUTED_VALUE"""),0.707372685184964)</f>
        <v>0.70737268518496399</v>
      </c>
      <c r="F192" s="1">
        <f ca="1">IFERROR(__xludf.DUMMYFUNCTION("""COMPUTED_VALUE"""),28)</f>
        <v>28</v>
      </c>
      <c r="G192" s="1" t="str">
        <f ca="1">IFERROR(__xludf.DUMMYFUNCTION("""COMPUTED_VALUE"""),"13.0016/77.6279")</f>
        <v>13.0016/77.6279</v>
      </c>
      <c r="H192" s="1" t="str">
        <f ca="1">IFERROR(__xludf.DUMMYFUNCTION("""COMPUTED_VALUE"""),"Seva Nagar")</f>
        <v>Seva Nagar</v>
      </c>
      <c r="I192" s="1"/>
      <c r="J192" s="1" t="str">
        <f ca="1">IFERROR(__xludf.DUMMYFUNCTION("""COMPUTED_VALUE"""),"1128d 11h 32m")</f>
        <v>1128d 11h 32m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>
      <c r="A193" s="1">
        <f ca="1">IFERROR(__xludf.DUMMYFUNCTION("""COMPUTED_VALUE"""),10)</f>
        <v>10</v>
      </c>
      <c r="B193" s="1" t="str">
        <f ca="1">IFERROR(__xludf.DUMMYFUNCTION("""COMPUTED_VALUE"""),"C3_KA04AA9028_Desilting")</f>
        <v>C3_KA04AA9028_Desilting</v>
      </c>
      <c r="C193" s="1" t="str">
        <f ca="1">IFERROR(__xludf.DUMMYFUNCTION("""COMPUTED_VALUE"""),"c3_ka04aa9028_desilting")</f>
        <v>c3_ka04aa9028_desilting</v>
      </c>
      <c r="D193" s="2">
        <f ca="1">IFERROR(__xludf.DUMMYFUNCTION("""COMPUTED_VALUE"""),43787)</f>
        <v>43787</v>
      </c>
      <c r="E193" s="3">
        <f ca="1">IFERROR(__xludf.DUMMYFUNCTION("""COMPUTED_VALUE"""),0.707372685184964)</f>
        <v>0.70737268518496399</v>
      </c>
      <c r="F193" s="1">
        <f ca="1">IFERROR(__xludf.DUMMYFUNCTION("""COMPUTED_VALUE"""),28)</f>
        <v>28</v>
      </c>
      <c r="G193" s="1" t="str">
        <f ca="1">IFERROR(__xludf.DUMMYFUNCTION("""COMPUTED_VALUE"""),"13.0016/77.6279")</f>
        <v>13.0016/77.6279</v>
      </c>
      <c r="H193" s="1" t="str">
        <f ca="1">IFERROR(__xludf.DUMMYFUNCTION("""COMPUTED_VALUE"""),"Seva Nagar")</f>
        <v>Seva Nagar</v>
      </c>
      <c r="I193" s="1"/>
      <c r="J193" s="1" t="str">
        <f ca="1">IFERROR(__xludf.DUMMYFUNCTION("""COMPUTED_VALUE"""),"1128d 11h 33m")</f>
        <v>1128d 11h 33m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>
      <c r="A194" s="1">
        <f ca="1">IFERROR(__xludf.DUMMYFUNCTION("""COMPUTED_VALUE"""),10)</f>
        <v>10</v>
      </c>
      <c r="B194" s="1" t="str">
        <f ca="1">IFERROR(__xludf.DUMMYFUNCTION("""COMPUTED_VALUE"""),"C3_KA04AA9028_Desilting")</f>
        <v>C3_KA04AA9028_Desilting</v>
      </c>
      <c r="C194" s="1" t="str">
        <f ca="1">IFERROR(__xludf.DUMMYFUNCTION("""COMPUTED_VALUE"""),"c3_ka04aa9028_desilting")</f>
        <v>c3_ka04aa9028_desilting</v>
      </c>
      <c r="D194" s="2">
        <f ca="1">IFERROR(__xludf.DUMMYFUNCTION("""COMPUTED_VALUE"""),43787)</f>
        <v>43787</v>
      </c>
      <c r="E194" s="3">
        <f ca="1">IFERROR(__xludf.DUMMYFUNCTION("""COMPUTED_VALUE"""),0.707372685184964)</f>
        <v>0.70737268518496399</v>
      </c>
      <c r="F194" s="1">
        <f ca="1">IFERROR(__xludf.DUMMYFUNCTION("""COMPUTED_VALUE"""),28)</f>
        <v>28</v>
      </c>
      <c r="G194" s="1" t="str">
        <f ca="1">IFERROR(__xludf.DUMMYFUNCTION("""COMPUTED_VALUE"""),"13.0016/77.6279")</f>
        <v>13.0016/77.6279</v>
      </c>
      <c r="H194" s="1" t="str">
        <f ca="1">IFERROR(__xludf.DUMMYFUNCTION("""COMPUTED_VALUE"""),"Seva Nagar")</f>
        <v>Seva Nagar</v>
      </c>
      <c r="I194" s="1"/>
      <c r="J194" s="1" t="str">
        <f ca="1">IFERROR(__xludf.DUMMYFUNCTION("""COMPUTED_VALUE"""),"1128d 11h 33m")</f>
        <v>1128d 11h 33m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>
      <c r="A195" s="1">
        <f ca="1">IFERROR(__xludf.DUMMYFUNCTION("""COMPUTED_VALUE"""),82)</f>
        <v>82</v>
      </c>
      <c r="B195" s="1" t="str">
        <f ca="1">IFERROR(__xludf.DUMMYFUNCTION("""COMPUTED_VALUE"""),"C3_KA04C3716_Jetting")</f>
        <v>C3_KA04C3716_Jetting</v>
      </c>
      <c r="C195" s="1" t="str">
        <f ca="1">IFERROR(__xludf.DUMMYFUNCTION("""COMPUTED_VALUE"""),"c3_ka04c3716_jetting")</f>
        <v>c3_ka04c3716_jetting</v>
      </c>
      <c r="D195" s="2">
        <f ca="1">IFERROR(__xludf.DUMMYFUNCTION("""COMPUTED_VALUE"""),44697)</f>
        <v>44697</v>
      </c>
      <c r="E195" s="3">
        <f ca="1">IFERROR(__xludf.DUMMYFUNCTION("""COMPUTED_VALUE"""),0.518784722222335)</f>
        <v>0.51878472222233496</v>
      </c>
      <c r="F195" s="1">
        <f ca="1">IFERROR(__xludf.DUMMYFUNCTION("""COMPUTED_VALUE"""),7219)</f>
        <v>7219</v>
      </c>
      <c r="G195" s="1" t="str">
        <f ca="1">IFERROR(__xludf.DUMMYFUNCTION("""COMPUTED_VALUE"""),"13.0399/77.6518")</f>
        <v>13.0399/77.6518</v>
      </c>
      <c r="H195" s="1" t="str">
        <f ca="1">IFERROR(__xludf.DUMMYFUNCTION("""COMPUTED_VALUE"""),"Ä€gara")</f>
        <v>Ä€gara</v>
      </c>
      <c r="I195" s="1"/>
      <c r="J195" s="1" t="str">
        <f ca="1">IFERROR(__xludf.DUMMYFUNCTION("""COMPUTED_VALUE"""),"0d 00h 00m")</f>
        <v>0d 00h 00m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>
      <c r="A196" s="1">
        <f ca="1">IFERROR(__xludf.DUMMYFUNCTION("""COMPUTED_VALUE"""),60)</f>
        <v>60</v>
      </c>
      <c r="B196" s="1" t="str">
        <f ca="1">IFERROR(__xludf.DUMMYFUNCTION("""COMPUTED_VALUE"""),"C3_KA04C3716_Jetting")</f>
        <v>C3_KA04C3716_Jetting</v>
      </c>
      <c r="C196" s="1" t="str">
        <f ca="1">IFERROR(__xludf.DUMMYFUNCTION("""COMPUTED_VALUE"""),"c3_ka04c3716_jetting")</f>
        <v>c3_ka04c3716_jetting</v>
      </c>
      <c r="D196" s="2">
        <f ca="1">IFERROR(__xludf.DUMMYFUNCTION("""COMPUTED_VALUE"""),44709)</f>
        <v>44709</v>
      </c>
      <c r="E196" s="3">
        <f ca="1">IFERROR(__xludf.DUMMYFUNCTION("""COMPUTED_VALUE"""),0.0620833333341579)</f>
        <v>6.20833333341579E-2</v>
      </c>
      <c r="F196" s="1">
        <f ca="1">IFERROR(__xludf.DUMMYFUNCTION("""COMPUTED_VALUE"""),7222)</f>
        <v>7222</v>
      </c>
      <c r="G196" s="1" t="str">
        <f ca="1">IFERROR(__xludf.DUMMYFUNCTION("""COMPUTED_VALUE"""),"13.0209/77.6496")</f>
        <v>13.0209/77.6496</v>
      </c>
      <c r="H196" s="1" t="str">
        <f ca="1">IFERROR(__xludf.DUMMYFUNCTION("""COMPUTED_VALUE"""),"Babushibpalya")</f>
        <v>Babushibpalya</v>
      </c>
      <c r="I196" s="1"/>
      <c r="J196" s="1" t="str">
        <f ca="1">IFERROR(__xludf.DUMMYFUNCTION("""COMPUTED_VALUE"""),"0d 00h 00m")</f>
        <v>0d 00h 00m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>
      <c r="A197" s="1">
        <f ca="1">IFERROR(__xludf.DUMMYFUNCTION("""COMPUTED_VALUE"""),51)</f>
        <v>51</v>
      </c>
      <c r="B197" s="1" t="str">
        <f ca="1">IFERROR(__xludf.DUMMYFUNCTION("""COMPUTED_VALUE"""),"C3_KA04C3716_Jetting")</f>
        <v>C3_KA04C3716_Jetting</v>
      </c>
      <c r="C197" s="1" t="str">
        <f ca="1">IFERROR(__xludf.DUMMYFUNCTION("""COMPUTED_VALUE"""),"c3_ka04c3716_jetting")</f>
        <v>c3_ka04c3716_jetting</v>
      </c>
      <c r="D197" s="2">
        <f ca="1">IFERROR(__xludf.DUMMYFUNCTION("""COMPUTED_VALUE"""),44709)</f>
        <v>44709</v>
      </c>
      <c r="E197" s="3">
        <f ca="1">IFERROR(__xludf.DUMMYFUNCTION("""COMPUTED_VALUE"""),0.0620833333341579)</f>
        <v>6.20833333341579E-2</v>
      </c>
      <c r="F197" s="1">
        <f ca="1">IFERROR(__xludf.DUMMYFUNCTION("""COMPUTED_VALUE"""),7222)</f>
        <v>7222</v>
      </c>
      <c r="G197" s="1" t="str">
        <f ca="1">IFERROR(__xludf.DUMMYFUNCTION("""COMPUTED_VALUE"""),"13.0209/77.6496")</f>
        <v>13.0209/77.6496</v>
      </c>
      <c r="H197" s="1" t="str">
        <f ca="1">IFERROR(__xludf.DUMMYFUNCTION("""COMPUTED_VALUE"""),"Babushibpalya")</f>
        <v>Babushibpalya</v>
      </c>
      <c r="I197" s="1"/>
      <c r="J197" s="1" t="str">
        <f ca="1">IFERROR(__xludf.DUMMYFUNCTION("""COMPUTED_VALUE"""),"0d 00h 00m")</f>
        <v>0d 00h 00m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>
      <c r="A198" s="1">
        <f ca="1">IFERROR(__xludf.DUMMYFUNCTION("""COMPUTED_VALUE"""),50)</f>
        <v>50</v>
      </c>
      <c r="B198" s="1" t="str">
        <f ca="1">IFERROR(__xludf.DUMMYFUNCTION("""COMPUTED_VALUE"""),"C3_KA04C3716_Jetting")</f>
        <v>C3_KA04C3716_Jetting</v>
      </c>
      <c r="C198" s="1" t="str">
        <f ca="1">IFERROR(__xludf.DUMMYFUNCTION("""COMPUTED_VALUE"""),"c3_ka04c3716_jetting")</f>
        <v>c3_ka04c3716_jetting</v>
      </c>
      <c r="D198" s="2">
        <f ca="1">IFERROR(__xludf.DUMMYFUNCTION("""COMPUTED_VALUE"""),44709)</f>
        <v>44709</v>
      </c>
      <c r="E198" s="3">
        <f ca="1">IFERROR(__xludf.DUMMYFUNCTION("""COMPUTED_VALUE"""),0.0620833333341579)</f>
        <v>6.20833333341579E-2</v>
      </c>
      <c r="F198" s="1">
        <f ca="1">IFERROR(__xludf.DUMMYFUNCTION("""COMPUTED_VALUE"""),7222)</f>
        <v>7222</v>
      </c>
      <c r="G198" s="1" t="str">
        <f ca="1">IFERROR(__xludf.DUMMYFUNCTION("""COMPUTED_VALUE"""),"13.0209/77.6496")</f>
        <v>13.0209/77.6496</v>
      </c>
      <c r="H198" s="1" t="str">
        <f ca="1">IFERROR(__xludf.DUMMYFUNCTION("""COMPUTED_VALUE"""),"Babushibpalya")</f>
        <v>Babushibpalya</v>
      </c>
      <c r="I198" s="1"/>
      <c r="J198" s="1" t="str">
        <f ca="1">IFERROR(__xludf.DUMMYFUNCTION("""COMPUTED_VALUE"""),"0d 00h 00m")</f>
        <v>0d 00h 00m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>
      <c r="A199" s="1">
        <f ca="1">IFERROR(__xludf.DUMMYFUNCTION("""COMPUTED_VALUE"""),172)</f>
        <v>172</v>
      </c>
      <c r="B199" s="1" t="str">
        <f ca="1">IFERROR(__xludf.DUMMYFUNCTION("""COMPUTED_VALUE"""),"C3_KA04C3716_Jetting")</f>
        <v>C3_KA04C3716_Jetting</v>
      </c>
      <c r="C199" s="1" t="str">
        <f ca="1">IFERROR(__xludf.DUMMYFUNCTION("""COMPUTED_VALUE"""),"c3_ka04c3716_jetting")</f>
        <v>c3_ka04c3716_jetting</v>
      </c>
      <c r="D199" s="2">
        <f ca="1">IFERROR(__xludf.DUMMYFUNCTION("""COMPUTED_VALUE"""),44830)</f>
        <v>44830</v>
      </c>
      <c r="E199" s="3">
        <f ca="1">IFERROR(__xludf.DUMMYFUNCTION("""COMPUTED_VALUE"""),0.999016203702922)</f>
        <v>0.99901620370292199</v>
      </c>
      <c r="F199" s="1">
        <f ca="1">IFERROR(__xludf.DUMMYFUNCTION("""COMPUTED_VALUE"""),7751)</f>
        <v>7751</v>
      </c>
      <c r="G199" s="1" t="str">
        <f ca="1">IFERROR(__xludf.DUMMYFUNCTION("""COMPUTED_VALUE"""),"13.0207/77.6496")</f>
        <v>13.0207/77.6496</v>
      </c>
      <c r="H199" s="1" t="str">
        <f ca="1">IFERROR(__xludf.DUMMYFUNCTION("""COMPUTED_VALUE"""),"Babushibpalya")</f>
        <v>Babushibpalya</v>
      </c>
      <c r="I199" s="1"/>
      <c r="J199" s="1" t="str">
        <f ca="1">IFERROR(__xludf.DUMMYFUNCTION("""COMPUTED_VALUE"""),"0d 00h 00m")</f>
        <v>0d 00h 00m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>
      <c r="A200" s="1">
        <f ca="1">IFERROR(__xludf.DUMMYFUNCTION("""COMPUTED_VALUE"""),237)</f>
        <v>237</v>
      </c>
      <c r="B200" s="1" t="str">
        <f ca="1">IFERROR(__xludf.DUMMYFUNCTION("""COMPUTED_VALUE"""),"C3_KA04C3716_Jetting")</f>
        <v>C3_KA04C3716_Jetting</v>
      </c>
      <c r="C200" s="1" t="str">
        <f ca="1">IFERROR(__xludf.DUMMYFUNCTION("""COMPUTED_VALUE"""),"c3_ka04c3716_jetting")</f>
        <v>c3_ka04c3716_jetting</v>
      </c>
      <c r="D200" s="2">
        <f ca="1">IFERROR(__xludf.DUMMYFUNCTION("""COMPUTED_VALUE"""),44860)</f>
        <v>44860</v>
      </c>
      <c r="E200" s="3">
        <f ca="1">IFERROR(__xludf.DUMMYFUNCTION("""COMPUTED_VALUE"""),0.999317129630071)</f>
        <v>0.99931712963007102</v>
      </c>
      <c r="F200" s="1">
        <f ca="1">IFERROR(__xludf.DUMMYFUNCTION("""COMPUTED_VALUE"""),8287)</f>
        <v>8287</v>
      </c>
      <c r="G200" s="1" t="str">
        <f ca="1">IFERROR(__xludf.DUMMYFUNCTION("""COMPUTED_VALUE"""),"13.0208/77.6497")</f>
        <v>13.0208/77.6497</v>
      </c>
      <c r="H200" s="1" t="str">
        <f ca="1">IFERROR(__xludf.DUMMYFUNCTION("""COMPUTED_VALUE"""),"Babushibpalya")</f>
        <v>Babushibpalya</v>
      </c>
      <c r="I200" s="1"/>
      <c r="J200" s="1" t="str">
        <f ca="1">IFERROR(__xludf.DUMMYFUNCTION("""COMPUTED_VALUE"""),"0d 00h 00m")</f>
        <v>0d 00h 00m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>
      <c r="A201" s="1">
        <f ca="1">IFERROR(__xludf.DUMMYFUNCTION("""COMPUTED_VALUE"""),29)</f>
        <v>29</v>
      </c>
      <c r="B201" s="1" t="str">
        <f ca="1">IFERROR(__xludf.DUMMYFUNCTION("""COMPUTED_VALUE"""),"C3_KA04C5156_Jetting")</f>
        <v>C3_KA04C5156_Jetting</v>
      </c>
      <c r="C201" s="1" t="str">
        <f ca="1">IFERROR(__xludf.DUMMYFUNCTION("""COMPUTED_VALUE"""),"c3_ka04c5156_jetting")</f>
        <v>c3_ka04c5156_jetting</v>
      </c>
      <c r="D201" s="2">
        <f ca="1">IFERROR(__xludf.DUMMYFUNCTION("""COMPUTED_VALUE"""),44165)</f>
        <v>44165</v>
      </c>
      <c r="E201" s="3">
        <f ca="1">IFERROR(__xludf.DUMMYFUNCTION("""COMPUTED_VALUE"""),0.655740740741748)</f>
        <v>0.65574074074174804</v>
      </c>
      <c r="F201" s="1">
        <f ca="1">IFERROR(__xludf.DUMMYFUNCTION("""COMPUTED_VALUE"""),8278)</f>
        <v>8278</v>
      </c>
      <c r="G201" s="1" t="str">
        <f ca="1">IFERROR(__xludf.DUMMYFUNCTION("""COMPUTED_VALUE"""),"12.9934/77.5212")</f>
        <v>12.9934/77.5212</v>
      </c>
      <c r="H201" s="1" t="str">
        <f ca="1">IFERROR(__xludf.DUMMYFUNCTION("""COMPUTED_VALUE"""),"KamalaNagar")</f>
        <v>KamalaNagar</v>
      </c>
      <c r="I201" s="1"/>
      <c r="J201" s="1" t="str">
        <f ca="1">IFERROR(__xludf.DUMMYFUNCTION("""COMPUTED_VALUE"""),"751d 18h 45m")</f>
        <v>751d 18h 45m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>
      <c r="A202" s="1">
        <f ca="1">IFERROR(__xludf.DUMMYFUNCTION("""COMPUTED_VALUE"""),28)</f>
        <v>28</v>
      </c>
      <c r="B202" s="1" t="str">
        <f ca="1">IFERROR(__xludf.DUMMYFUNCTION("""COMPUTED_VALUE"""),"C3_KA04C5156_Jetting")</f>
        <v>C3_KA04C5156_Jetting</v>
      </c>
      <c r="C202" s="1" t="str">
        <f ca="1">IFERROR(__xludf.DUMMYFUNCTION("""COMPUTED_VALUE"""),"c3_ka04c5156_jetting")</f>
        <v>c3_ka04c5156_jetting</v>
      </c>
      <c r="D202" s="2">
        <f ca="1">IFERROR(__xludf.DUMMYFUNCTION("""COMPUTED_VALUE"""),44165)</f>
        <v>44165</v>
      </c>
      <c r="E202" s="3">
        <f ca="1">IFERROR(__xludf.DUMMYFUNCTION("""COMPUTED_VALUE"""),0.655740740741748)</f>
        <v>0.65574074074174804</v>
      </c>
      <c r="F202" s="1">
        <f ca="1">IFERROR(__xludf.DUMMYFUNCTION("""COMPUTED_VALUE"""),8278)</f>
        <v>8278</v>
      </c>
      <c r="G202" s="1" t="str">
        <f ca="1">IFERROR(__xludf.DUMMYFUNCTION("""COMPUTED_VALUE"""),"12.9934/77.5212")</f>
        <v>12.9934/77.5212</v>
      </c>
      <c r="H202" s="1" t="str">
        <f ca="1">IFERROR(__xludf.DUMMYFUNCTION("""COMPUTED_VALUE"""),"KamalaNagar")</f>
        <v>KamalaNagar</v>
      </c>
      <c r="I202" s="1"/>
      <c r="J202" s="1" t="str">
        <f ca="1">IFERROR(__xludf.DUMMYFUNCTION("""COMPUTED_VALUE"""),"751d 18h 46m")</f>
        <v>751d 18h 46m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>
      <c r="A203" s="1">
        <f ca="1">IFERROR(__xludf.DUMMYFUNCTION("""COMPUTED_VALUE"""),28)</f>
        <v>28</v>
      </c>
      <c r="B203" s="1" t="str">
        <f ca="1">IFERROR(__xludf.DUMMYFUNCTION("""COMPUTED_VALUE"""),"C3_KA04C5156_Jetting")</f>
        <v>C3_KA04C5156_Jetting</v>
      </c>
      <c r="C203" s="1" t="str">
        <f ca="1">IFERROR(__xludf.DUMMYFUNCTION("""COMPUTED_VALUE"""),"c3_ka04c5156_jetting")</f>
        <v>c3_ka04c5156_jetting</v>
      </c>
      <c r="D203" s="2">
        <f ca="1">IFERROR(__xludf.DUMMYFUNCTION("""COMPUTED_VALUE"""),44165)</f>
        <v>44165</v>
      </c>
      <c r="E203" s="3">
        <f ca="1">IFERROR(__xludf.DUMMYFUNCTION("""COMPUTED_VALUE"""),0.655740740741748)</f>
        <v>0.65574074074174804</v>
      </c>
      <c r="F203" s="1">
        <f ca="1">IFERROR(__xludf.DUMMYFUNCTION("""COMPUTED_VALUE"""),8278)</f>
        <v>8278</v>
      </c>
      <c r="G203" s="1" t="str">
        <f ca="1">IFERROR(__xludf.DUMMYFUNCTION("""COMPUTED_VALUE"""),"12.9934/77.5212")</f>
        <v>12.9934/77.5212</v>
      </c>
      <c r="H203" s="1" t="str">
        <f ca="1">IFERROR(__xludf.DUMMYFUNCTION("""COMPUTED_VALUE"""),"KamalaNagar")</f>
        <v>KamalaNagar</v>
      </c>
      <c r="I203" s="1"/>
      <c r="J203" s="1" t="str">
        <f ca="1">IFERROR(__xludf.DUMMYFUNCTION("""COMPUTED_VALUE"""),"751d 18h 47m")</f>
        <v>751d 18h 47m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>
      <c r="A204" s="1">
        <f ca="1">IFERROR(__xludf.DUMMYFUNCTION("""COMPUTED_VALUE"""),28)</f>
        <v>28</v>
      </c>
      <c r="B204" s="1" t="str">
        <f ca="1">IFERROR(__xludf.DUMMYFUNCTION("""COMPUTED_VALUE"""),"C3_KA04C5156_Jetting")</f>
        <v>C3_KA04C5156_Jetting</v>
      </c>
      <c r="C204" s="1" t="str">
        <f ca="1">IFERROR(__xludf.DUMMYFUNCTION("""COMPUTED_VALUE"""),"c3_ka04c5156_jetting")</f>
        <v>c3_ka04c5156_jetting</v>
      </c>
      <c r="D204" s="2">
        <f ca="1">IFERROR(__xludf.DUMMYFUNCTION("""COMPUTED_VALUE"""),44165)</f>
        <v>44165</v>
      </c>
      <c r="E204" s="3">
        <f ca="1">IFERROR(__xludf.DUMMYFUNCTION("""COMPUTED_VALUE"""),0.655740740741748)</f>
        <v>0.65574074074174804</v>
      </c>
      <c r="F204" s="1">
        <f ca="1">IFERROR(__xludf.DUMMYFUNCTION("""COMPUTED_VALUE"""),8278)</f>
        <v>8278</v>
      </c>
      <c r="G204" s="1" t="str">
        <f ca="1">IFERROR(__xludf.DUMMYFUNCTION("""COMPUTED_VALUE"""),"12.9934/77.5212")</f>
        <v>12.9934/77.5212</v>
      </c>
      <c r="H204" s="1" t="str">
        <f ca="1">IFERROR(__xludf.DUMMYFUNCTION("""COMPUTED_VALUE"""),"KamalaNagar")</f>
        <v>KamalaNagar</v>
      </c>
      <c r="I204" s="1"/>
      <c r="J204" s="1" t="str">
        <f ca="1">IFERROR(__xludf.DUMMYFUNCTION("""COMPUTED_VALUE"""),"751d 18h 48m")</f>
        <v>751d 18h 48m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>
      <c r="A205" s="1">
        <f ca="1">IFERROR(__xludf.DUMMYFUNCTION("""COMPUTED_VALUE"""),28)</f>
        <v>28</v>
      </c>
      <c r="B205" s="1" t="str">
        <f ca="1">IFERROR(__xludf.DUMMYFUNCTION("""COMPUTED_VALUE"""),"C3_KA04C5156_Jetting")</f>
        <v>C3_KA04C5156_Jetting</v>
      </c>
      <c r="C205" s="1" t="str">
        <f ca="1">IFERROR(__xludf.DUMMYFUNCTION("""COMPUTED_VALUE"""),"c3_ka04c5156_jetting")</f>
        <v>c3_ka04c5156_jetting</v>
      </c>
      <c r="D205" s="2">
        <f ca="1">IFERROR(__xludf.DUMMYFUNCTION("""COMPUTED_VALUE"""),44165)</f>
        <v>44165</v>
      </c>
      <c r="E205" s="3">
        <f ca="1">IFERROR(__xludf.DUMMYFUNCTION("""COMPUTED_VALUE"""),0.655740740741748)</f>
        <v>0.65574074074174804</v>
      </c>
      <c r="F205" s="1">
        <f ca="1">IFERROR(__xludf.DUMMYFUNCTION("""COMPUTED_VALUE"""),8278)</f>
        <v>8278</v>
      </c>
      <c r="G205" s="1" t="str">
        <f ca="1">IFERROR(__xludf.DUMMYFUNCTION("""COMPUTED_VALUE"""),"12.9934/77.5212")</f>
        <v>12.9934/77.5212</v>
      </c>
      <c r="H205" s="1" t="str">
        <f ca="1">IFERROR(__xludf.DUMMYFUNCTION("""COMPUTED_VALUE"""),"KamalaNagar")</f>
        <v>KamalaNagar</v>
      </c>
      <c r="I205" s="1"/>
      <c r="J205" s="1" t="str">
        <f ca="1">IFERROR(__xludf.DUMMYFUNCTION("""COMPUTED_VALUE"""),"751d 18h 49m")</f>
        <v>751d 18h 49m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>
      <c r="A206" s="1">
        <f ca="1">IFERROR(__xludf.DUMMYFUNCTION("""COMPUTED_VALUE"""),28)</f>
        <v>28</v>
      </c>
      <c r="B206" s="1" t="str">
        <f ca="1">IFERROR(__xludf.DUMMYFUNCTION("""COMPUTED_VALUE"""),"C3_KA04C5156_Jetting")</f>
        <v>C3_KA04C5156_Jetting</v>
      </c>
      <c r="C206" s="1" t="str">
        <f ca="1">IFERROR(__xludf.DUMMYFUNCTION("""COMPUTED_VALUE"""),"c3_ka04c5156_jetting")</f>
        <v>c3_ka04c5156_jetting</v>
      </c>
      <c r="D206" s="2">
        <f ca="1">IFERROR(__xludf.DUMMYFUNCTION("""COMPUTED_VALUE"""),44165)</f>
        <v>44165</v>
      </c>
      <c r="E206" s="3">
        <f ca="1">IFERROR(__xludf.DUMMYFUNCTION("""COMPUTED_VALUE"""),0.655740740741748)</f>
        <v>0.65574074074174804</v>
      </c>
      <c r="F206" s="1">
        <f ca="1">IFERROR(__xludf.DUMMYFUNCTION("""COMPUTED_VALUE"""),8278)</f>
        <v>8278</v>
      </c>
      <c r="G206" s="1" t="str">
        <f ca="1">IFERROR(__xludf.DUMMYFUNCTION("""COMPUTED_VALUE"""),"12.9934/77.5212")</f>
        <v>12.9934/77.5212</v>
      </c>
      <c r="H206" s="1" t="str">
        <f ca="1">IFERROR(__xludf.DUMMYFUNCTION("""COMPUTED_VALUE"""),"KamalaNagar")</f>
        <v>KamalaNagar</v>
      </c>
      <c r="I206" s="1"/>
      <c r="J206" s="1" t="str">
        <f ca="1">IFERROR(__xludf.DUMMYFUNCTION("""COMPUTED_VALUE"""),"751d 18h 49m")</f>
        <v>751d 18h 49m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>
      <c r="A207" s="1">
        <f ca="1">IFERROR(__xludf.DUMMYFUNCTION("""COMPUTED_VALUE"""),57)</f>
        <v>57</v>
      </c>
      <c r="B207" s="1" t="str">
        <f ca="1">IFERROR(__xludf.DUMMYFUNCTION("""COMPUTED_VALUE"""),"C3_KA04C5160_Jetting")</f>
        <v>C3_KA04C5160_Jetting</v>
      </c>
      <c r="C207" s="1" t="str">
        <f ca="1">IFERROR(__xludf.DUMMYFUNCTION("""COMPUTED_VALUE"""),"c3_ka04c5160_jetting")</f>
        <v>c3_ka04c5160_jetting</v>
      </c>
      <c r="D207" s="2">
        <f ca="1">IFERROR(__xludf.DUMMYFUNCTION("""COMPUTED_VALUE"""),44660)</f>
        <v>44660</v>
      </c>
      <c r="E207" s="3">
        <f ca="1">IFERROR(__xludf.DUMMYFUNCTION("""COMPUTED_VALUE"""),0.78695601851723)</f>
        <v>0.78695601851722996</v>
      </c>
      <c r="F207" s="1">
        <f ca="1">IFERROR(__xludf.DUMMYFUNCTION("""COMPUTED_VALUE"""),8994)</f>
        <v>8994</v>
      </c>
      <c r="G207" s="1" t="str">
        <f ca="1">IFERROR(__xludf.DUMMYFUNCTION("""COMPUTED_VALUE"""),"13.0016/77.6273")</f>
        <v>13.0016/77.6273</v>
      </c>
      <c r="H207" s="1" t="str">
        <f ca="1">IFERROR(__xludf.DUMMYFUNCTION("""COMPUTED_VALUE"""),"Seva Nagar")</f>
        <v>Seva Nagar</v>
      </c>
      <c r="I207" s="1"/>
      <c r="J207" s="1" t="str">
        <f ca="1">IFERROR(__xludf.DUMMYFUNCTION("""COMPUTED_VALUE"""),"0d 00h 00m")</f>
        <v>0d 00h 00m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>
      <c r="A208" s="1">
        <f ca="1">IFERROR(__xludf.DUMMYFUNCTION("""COMPUTED_VALUE"""),165)</f>
        <v>165</v>
      </c>
      <c r="B208" s="1" t="str">
        <f ca="1">IFERROR(__xludf.DUMMYFUNCTION("""COMPUTED_VALUE"""),"C3_KA04C5160_Jetting")</f>
        <v>C3_KA04C5160_Jetting</v>
      </c>
      <c r="C208" s="1" t="str">
        <f ca="1">IFERROR(__xludf.DUMMYFUNCTION("""COMPUTED_VALUE"""),"c3_ka04c5160_jetting")</f>
        <v>c3_ka04c5160_jetting</v>
      </c>
      <c r="D208" s="2">
        <f ca="1">IFERROR(__xludf.DUMMYFUNCTION("""COMPUTED_VALUE"""),44738)</f>
        <v>44738</v>
      </c>
      <c r="E208" s="3">
        <f ca="1">IFERROR(__xludf.DUMMYFUNCTION("""COMPUTED_VALUE"""),0.99900462962978)</f>
        <v>0.99900462962977998</v>
      </c>
      <c r="F208" s="1">
        <f ca="1">IFERROR(__xludf.DUMMYFUNCTION("""COMPUTED_VALUE"""),9026)</f>
        <v>9026</v>
      </c>
      <c r="G208" s="1" t="str">
        <f ca="1">IFERROR(__xludf.DUMMYFUNCTION("""COMPUTED_VALUE"""),"13.0015/77.6275")</f>
        <v>13.0015/77.6275</v>
      </c>
      <c r="H208" s="1" t="str">
        <f ca="1">IFERROR(__xludf.DUMMYFUNCTION("""COMPUTED_VALUE"""),"Seva Nagar")</f>
        <v>Seva Nagar</v>
      </c>
      <c r="I208" s="1"/>
      <c r="J208" s="1" t="str">
        <f ca="1">IFERROR(__xludf.DUMMYFUNCTION("""COMPUTED_VALUE"""),"0d 00h 00m")</f>
        <v>0d 00h 00m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>
      <c r="A209" s="1">
        <f ca="1">IFERROR(__xludf.DUMMYFUNCTION("""COMPUTED_VALUE"""),177)</f>
        <v>177</v>
      </c>
      <c r="B209" s="1" t="str">
        <f ca="1">IFERROR(__xludf.DUMMYFUNCTION("""COMPUTED_VALUE"""),"C3_KA04C5160_Jetting")</f>
        <v>C3_KA04C5160_Jetting</v>
      </c>
      <c r="C209" s="1" t="str">
        <f ca="1">IFERROR(__xludf.DUMMYFUNCTION("""COMPUTED_VALUE"""),"c3_ka04c5160_jetting")</f>
        <v>c3_ka04c5160_jetting</v>
      </c>
      <c r="D209" s="2">
        <f ca="1">IFERROR(__xludf.DUMMYFUNCTION("""COMPUTED_VALUE"""),44768)</f>
        <v>44768</v>
      </c>
      <c r="E209" s="3">
        <f ca="1">IFERROR(__xludf.DUMMYFUNCTION("""COMPUTED_VALUE"""),0.999016203702922)</f>
        <v>0.99901620370292199</v>
      </c>
      <c r="F209" s="1">
        <f ca="1">IFERROR(__xludf.DUMMYFUNCTION("""COMPUTED_VALUE"""),9228)</f>
        <v>9228</v>
      </c>
      <c r="G209" s="1" t="str">
        <f ca="1">IFERROR(__xludf.DUMMYFUNCTION("""COMPUTED_VALUE"""),"13.0015/77.6275")</f>
        <v>13.0015/77.6275</v>
      </c>
      <c r="H209" s="1" t="str">
        <f ca="1">IFERROR(__xludf.DUMMYFUNCTION("""COMPUTED_VALUE"""),"Seva Nagar")</f>
        <v>Seva Nagar</v>
      </c>
      <c r="I209" s="1"/>
      <c r="J209" s="1" t="str">
        <f ca="1">IFERROR(__xludf.DUMMYFUNCTION("""COMPUTED_VALUE"""),"0d 00h 00m")</f>
        <v>0d 00h 00m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>
      <c r="A210" s="1">
        <f ca="1">IFERROR(__xludf.DUMMYFUNCTION("""COMPUTED_VALUE"""),181)</f>
        <v>181</v>
      </c>
      <c r="B210" s="1" t="str">
        <f ca="1">IFERROR(__xludf.DUMMYFUNCTION("""COMPUTED_VALUE"""),"C3_KA04C5160_Jetting")</f>
        <v>C3_KA04C5160_Jetting</v>
      </c>
      <c r="C210" s="1" t="str">
        <f ca="1">IFERROR(__xludf.DUMMYFUNCTION("""COMPUTED_VALUE"""),"c3_ka04c5160_jetting")</f>
        <v>c3_ka04c5160_jetting</v>
      </c>
      <c r="D210" s="2">
        <f ca="1">IFERROR(__xludf.DUMMYFUNCTION("""COMPUTED_VALUE"""),44799)</f>
        <v>44799</v>
      </c>
      <c r="E210" s="3">
        <f ca="1">IFERROR(__xludf.DUMMYFUNCTION("""COMPUTED_VALUE"""),0.999039351852843)</f>
        <v>0.99903935185284298</v>
      </c>
      <c r="F210" s="1">
        <f ca="1">IFERROR(__xludf.DUMMYFUNCTION("""COMPUTED_VALUE"""),11234)</f>
        <v>11234</v>
      </c>
      <c r="G210" s="1" t="str">
        <f ca="1">IFERROR(__xludf.DUMMYFUNCTION("""COMPUTED_VALUE"""),"13.0014/77.6275")</f>
        <v>13.0014/77.6275</v>
      </c>
      <c r="H210" s="1" t="str">
        <f ca="1">IFERROR(__xludf.DUMMYFUNCTION("""COMPUTED_VALUE"""),"Seva Nagar")</f>
        <v>Seva Nagar</v>
      </c>
      <c r="I210" s="1"/>
      <c r="J210" s="1" t="str">
        <f ca="1">IFERROR(__xludf.DUMMYFUNCTION("""COMPUTED_VALUE"""),"0d 00h 00m")</f>
        <v>0d 00h 00m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>
      <c r="A211" s="1">
        <f ca="1">IFERROR(__xludf.DUMMYFUNCTION("""COMPUTED_VALUE"""),166)</f>
        <v>166</v>
      </c>
      <c r="B211" s="1" t="str">
        <f ca="1">IFERROR(__xludf.DUMMYFUNCTION("""COMPUTED_VALUE"""),"C3_KA04C5160_Jetting")</f>
        <v>C3_KA04C5160_Jetting</v>
      </c>
      <c r="C211" s="1" t="str">
        <f ca="1">IFERROR(__xludf.DUMMYFUNCTION("""COMPUTED_VALUE"""),"c3_ka04c5160_jetting")</f>
        <v>c3_ka04c5160_jetting</v>
      </c>
      <c r="D211" s="2">
        <f ca="1">IFERROR(__xludf.DUMMYFUNCTION("""COMPUTED_VALUE"""),44830)</f>
        <v>44830</v>
      </c>
      <c r="E211" s="3">
        <f ca="1">IFERROR(__xludf.DUMMYFUNCTION("""COMPUTED_VALUE"""),0.998981481479859)</f>
        <v>0.99898148147985899</v>
      </c>
      <c r="F211" s="1">
        <f ca="1">IFERROR(__xludf.DUMMYFUNCTION("""COMPUTED_VALUE"""),11580)</f>
        <v>11580</v>
      </c>
      <c r="G211" s="1" t="str">
        <f ca="1">IFERROR(__xludf.DUMMYFUNCTION("""COMPUTED_VALUE"""),"13.0017/77.6275")</f>
        <v>13.0017/77.6275</v>
      </c>
      <c r="H211" s="1" t="str">
        <f ca="1">IFERROR(__xludf.DUMMYFUNCTION("""COMPUTED_VALUE"""),"Seva Nagar")</f>
        <v>Seva Nagar</v>
      </c>
      <c r="I211" s="1"/>
      <c r="J211" s="1" t="str">
        <f ca="1">IFERROR(__xludf.DUMMYFUNCTION("""COMPUTED_VALUE"""),"0d 00h 00m")</f>
        <v>0d 00h 00m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>
      <c r="A212" s="1">
        <f ca="1">IFERROR(__xludf.DUMMYFUNCTION("""COMPUTED_VALUE"""),232)</f>
        <v>232</v>
      </c>
      <c r="B212" s="1" t="str">
        <f ca="1">IFERROR(__xludf.DUMMYFUNCTION("""COMPUTED_VALUE"""),"C3_KA04C5160_Jetting")</f>
        <v>C3_KA04C5160_Jetting</v>
      </c>
      <c r="C212" s="1" t="str">
        <f ca="1">IFERROR(__xludf.DUMMYFUNCTION("""COMPUTED_VALUE"""),"c3_ka04c5160_jetting")</f>
        <v>c3_ka04c5160_jetting</v>
      </c>
      <c r="D212" s="2">
        <f ca="1">IFERROR(__xludf.DUMMYFUNCTION("""COMPUTED_VALUE"""),44860)</f>
        <v>44860</v>
      </c>
      <c r="E212" s="3">
        <f ca="1">IFERROR(__xludf.DUMMYFUNCTION("""COMPUTED_VALUE"""),0.999282407407008)</f>
        <v>0.99928240740700802</v>
      </c>
      <c r="F212" s="1">
        <f ca="1">IFERROR(__xludf.DUMMYFUNCTION("""COMPUTED_VALUE"""),12010)</f>
        <v>12010</v>
      </c>
      <c r="G212" s="1" t="str">
        <f ca="1">IFERROR(__xludf.DUMMYFUNCTION("""COMPUTED_VALUE"""),"13.0018/77.6276")</f>
        <v>13.0018/77.6276</v>
      </c>
      <c r="H212" s="1" t="str">
        <f ca="1">IFERROR(__xludf.DUMMYFUNCTION("""COMPUTED_VALUE"""),"Seva Nagar")</f>
        <v>Seva Nagar</v>
      </c>
      <c r="I212" s="1"/>
      <c r="J212" s="1" t="str">
        <f ca="1">IFERROR(__xludf.DUMMYFUNCTION("""COMPUTED_VALUE"""),"0d 00h 00m")</f>
        <v>0d 00h 00m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>
      <c r="A213" s="1">
        <f ca="1">IFERROR(__xludf.DUMMYFUNCTION("""COMPUTED_VALUE"""),207)</f>
        <v>207</v>
      </c>
      <c r="B213" s="1" t="str">
        <f ca="1">IFERROR(__xludf.DUMMYFUNCTION("""COMPUTED_VALUE"""),"C3_KA04D4276_Jetting")</f>
        <v>C3_KA04D4276_Jetting</v>
      </c>
      <c r="C213" s="1" t="str">
        <f ca="1">IFERROR(__xludf.DUMMYFUNCTION("""COMPUTED_VALUE"""),"c3_ka04d4276_jetting")</f>
        <v>c3_ka04d4276_jetting</v>
      </c>
      <c r="D213" s="2">
        <f ca="1">IFERROR(__xludf.DUMMYFUNCTION("""COMPUTED_VALUE"""),44707)</f>
        <v>44707</v>
      </c>
      <c r="E213" s="3">
        <f ca="1">IFERROR(__xludf.DUMMYFUNCTION("""COMPUTED_VALUE"""),0.999224537037662)</f>
        <v>0.99922453703766201</v>
      </c>
      <c r="F213" s="1">
        <f ca="1">IFERROR(__xludf.DUMMYFUNCTION("""COMPUTED_VALUE"""),15529)</f>
        <v>15529</v>
      </c>
      <c r="G213" s="1" t="str">
        <f ca="1">IFERROR(__xludf.DUMMYFUNCTION("""COMPUTED_VALUE"""),"13.0015/77.6274")</f>
        <v>13.0015/77.6274</v>
      </c>
      <c r="H213" s="1" t="str">
        <f ca="1">IFERROR(__xludf.DUMMYFUNCTION("""COMPUTED_VALUE"""),"Seva Nagar")</f>
        <v>Seva Nagar</v>
      </c>
      <c r="I213" s="1"/>
      <c r="J213" s="1" t="str">
        <f ca="1">IFERROR(__xludf.DUMMYFUNCTION("""COMPUTED_VALUE"""),"0d 00h 00m")</f>
        <v>0d 00h 00m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>
      <c r="A214" s="1">
        <f ca="1">IFERROR(__xludf.DUMMYFUNCTION("""COMPUTED_VALUE"""),95)</f>
        <v>95</v>
      </c>
      <c r="B214" s="1" t="str">
        <f ca="1">IFERROR(__xludf.DUMMYFUNCTION("""COMPUTED_VALUE"""),"C3_KA04D4276_Jetting")</f>
        <v>C3_KA04D4276_Jetting</v>
      </c>
      <c r="C214" s="1" t="str">
        <f ca="1">IFERROR(__xludf.DUMMYFUNCTION("""COMPUTED_VALUE"""),"c3_ka04d4276_jetting")</f>
        <v>c3_ka04d4276_jetting</v>
      </c>
      <c r="D214" s="2">
        <f ca="1">IFERROR(__xludf.DUMMYFUNCTION("""COMPUTED_VALUE"""),44732)</f>
        <v>44732</v>
      </c>
      <c r="E214" s="3">
        <f ca="1">IFERROR(__xludf.DUMMYFUNCTION("""COMPUTED_VALUE"""),0.707754629631381)</f>
        <v>0.70775462963138103</v>
      </c>
      <c r="F214" s="1">
        <f ca="1">IFERROR(__xludf.DUMMYFUNCTION("""COMPUTED_VALUE"""),15695)</f>
        <v>15695</v>
      </c>
      <c r="G214" s="1" t="str">
        <f ca="1">IFERROR(__xludf.DUMMYFUNCTION("""COMPUTED_VALUE"""),"13.0016/77.6275")</f>
        <v>13.0016/77.6275</v>
      </c>
      <c r="H214" s="1" t="str">
        <f ca="1">IFERROR(__xludf.DUMMYFUNCTION("""COMPUTED_VALUE"""),"Seva Nagar")</f>
        <v>Seva Nagar</v>
      </c>
      <c r="I214" s="1"/>
      <c r="J214" s="1" t="str">
        <f ca="1">IFERROR(__xludf.DUMMYFUNCTION("""COMPUTED_VALUE"""),"0d 00h 00m")</f>
        <v>0d 00h 00m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>
      <c r="A215" s="1">
        <f ca="1">IFERROR(__xludf.DUMMYFUNCTION("""COMPUTED_VALUE"""),113)</f>
        <v>113</v>
      </c>
      <c r="B215" s="1" t="str">
        <f ca="1">IFERROR(__xludf.DUMMYFUNCTION("""COMPUTED_VALUE"""),"C3_KA04D4276_Jetting")</f>
        <v>C3_KA04D4276_Jetting</v>
      </c>
      <c r="C215" s="1" t="str">
        <f ca="1">IFERROR(__xludf.DUMMYFUNCTION("""COMPUTED_VALUE"""),"c3_ka04d4276_jetting")</f>
        <v>c3_ka04d4276_jetting</v>
      </c>
      <c r="D215" s="2">
        <f ca="1">IFERROR(__xludf.DUMMYFUNCTION("""COMPUTED_VALUE"""),44763)</f>
        <v>44763</v>
      </c>
      <c r="E215" s="3">
        <f ca="1">IFERROR(__xludf.DUMMYFUNCTION("""COMPUTED_VALUE"""),0.548784722221171)</f>
        <v>0.54878472222117103</v>
      </c>
      <c r="F215" s="1">
        <f ca="1">IFERROR(__xludf.DUMMYFUNCTION("""COMPUTED_VALUE"""),15742)</f>
        <v>15742</v>
      </c>
      <c r="G215" s="1" t="str">
        <f ca="1">IFERROR(__xludf.DUMMYFUNCTION("""COMPUTED_VALUE"""),"12.9962/77.6218")</f>
        <v>12.9962/77.6218</v>
      </c>
      <c r="H215" s="1" t="str">
        <f ca="1">IFERROR(__xludf.DUMMYFUNCTION("""COMPUTED_VALUE"""),"Cox Town")</f>
        <v>Cox Town</v>
      </c>
      <c r="I215" s="1"/>
      <c r="J215" s="1" t="str">
        <f ca="1">IFERROR(__xludf.DUMMYFUNCTION("""COMPUTED_VALUE"""),"0d 00h 00m")</f>
        <v>0d 00h 00m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>
      <c r="A216" s="1">
        <f ca="1">IFERROR(__xludf.DUMMYFUNCTION("""COMPUTED_VALUE"""),80)</f>
        <v>80</v>
      </c>
      <c r="B216" s="1" t="str">
        <f ca="1">IFERROR(__xludf.DUMMYFUNCTION("""COMPUTED_VALUE"""),"C3_KA04D4276_Jetting")</f>
        <v>C3_KA04D4276_Jetting</v>
      </c>
      <c r="C216" s="1" t="str">
        <f ca="1">IFERROR(__xludf.DUMMYFUNCTION("""COMPUTED_VALUE"""),"c3_ka04d4276_jetting")</f>
        <v>c3_ka04d4276_jetting</v>
      </c>
      <c r="D216" s="2">
        <f ca="1">IFERROR(__xludf.DUMMYFUNCTION("""COMPUTED_VALUE"""),44763)</f>
        <v>44763</v>
      </c>
      <c r="E216" s="3">
        <f ca="1">IFERROR(__xludf.DUMMYFUNCTION("""COMPUTED_VALUE"""),0.548784722221171)</f>
        <v>0.54878472222117103</v>
      </c>
      <c r="F216" s="1">
        <f ca="1">IFERROR(__xludf.DUMMYFUNCTION("""COMPUTED_VALUE"""),15742)</f>
        <v>15742</v>
      </c>
      <c r="G216" s="1" t="str">
        <f ca="1">IFERROR(__xludf.DUMMYFUNCTION("""COMPUTED_VALUE"""),"12.9962/77.6218")</f>
        <v>12.9962/77.6218</v>
      </c>
      <c r="H216" s="1" t="str">
        <f ca="1">IFERROR(__xludf.DUMMYFUNCTION("""COMPUTED_VALUE"""),"Cox Town")</f>
        <v>Cox Town</v>
      </c>
      <c r="I216" s="1"/>
      <c r="J216" s="1" t="str">
        <f ca="1">IFERROR(__xludf.DUMMYFUNCTION("""COMPUTED_VALUE"""),"0d 00h 00m")</f>
        <v>0d 00h 00m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>
      <c r="A217" s="1">
        <f ca="1">IFERROR(__xludf.DUMMYFUNCTION("""COMPUTED_VALUE"""),55)</f>
        <v>55</v>
      </c>
      <c r="B217" s="1" t="str">
        <f ca="1">IFERROR(__xludf.DUMMYFUNCTION("""COMPUTED_VALUE"""),"C3_KA04D4276_Jetting")</f>
        <v>C3_KA04D4276_Jetting</v>
      </c>
      <c r="C217" s="1" t="str">
        <f ca="1">IFERROR(__xludf.DUMMYFUNCTION("""COMPUTED_VALUE"""),"c3_ka04d4276_jetting")</f>
        <v>c3_ka04d4276_jetting</v>
      </c>
      <c r="D217" s="2">
        <f ca="1">IFERROR(__xludf.DUMMYFUNCTION("""COMPUTED_VALUE"""),44763)</f>
        <v>44763</v>
      </c>
      <c r="E217" s="3">
        <f ca="1">IFERROR(__xludf.DUMMYFUNCTION("""COMPUTED_VALUE"""),0.548784722221171)</f>
        <v>0.54878472222117103</v>
      </c>
      <c r="F217" s="1">
        <f ca="1">IFERROR(__xludf.DUMMYFUNCTION("""COMPUTED_VALUE"""),15742)</f>
        <v>15742</v>
      </c>
      <c r="G217" s="1" t="str">
        <f ca="1">IFERROR(__xludf.DUMMYFUNCTION("""COMPUTED_VALUE"""),"12.9962/77.6218")</f>
        <v>12.9962/77.6218</v>
      </c>
      <c r="H217" s="1" t="str">
        <f ca="1">IFERROR(__xludf.DUMMYFUNCTION("""COMPUTED_VALUE"""),"Cox Town")</f>
        <v>Cox Town</v>
      </c>
      <c r="I217" s="1"/>
      <c r="J217" s="1" t="str">
        <f ca="1">IFERROR(__xludf.DUMMYFUNCTION("""COMPUTED_VALUE"""),"0d 00h 00m")</f>
        <v>0d 00h 00m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>
      <c r="A218" s="1">
        <f ca="1">IFERROR(__xludf.DUMMYFUNCTION("""COMPUTED_VALUE"""),166)</f>
        <v>166</v>
      </c>
      <c r="B218" s="1" t="str">
        <f ca="1">IFERROR(__xludf.DUMMYFUNCTION("""COMPUTED_VALUE"""),"C3_KA04D4276_Jetting")</f>
        <v>C3_KA04D4276_Jetting</v>
      </c>
      <c r="C218" s="1" t="str">
        <f ca="1">IFERROR(__xludf.DUMMYFUNCTION("""COMPUTED_VALUE"""),"c3_ka04d4276_jetting")</f>
        <v>c3_ka04d4276_jetting</v>
      </c>
      <c r="D218" s="2">
        <f ca="1">IFERROR(__xludf.DUMMYFUNCTION("""COMPUTED_VALUE"""),44860)</f>
        <v>44860</v>
      </c>
      <c r="E218" s="3">
        <f ca="1">IFERROR(__xludf.DUMMYFUNCTION("""COMPUTED_VALUE"""),0.999016203702922)</f>
        <v>0.99901620370292199</v>
      </c>
      <c r="F218" s="1">
        <f ca="1">IFERROR(__xludf.DUMMYFUNCTION("""COMPUTED_VALUE"""),15926)</f>
        <v>15926</v>
      </c>
      <c r="G218" s="1" t="str">
        <f ca="1">IFERROR(__xludf.DUMMYFUNCTION("""COMPUTED_VALUE"""),"13.0019/77.6277")</f>
        <v>13.0019/77.6277</v>
      </c>
      <c r="H218" s="1" t="str">
        <f ca="1">IFERROR(__xludf.DUMMYFUNCTION("""COMPUTED_VALUE"""),"Seva Nagar")</f>
        <v>Seva Nagar</v>
      </c>
      <c r="I218" s="1"/>
      <c r="J218" s="1" t="str">
        <f ca="1">IFERROR(__xludf.DUMMYFUNCTION("""COMPUTED_VALUE"""),"0d 00h 00m")</f>
        <v>0d 00h 00m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>
      <c r="A219" s="1">
        <f ca="1">IFERROR(__xludf.DUMMYFUNCTION("""COMPUTED_VALUE"""),39)</f>
        <v>39</v>
      </c>
      <c r="B219" s="1" t="str">
        <f ca="1">IFERROR(__xludf.DUMMYFUNCTION("""COMPUTED_VALUE"""),"C3_KA05D8078_Tanker")</f>
        <v>C3_KA05D8078_Tanker</v>
      </c>
      <c r="C219" s="1" t="str">
        <f ca="1">IFERROR(__xludf.DUMMYFUNCTION("""COMPUTED_VALUE"""),"c3_ka05d8078_tanker")</f>
        <v>c3_ka05d8078_tanker</v>
      </c>
      <c r="D219" s="2">
        <f ca="1">IFERROR(__xludf.DUMMYFUNCTION("""COMPUTED_VALUE"""),44471)</f>
        <v>44471</v>
      </c>
      <c r="E219" s="3">
        <f ca="1">IFERROR(__xludf.DUMMYFUNCTION("""COMPUTED_VALUE"""),0.548761574074887)</f>
        <v>0.54876157407488702</v>
      </c>
      <c r="F219" s="1">
        <f ca="1">IFERROR(__xludf.DUMMYFUNCTION("""COMPUTED_VALUE"""),9619)</f>
        <v>9619</v>
      </c>
      <c r="G219" s="1" t="str">
        <f ca="1">IFERROR(__xludf.DUMMYFUNCTION("""COMPUTED_VALUE"""),"13.0090/77.6163")</f>
        <v>13.0090/77.6163</v>
      </c>
      <c r="H219" s="1" t="str">
        <f ca="1">IFERROR(__xludf.DUMMYFUNCTION("""COMPUTED_VALUE"""),"DoddajÄ«vanhalli")</f>
        <v>DoddajÄ«vanhalli</v>
      </c>
      <c r="I219" s="1"/>
      <c r="J219" s="1" t="str">
        <f ca="1">IFERROR(__xludf.DUMMYFUNCTION("""COMPUTED_VALUE"""),"445d 21h 21m")</f>
        <v>445d 21h 21m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>
      <c r="A220" s="1">
        <f ca="1">IFERROR(__xludf.DUMMYFUNCTION("""COMPUTED_VALUE"""),36)</f>
        <v>36</v>
      </c>
      <c r="B220" s="1" t="str">
        <f ca="1">IFERROR(__xludf.DUMMYFUNCTION("""COMPUTED_VALUE"""),"C3_KA05D8078_Tanker")</f>
        <v>C3_KA05D8078_Tanker</v>
      </c>
      <c r="C220" s="1" t="str">
        <f ca="1">IFERROR(__xludf.DUMMYFUNCTION("""COMPUTED_VALUE"""),"c3_ka05d8078_tanker")</f>
        <v>c3_ka05d8078_tanker</v>
      </c>
      <c r="D220" s="2">
        <f ca="1">IFERROR(__xludf.DUMMYFUNCTION("""COMPUTED_VALUE"""),44471)</f>
        <v>44471</v>
      </c>
      <c r="E220" s="3">
        <f ca="1">IFERROR(__xludf.DUMMYFUNCTION("""COMPUTED_VALUE"""),0.548761574074887)</f>
        <v>0.54876157407488702</v>
      </c>
      <c r="F220" s="1">
        <f ca="1">IFERROR(__xludf.DUMMYFUNCTION("""COMPUTED_VALUE"""),9619)</f>
        <v>9619</v>
      </c>
      <c r="G220" s="1" t="str">
        <f ca="1">IFERROR(__xludf.DUMMYFUNCTION("""COMPUTED_VALUE"""),"13.0090/77.6163")</f>
        <v>13.0090/77.6163</v>
      </c>
      <c r="H220" s="1" t="str">
        <f ca="1">IFERROR(__xludf.DUMMYFUNCTION("""COMPUTED_VALUE"""),"Doddajivanhalli")</f>
        <v>Doddajivanhalli</v>
      </c>
      <c r="I220" s="1"/>
      <c r="J220" s="1" t="str">
        <f ca="1">IFERROR(__xludf.DUMMYFUNCTION("""COMPUTED_VALUE"""),"445d 21h 22m")</f>
        <v>445d 21h 22m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>
      <c r="A221" s="1">
        <f ca="1">IFERROR(__xludf.DUMMYFUNCTION("""COMPUTED_VALUE"""),36)</f>
        <v>36</v>
      </c>
      <c r="B221" s="1" t="str">
        <f ca="1">IFERROR(__xludf.DUMMYFUNCTION("""COMPUTED_VALUE"""),"C3_KA05D8078_Tanker")</f>
        <v>C3_KA05D8078_Tanker</v>
      </c>
      <c r="C221" s="1" t="str">
        <f ca="1">IFERROR(__xludf.DUMMYFUNCTION("""COMPUTED_VALUE"""),"c3_ka05d8078_tanker")</f>
        <v>c3_ka05d8078_tanker</v>
      </c>
      <c r="D221" s="2">
        <f ca="1">IFERROR(__xludf.DUMMYFUNCTION("""COMPUTED_VALUE"""),44471)</f>
        <v>44471</v>
      </c>
      <c r="E221" s="3">
        <f ca="1">IFERROR(__xludf.DUMMYFUNCTION("""COMPUTED_VALUE"""),0.548761574074887)</f>
        <v>0.54876157407488702</v>
      </c>
      <c r="F221" s="1">
        <f ca="1">IFERROR(__xludf.DUMMYFUNCTION("""COMPUTED_VALUE"""),9619)</f>
        <v>9619</v>
      </c>
      <c r="G221" s="1" t="str">
        <f ca="1">IFERROR(__xludf.DUMMYFUNCTION("""COMPUTED_VALUE"""),"13.0090/77.6163")</f>
        <v>13.0090/77.6163</v>
      </c>
      <c r="H221" s="1" t="str">
        <f ca="1">IFERROR(__xludf.DUMMYFUNCTION("""COMPUTED_VALUE"""),"Doddajivanhalli")</f>
        <v>Doddajivanhalli</v>
      </c>
      <c r="I221" s="1"/>
      <c r="J221" s="1" t="str">
        <f ca="1">IFERROR(__xludf.DUMMYFUNCTION("""COMPUTED_VALUE"""),"445d 21h 23m")</f>
        <v>445d 21h 23m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>
      <c r="A222" s="1">
        <f ca="1">IFERROR(__xludf.DUMMYFUNCTION("""COMPUTED_VALUE"""),36)</f>
        <v>36</v>
      </c>
      <c r="B222" s="1" t="str">
        <f ca="1">IFERROR(__xludf.DUMMYFUNCTION("""COMPUTED_VALUE"""),"C3_KA05D8078_Tanker")</f>
        <v>C3_KA05D8078_Tanker</v>
      </c>
      <c r="C222" s="1" t="str">
        <f ca="1">IFERROR(__xludf.DUMMYFUNCTION("""COMPUTED_VALUE"""),"c3_ka05d8078_tanker")</f>
        <v>c3_ka05d8078_tanker</v>
      </c>
      <c r="D222" s="2">
        <f ca="1">IFERROR(__xludf.DUMMYFUNCTION("""COMPUTED_VALUE"""),44471)</f>
        <v>44471</v>
      </c>
      <c r="E222" s="3">
        <f ca="1">IFERROR(__xludf.DUMMYFUNCTION("""COMPUTED_VALUE"""),0.548761574074887)</f>
        <v>0.54876157407488702</v>
      </c>
      <c r="F222" s="1">
        <f ca="1">IFERROR(__xludf.DUMMYFUNCTION("""COMPUTED_VALUE"""),9619)</f>
        <v>9619</v>
      </c>
      <c r="G222" s="1" t="str">
        <f ca="1">IFERROR(__xludf.DUMMYFUNCTION("""COMPUTED_VALUE"""),"13.0090/77.6163")</f>
        <v>13.0090/77.6163</v>
      </c>
      <c r="H222" s="1" t="str">
        <f ca="1">IFERROR(__xludf.DUMMYFUNCTION("""COMPUTED_VALUE"""),"Doddajivanhalli")</f>
        <v>Doddajivanhalli</v>
      </c>
      <c r="I222" s="1"/>
      <c r="J222" s="1" t="str">
        <f ca="1">IFERROR(__xludf.DUMMYFUNCTION("""COMPUTED_VALUE"""),"445d 21h 24m")</f>
        <v>445d 21h 24m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>
      <c r="A223" s="1">
        <f ca="1">IFERROR(__xludf.DUMMYFUNCTION("""COMPUTED_VALUE"""),35)</f>
        <v>35</v>
      </c>
      <c r="B223" s="1" t="str">
        <f ca="1">IFERROR(__xludf.DUMMYFUNCTION("""COMPUTED_VALUE"""),"C3_KA05D8078_Tanker")</f>
        <v>C3_KA05D8078_Tanker</v>
      </c>
      <c r="C223" s="1" t="str">
        <f ca="1">IFERROR(__xludf.DUMMYFUNCTION("""COMPUTED_VALUE"""),"c3_ka05d8078_tanker")</f>
        <v>c3_ka05d8078_tanker</v>
      </c>
      <c r="D223" s="2">
        <f ca="1">IFERROR(__xludf.DUMMYFUNCTION("""COMPUTED_VALUE"""),44471)</f>
        <v>44471</v>
      </c>
      <c r="E223" s="3">
        <f ca="1">IFERROR(__xludf.DUMMYFUNCTION("""COMPUTED_VALUE"""),0.548761574074887)</f>
        <v>0.54876157407488702</v>
      </c>
      <c r="F223" s="1">
        <f ca="1">IFERROR(__xludf.DUMMYFUNCTION("""COMPUTED_VALUE"""),9619)</f>
        <v>9619</v>
      </c>
      <c r="G223" s="1" t="str">
        <f ca="1">IFERROR(__xludf.DUMMYFUNCTION("""COMPUTED_VALUE"""),"13.0090/77.6163")</f>
        <v>13.0090/77.6163</v>
      </c>
      <c r="H223" s="1" t="str">
        <f ca="1">IFERROR(__xludf.DUMMYFUNCTION("""COMPUTED_VALUE"""),"Doddajivanhalli")</f>
        <v>Doddajivanhalli</v>
      </c>
      <c r="I223" s="1"/>
      <c r="J223" s="1" t="str">
        <f ca="1">IFERROR(__xludf.DUMMYFUNCTION("""COMPUTED_VALUE"""),"445d 21h 25m")</f>
        <v>445d 21h 25m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>
      <c r="A224" s="1">
        <f ca="1">IFERROR(__xludf.DUMMYFUNCTION("""COMPUTED_VALUE"""),35)</f>
        <v>35</v>
      </c>
      <c r="B224" s="1" t="str">
        <f ca="1">IFERROR(__xludf.DUMMYFUNCTION("""COMPUTED_VALUE"""),"C3_KA05D8078_Tanker")</f>
        <v>C3_KA05D8078_Tanker</v>
      </c>
      <c r="C224" s="1" t="str">
        <f ca="1">IFERROR(__xludf.DUMMYFUNCTION("""COMPUTED_VALUE"""),"c3_ka05d8078_tanker")</f>
        <v>c3_ka05d8078_tanker</v>
      </c>
      <c r="D224" s="2">
        <f ca="1">IFERROR(__xludf.DUMMYFUNCTION("""COMPUTED_VALUE"""),44471)</f>
        <v>44471</v>
      </c>
      <c r="E224" s="3">
        <f ca="1">IFERROR(__xludf.DUMMYFUNCTION("""COMPUTED_VALUE"""),0.548761574074887)</f>
        <v>0.54876157407488702</v>
      </c>
      <c r="F224" s="1">
        <f ca="1">IFERROR(__xludf.DUMMYFUNCTION("""COMPUTED_VALUE"""),9619)</f>
        <v>9619</v>
      </c>
      <c r="G224" s="1" t="str">
        <f ca="1">IFERROR(__xludf.DUMMYFUNCTION("""COMPUTED_VALUE"""),"13.0090/77.6163")</f>
        <v>13.0090/77.6163</v>
      </c>
      <c r="H224" s="1" t="str">
        <f ca="1">IFERROR(__xludf.DUMMYFUNCTION("""COMPUTED_VALUE"""),"Doddajivanhalli")</f>
        <v>Doddajivanhalli</v>
      </c>
      <c r="I224" s="1"/>
      <c r="J224" s="1" t="str">
        <f ca="1">IFERROR(__xludf.DUMMYFUNCTION("""COMPUTED_VALUE"""),"445d 21h 25m")</f>
        <v>445d 21h 25m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>
      <c r="A225" s="1">
        <f ca="1">IFERROR(__xludf.DUMMYFUNCTION("""COMPUTED_VALUE"""),2)</f>
        <v>2</v>
      </c>
      <c r="B225" s="1" t="str">
        <f ca="1">IFERROR(__xludf.DUMMYFUNCTION("""COMPUTED_VALUE"""),"E11_KA04C5158_JETTING")</f>
        <v>E11_KA04C5158_JETTING</v>
      </c>
      <c r="C225" s="1" t="str">
        <f ca="1">IFERROR(__xludf.DUMMYFUNCTION("""COMPUTED_VALUE"""),"e11_ka04c5158_jetting")</f>
        <v>e11_ka04c5158_jetting</v>
      </c>
      <c r="D225" s="2">
        <f ca="1">IFERROR(__xludf.DUMMYFUNCTION("""COMPUTED_VALUE"""),41640)</f>
        <v>41640</v>
      </c>
      <c r="E225" s="3">
        <f ca="1">IFERROR(__xludf.DUMMYFUNCTION("""COMPUTED_VALUE"""),0.229398148148902)</f>
        <v>0.229398148148902</v>
      </c>
      <c r="F225" s="1">
        <f ca="1">IFERROR(__xludf.DUMMYFUNCTION("""COMPUTED_VALUE"""),22358)</f>
        <v>22358</v>
      </c>
      <c r="G225" s="1"/>
      <c r="H225" s="1"/>
      <c r="I225" s="1"/>
      <c r="J225" s="1" t="str">
        <f ca="1">IFERROR(__xludf.DUMMYFUNCTION("""COMPUTED_VALUE"""),"0d 18h 01m")</f>
        <v>0d 18h 01m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>
      <c r="A226" s="1">
        <f ca="1">IFERROR(__xludf.DUMMYFUNCTION("""COMPUTED_VALUE"""),2)</f>
        <v>2</v>
      </c>
      <c r="B226" s="1" t="str">
        <f ca="1">IFERROR(__xludf.DUMMYFUNCTION("""COMPUTED_VALUE"""),"E11_KA04C5158_JETTING")</f>
        <v>E11_KA04C5158_JETTING</v>
      </c>
      <c r="C226" s="1" t="str">
        <f ca="1">IFERROR(__xludf.DUMMYFUNCTION("""COMPUTED_VALUE"""),"e11_ka04c5158_jetting")</f>
        <v>e11_ka04c5158_jetting</v>
      </c>
      <c r="D226" s="2">
        <f ca="1">IFERROR(__xludf.DUMMYFUNCTION("""COMPUTED_VALUE"""),41640)</f>
        <v>41640</v>
      </c>
      <c r="E226" s="3">
        <f ca="1">IFERROR(__xludf.DUMMYFUNCTION("""COMPUTED_VALUE"""),0.229398148148902)</f>
        <v>0.229398148148902</v>
      </c>
      <c r="F226" s="1">
        <f ca="1">IFERROR(__xludf.DUMMYFUNCTION("""COMPUTED_VALUE"""),22358)</f>
        <v>22358</v>
      </c>
      <c r="G226" s="1"/>
      <c r="H226" s="1"/>
      <c r="I226" s="1"/>
      <c r="J226" s="1" t="str">
        <f ca="1">IFERROR(__xludf.DUMMYFUNCTION("""COMPUTED_VALUE"""),"0d 18h 02m")</f>
        <v>0d 18h 02m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>
      <c r="A227" s="1">
        <f ca="1">IFERROR(__xludf.DUMMYFUNCTION("""COMPUTED_VALUE"""),2)</f>
        <v>2</v>
      </c>
      <c r="B227" s="1" t="str">
        <f ca="1">IFERROR(__xludf.DUMMYFUNCTION("""COMPUTED_VALUE"""),"E11_KA04C5158_JETTING")</f>
        <v>E11_KA04C5158_JETTING</v>
      </c>
      <c r="C227" s="1" t="str">
        <f ca="1">IFERROR(__xludf.DUMMYFUNCTION("""COMPUTED_VALUE"""),"e11_ka04c5158_jetting")</f>
        <v>e11_ka04c5158_jetting</v>
      </c>
      <c r="D227" s="2">
        <f ca="1">IFERROR(__xludf.DUMMYFUNCTION("""COMPUTED_VALUE"""),41640)</f>
        <v>41640</v>
      </c>
      <c r="E227" s="3">
        <f ca="1">IFERROR(__xludf.DUMMYFUNCTION("""COMPUTED_VALUE"""),0.229398148148902)</f>
        <v>0.229398148148902</v>
      </c>
      <c r="F227" s="1">
        <f ca="1">IFERROR(__xludf.DUMMYFUNCTION("""COMPUTED_VALUE"""),22358)</f>
        <v>22358</v>
      </c>
      <c r="G227" s="1"/>
      <c r="H227" s="1"/>
      <c r="I227" s="1"/>
      <c r="J227" s="1" t="str">
        <f ca="1">IFERROR(__xludf.DUMMYFUNCTION("""COMPUTED_VALUE"""),"0d 18h 05m")</f>
        <v>0d 18h 05m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>
      <c r="A228" s="1">
        <f ca="1">IFERROR(__xludf.DUMMYFUNCTION("""COMPUTED_VALUE"""),2)</f>
        <v>2</v>
      </c>
      <c r="B228" s="1" t="str">
        <f ca="1">IFERROR(__xludf.DUMMYFUNCTION("""COMPUTED_VALUE"""),"E11_KA04C5158_JETTING")</f>
        <v>E11_KA04C5158_JETTING</v>
      </c>
      <c r="C228" s="1" t="str">
        <f ca="1">IFERROR(__xludf.DUMMYFUNCTION("""COMPUTED_VALUE"""),"e11_ka04c5158_jetting")</f>
        <v>e11_ka04c5158_jetting</v>
      </c>
      <c r="D228" s="2">
        <f ca="1">IFERROR(__xludf.DUMMYFUNCTION("""COMPUTED_VALUE"""),41640)</f>
        <v>41640</v>
      </c>
      <c r="E228" s="3">
        <f ca="1">IFERROR(__xludf.DUMMYFUNCTION("""COMPUTED_VALUE"""),0.229398148148902)</f>
        <v>0.229398148148902</v>
      </c>
      <c r="F228" s="1">
        <f ca="1">IFERROR(__xludf.DUMMYFUNCTION("""COMPUTED_VALUE"""),22358)</f>
        <v>22358</v>
      </c>
      <c r="G228" s="1"/>
      <c r="H228" s="1"/>
      <c r="I228" s="1"/>
      <c r="J228" s="1" t="str">
        <f ca="1">IFERROR(__xludf.DUMMYFUNCTION("""COMPUTED_VALUE"""),"0d 18h 06m")</f>
        <v>0d 18h 06m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>
      <c r="A229" s="1">
        <f ca="1">IFERROR(__xludf.DUMMYFUNCTION("""COMPUTED_VALUE"""),2)</f>
        <v>2</v>
      </c>
      <c r="B229" s="1" t="str">
        <f ca="1">IFERROR(__xludf.DUMMYFUNCTION("""COMPUTED_VALUE"""),"E11_KA04C5158_JETTING")</f>
        <v>E11_KA04C5158_JETTING</v>
      </c>
      <c r="C229" s="1" t="str">
        <f ca="1">IFERROR(__xludf.DUMMYFUNCTION("""COMPUTED_VALUE"""),"e11_ka04c5158_jetting")</f>
        <v>e11_ka04c5158_jetting</v>
      </c>
      <c r="D229" s="2">
        <f ca="1">IFERROR(__xludf.DUMMYFUNCTION("""COMPUTED_VALUE"""),41640)</f>
        <v>41640</v>
      </c>
      <c r="E229" s="3">
        <f ca="1">IFERROR(__xludf.DUMMYFUNCTION("""COMPUTED_VALUE"""),0.229398148148902)</f>
        <v>0.229398148148902</v>
      </c>
      <c r="F229" s="1">
        <f ca="1">IFERROR(__xludf.DUMMYFUNCTION("""COMPUTED_VALUE"""),22358)</f>
        <v>22358</v>
      </c>
      <c r="G229" s="1"/>
      <c r="H229" s="1"/>
      <c r="I229" s="1"/>
      <c r="J229" s="1" t="str">
        <f ca="1">IFERROR(__xludf.DUMMYFUNCTION("""COMPUTED_VALUE"""),"0d 18h 07m")</f>
        <v>0d 18h 07m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>
      <c r="A230" s="1">
        <f ca="1">IFERROR(__xludf.DUMMYFUNCTION("""COMPUTED_VALUE"""),2)</f>
        <v>2</v>
      </c>
      <c r="B230" s="1" t="str">
        <f ca="1">IFERROR(__xludf.DUMMYFUNCTION("""COMPUTED_VALUE"""),"E11_KA04C5158_JETTING")</f>
        <v>E11_KA04C5158_JETTING</v>
      </c>
      <c r="C230" s="1" t="str">
        <f ca="1">IFERROR(__xludf.DUMMYFUNCTION("""COMPUTED_VALUE"""),"e11_ka04c5158_jetting")</f>
        <v>e11_ka04c5158_jetting</v>
      </c>
      <c r="D230" s="2">
        <f ca="1">IFERROR(__xludf.DUMMYFUNCTION("""COMPUTED_VALUE"""),41640)</f>
        <v>41640</v>
      </c>
      <c r="E230" s="3">
        <f ca="1">IFERROR(__xludf.DUMMYFUNCTION("""COMPUTED_VALUE"""),0.229398148148902)</f>
        <v>0.229398148148902</v>
      </c>
      <c r="F230" s="1">
        <f ca="1">IFERROR(__xludf.DUMMYFUNCTION("""COMPUTED_VALUE"""),22358)</f>
        <v>22358</v>
      </c>
      <c r="G230" s="1"/>
      <c r="H230" s="1"/>
      <c r="I230" s="1"/>
      <c r="J230" s="1" t="str">
        <f ca="1">IFERROR(__xludf.DUMMYFUNCTION("""COMPUTED_VALUE"""),"0d 18h 08m")</f>
        <v>0d 18h 08m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>
      <c r="A231" s="1">
        <f ca="1">IFERROR(__xludf.DUMMYFUNCTION("""COMPUTED_VALUE"""),2)</f>
        <v>2</v>
      </c>
      <c r="B231" s="1" t="str">
        <f ca="1">IFERROR(__xludf.DUMMYFUNCTION("""COMPUTED_VALUE"""),"E11_KA04C5158_JETTING")</f>
        <v>E11_KA04C5158_JETTING</v>
      </c>
      <c r="C231" s="1" t="str">
        <f ca="1">IFERROR(__xludf.DUMMYFUNCTION("""COMPUTED_VALUE"""),"e11_ka04c5158_jetting")</f>
        <v>e11_ka04c5158_jetting</v>
      </c>
      <c r="D231" s="2">
        <f ca="1">IFERROR(__xludf.DUMMYFUNCTION("""COMPUTED_VALUE"""),41640)</f>
        <v>41640</v>
      </c>
      <c r="E231" s="3">
        <f ca="1">IFERROR(__xludf.DUMMYFUNCTION("""COMPUTED_VALUE"""),0.229398148148902)</f>
        <v>0.229398148148902</v>
      </c>
      <c r="F231" s="1">
        <f ca="1">IFERROR(__xludf.DUMMYFUNCTION("""COMPUTED_VALUE"""),22358)</f>
        <v>22358</v>
      </c>
      <c r="G231" s="1"/>
      <c r="H231" s="1"/>
      <c r="I231" s="1"/>
      <c r="J231" s="1" t="str">
        <f ca="1">IFERROR(__xludf.DUMMYFUNCTION("""COMPUTED_VALUE"""),"0d 18h 09m")</f>
        <v>0d 18h 09m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>
      <c r="A232" s="1">
        <f ca="1">IFERROR(__xludf.DUMMYFUNCTION("""COMPUTED_VALUE"""),68)</f>
        <v>68</v>
      </c>
      <c r="B232" s="1" t="str">
        <f ca="1">IFERROR(__xludf.DUMMYFUNCTION("""COMPUTED_VALUE"""),"E11_KA04D5163_JETTING")</f>
        <v>E11_KA04D5163_JETTING</v>
      </c>
      <c r="C232" s="1" t="str">
        <f ca="1">IFERROR(__xludf.DUMMYFUNCTION("""COMPUTED_VALUE"""),"e11_ka04d5163_jetting")</f>
        <v>e11_ka04d5163_jetting</v>
      </c>
      <c r="D232" s="2">
        <f ca="1">IFERROR(__xludf.DUMMYFUNCTION("""COMPUTED_VALUE"""),41640)</f>
        <v>41640</v>
      </c>
      <c r="E232" s="3">
        <f ca="1">IFERROR(__xludf.DUMMYFUNCTION("""COMPUTED_VALUE"""),0.562592592592409)</f>
        <v>0.56259259259240901</v>
      </c>
      <c r="F232" s="1">
        <f ca="1">IFERROR(__xludf.DUMMYFUNCTION("""COMPUTED_VALUE"""),30747)</f>
        <v>30747</v>
      </c>
      <c r="G232" s="1"/>
      <c r="H232" s="1"/>
      <c r="I232" s="1"/>
      <c r="J232" s="1" t="str">
        <f ca="1">IFERROR(__xludf.DUMMYFUNCTION("""COMPUTED_VALUE"""),"0d 00h 00m")</f>
        <v>0d 00h 00m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>
      <c r="A233" s="1">
        <f ca="1">IFERROR(__xludf.DUMMYFUNCTION("""COMPUTED_VALUE"""),68)</f>
        <v>68</v>
      </c>
      <c r="B233" s="1" t="str">
        <f ca="1">IFERROR(__xludf.DUMMYFUNCTION("""COMPUTED_VALUE"""),"E11_KA04D5163_JETTING")</f>
        <v>E11_KA04D5163_JETTING</v>
      </c>
      <c r="C233" s="1" t="str">
        <f ca="1">IFERROR(__xludf.DUMMYFUNCTION("""COMPUTED_VALUE"""),"e11_ka04d5163_jetting")</f>
        <v>e11_ka04d5163_jetting</v>
      </c>
      <c r="D233" s="2">
        <f ca="1">IFERROR(__xludf.DUMMYFUNCTION("""COMPUTED_VALUE"""),41640)</f>
        <v>41640</v>
      </c>
      <c r="E233" s="3">
        <f ca="1">IFERROR(__xludf.DUMMYFUNCTION("""COMPUTED_VALUE"""),0.562592592592409)</f>
        <v>0.56259259259240901</v>
      </c>
      <c r="F233" s="1">
        <f ca="1">IFERROR(__xludf.DUMMYFUNCTION("""COMPUTED_VALUE"""),30747)</f>
        <v>30747</v>
      </c>
      <c r="G233" s="1"/>
      <c r="H233" s="1"/>
      <c r="I233" s="1"/>
      <c r="J233" s="1" t="str">
        <f ca="1">IFERROR(__xludf.DUMMYFUNCTION("""COMPUTED_VALUE"""),"0d 00h 00m")</f>
        <v>0d 00h 00m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>
      <c r="A234" s="1">
        <f ca="1">IFERROR(__xludf.DUMMYFUNCTION("""COMPUTED_VALUE"""),67)</f>
        <v>67</v>
      </c>
      <c r="B234" s="1" t="str">
        <f ca="1">IFERROR(__xludf.DUMMYFUNCTION("""COMPUTED_VALUE"""),"E11_KA04D5163_JETTING")</f>
        <v>E11_KA04D5163_JETTING</v>
      </c>
      <c r="C234" s="1" t="str">
        <f ca="1">IFERROR(__xludf.DUMMYFUNCTION("""COMPUTED_VALUE"""),"e11_ka04d5163_jetting")</f>
        <v>e11_ka04d5163_jetting</v>
      </c>
      <c r="D234" s="2">
        <f ca="1">IFERROR(__xludf.DUMMYFUNCTION("""COMPUTED_VALUE"""),41640)</f>
        <v>41640</v>
      </c>
      <c r="E234" s="3">
        <f ca="1">IFERROR(__xludf.DUMMYFUNCTION("""COMPUTED_VALUE"""),0.562592592592409)</f>
        <v>0.56259259259240901</v>
      </c>
      <c r="F234" s="1">
        <f ca="1">IFERROR(__xludf.DUMMYFUNCTION("""COMPUTED_VALUE"""),30747)</f>
        <v>30747</v>
      </c>
      <c r="G234" s="1"/>
      <c r="H234" s="1"/>
      <c r="I234" s="1"/>
      <c r="J234" s="1" t="str">
        <f ca="1">IFERROR(__xludf.DUMMYFUNCTION("""COMPUTED_VALUE"""),"0d 00h 00m")</f>
        <v>0d 00h 00m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>
      <c r="A235" s="1">
        <f ca="1">IFERROR(__xludf.DUMMYFUNCTION("""COMPUTED_VALUE"""),67)</f>
        <v>67</v>
      </c>
      <c r="B235" s="1" t="str">
        <f ca="1">IFERROR(__xludf.DUMMYFUNCTION("""COMPUTED_VALUE"""),"E11_KA04D5163_JETTING")</f>
        <v>E11_KA04D5163_JETTING</v>
      </c>
      <c r="C235" s="1" t="str">
        <f ca="1">IFERROR(__xludf.DUMMYFUNCTION("""COMPUTED_VALUE"""),"e11_ka04d5163_jetting")</f>
        <v>e11_ka04d5163_jetting</v>
      </c>
      <c r="D235" s="2">
        <f ca="1">IFERROR(__xludf.DUMMYFUNCTION("""COMPUTED_VALUE"""),41640)</f>
        <v>41640</v>
      </c>
      <c r="E235" s="3">
        <f ca="1">IFERROR(__xludf.DUMMYFUNCTION("""COMPUTED_VALUE"""),0.562592592592409)</f>
        <v>0.56259259259240901</v>
      </c>
      <c r="F235" s="1">
        <f ca="1">IFERROR(__xludf.DUMMYFUNCTION("""COMPUTED_VALUE"""),30747)</f>
        <v>30747</v>
      </c>
      <c r="G235" s="1"/>
      <c r="H235" s="1"/>
      <c r="I235" s="1"/>
      <c r="J235" s="1" t="str">
        <f ca="1">IFERROR(__xludf.DUMMYFUNCTION("""COMPUTED_VALUE"""),"0d 00h 00m")</f>
        <v>0d 00h 00m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>
      <c r="A236" s="1">
        <f ca="1">IFERROR(__xludf.DUMMYFUNCTION("""COMPUTED_VALUE"""),67)</f>
        <v>67</v>
      </c>
      <c r="B236" s="1" t="str">
        <f ca="1">IFERROR(__xludf.DUMMYFUNCTION("""COMPUTED_VALUE"""),"E11_KA04D5163_JETTING")</f>
        <v>E11_KA04D5163_JETTING</v>
      </c>
      <c r="C236" s="1" t="str">
        <f ca="1">IFERROR(__xludf.DUMMYFUNCTION("""COMPUTED_VALUE"""),"e11_ka04d5163_jetting")</f>
        <v>e11_ka04d5163_jetting</v>
      </c>
      <c r="D236" s="2">
        <f ca="1">IFERROR(__xludf.DUMMYFUNCTION("""COMPUTED_VALUE"""),41640)</f>
        <v>41640</v>
      </c>
      <c r="E236" s="3">
        <f ca="1">IFERROR(__xludf.DUMMYFUNCTION("""COMPUTED_VALUE"""),0.562592592592409)</f>
        <v>0.56259259259240901</v>
      </c>
      <c r="F236" s="1">
        <f ca="1">IFERROR(__xludf.DUMMYFUNCTION("""COMPUTED_VALUE"""),30747)</f>
        <v>30747</v>
      </c>
      <c r="G236" s="1"/>
      <c r="H236" s="1"/>
      <c r="I236" s="1"/>
      <c r="J236" s="1" t="str">
        <f ca="1">IFERROR(__xludf.DUMMYFUNCTION("""COMPUTED_VALUE"""),"0d 00h 00m")</f>
        <v>0d 00h 00m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>
      <c r="A237" s="1">
        <f ca="1">IFERROR(__xludf.DUMMYFUNCTION("""COMPUTED_VALUE"""),67)</f>
        <v>67</v>
      </c>
      <c r="B237" s="1" t="str">
        <f ca="1">IFERROR(__xludf.DUMMYFUNCTION("""COMPUTED_VALUE"""),"E11_KA04D5163_JETTING")</f>
        <v>E11_KA04D5163_JETTING</v>
      </c>
      <c r="C237" s="1" t="str">
        <f ca="1">IFERROR(__xludf.DUMMYFUNCTION("""COMPUTED_VALUE"""),"e11_ka04d5163_jetting")</f>
        <v>e11_ka04d5163_jetting</v>
      </c>
      <c r="D237" s="2">
        <f ca="1">IFERROR(__xludf.DUMMYFUNCTION("""COMPUTED_VALUE"""),41640)</f>
        <v>41640</v>
      </c>
      <c r="E237" s="3">
        <f ca="1">IFERROR(__xludf.DUMMYFUNCTION("""COMPUTED_VALUE"""),0.562592592592409)</f>
        <v>0.56259259259240901</v>
      </c>
      <c r="F237" s="1">
        <f ca="1">IFERROR(__xludf.DUMMYFUNCTION("""COMPUTED_VALUE"""),30747)</f>
        <v>30747</v>
      </c>
      <c r="G237" s="1"/>
      <c r="H237" s="1"/>
      <c r="I237" s="1"/>
      <c r="J237" s="1" t="str">
        <f ca="1">IFERROR(__xludf.DUMMYFUNCTION("""COMPUTED_VALUE"""),"0d 00h 00m")</f>
        <v>0d 00h 00m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>
      <c r="A238" s="1">
        <f ca="1">IFERROR(__xludf.DUMMYFUNCTION("""COMPUTED_VALUE"""),67)</f>
        <v>67</v>
      </c>
      <c r="B238" s="1" t="str">
        <f ca="1">IFERROR(__xludf.DUMMYFUNCTION("""COMPUTED_VALUE"""),"E11_KA04D5163_JETTING")</f>
        <v>E11_KA04D5163_JETTING</v>
      </c>
      <c r="C238" s="1" t="str">
        <f ca="1">IFERROR(__xludf.DUMMYFUNCTION("""COMPUTED_VALUE"""),"e11_ka04d5163_jetting")</f>
        <v>e11_ka04d5163_jetting</v>
      </c>
      <c r="D238" s="2">
        <f ca="1">IFERROR(__xludf.DUMMYFUNCTION("""COMPUTED_VALUE"""),41640)</f>
        <v>41640</v>
      </c>
      <c r="E238" s="3">
        <f ca="1">IFERROR(__xludf.DUMMYFUNCTION("""COMPUTED_VALUE"""),0.562592592592409)</f>
        <v>0.56259259259240901</v>
      </c>
      <c r="F238" s="1">
        <f ca="1">IFERROR(__xludf.DUMMYFUNCTION("""COMPUTED_VALUE"""),30747)</f>
        <v>30747</v>
      </c>
      <c r="G238" s="1"/>
      <c r="H238" s="1"/>
      <c r="I238" s="1"/>
      <c r="J238" s="1" t="str">
        <f ca="1">IFERROR(__xludf.DUMMYFUNCTION("""COMPUTED_VALUE"""),"0d 00h 00m")</f>
        <v>0d 00h 00m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>
      <c r="A239" s="1">
        <f ca="1">IFERROR(__xludf.DUMMYFUNCTION("""COMPUTED_VALUE"""),42)</f>
        <v>42</v>
      </c>
      <c r="B239" s="1" t="str">
        <f ca="1">IFERROR(__xludf.DUMMYFUNCTION("""COMPUTED_VALUE"""),"E11_KA04D5289_TANKER")</f>
        <v>E11_KA04D5289_TANKER</v>
      </c>
      <c r="C239" s="1" t="str">
        <f ca="1">IFERROR(__xludf.DUMMYFUNCTION("""COMPUTED_VALUE"""),"e11_ka04d5289_tanker")</f>
        <v>e11_ka04d5289_tanker</v>
      </c>
      <c r="D239" s="2">
        <f ca="1">IFERROR(__xludf.DUMMYFUNCTION("""COMPUTED_VALUE"""),41640)</f>
        <v>41640</v>
      </c>
      <c r="E239" s="3">
        <f ca="1">IFERROR(__xludf.DUMMYFUNCTION("""COMPUTED_VALUE"""),0.237800925926421)</f>
        <v>0.23780092592642099</v>
      </c>
      <c r="F239" s="1">
        <f ca="1">IFERROR(__xludf.DUMMYFUNCTION("""COMPUTED_VALUE"""),26069)</f>
        <v>26069</v>
      </c>
      <c r="G239" s="1"/>
      <c r="H239" s="1"/>
      <c r="I239" s="1"/>
      <c r="J239" s="1" t="str">
        <f ca="1">IFERROR(__xludf.DUMMYFUNCTION("""COMPUTED_VALUE"""),"0d 00h 00m")</f>
        <v>0d 00h 00m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>
      <c r="A240" s="1">
        <f ca="1">IFERROR(__xludf.DUMMYFUNCTION("""COMPUTED_VALUE"""),42)</f>
        <v>42</v>
      </c>
      <c r="B240" s="1" t="str">
        <f ca="1">IFERROR(__xludf.DUMMYFUNCTION("""COMPUTED_VALUE"""),"E11_KA04D5289_TANKER")</f>
        <v>E11_KA04D5289_TANKER</v>
      </c>
      <c r="C240" s="1" t="str">
        <f ca="1">IFERROR(__xludf.DUMMYFUNCTION("""COMPUTED_VALUE"""),"e11_ka04d5289_tanker")</f>
        <v>e11_ka04d5289_tanker</v>
      </c>
      <c r="D240" s="2">
        <f ca="1">IFERROR(__xludf.DUMMYFUNCTION("""COMPUTED_VALUE"""),41640)</f>
        <v>41640</v>
      </c>
      <c r="E240" s="3">
        <f ca="1">IFERROR(__xludf.DUMMYFUNCTION("""COMPUTED_VALUE"""),0.237800925926421)</f>
        <v>0.23780092592642099</v>
      </c>
      <c r="F240" s="1">
        <f ca="1">IFERROR(__xludf.DUMMYFUNCTION("""COMPUTED_VALUE"""),26069)</f>
        <v>26069</v>
      </c>
      <c r="G240" s="1"/>
      <c r="H240" s="1"/>
      <c r="I240" s="1"/>
      <c r="J240" s="1" t="str">
        <f ca="1">IFERROR(__xludf.DUMMYFUNCTION("""COMPUTED_VALUE"""),"0d 00h 00m")</f>
        <v>0d 00h 00m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>
      <c r="A241" s="1">
        <f ca="1">IFERROR(__xludf.DUMMYFUNCTION("""COMPUTED_VALUE"""),42)</f>
        <v>42</v>
      </c>
      <c r="B241" s="1" t="str">
        <f ca="1">IFERROR(__xludf.DUMMYFUNCTION("""COMPUTED_VALUE"""),"E11_KA04D5289_TANKER")</f>
        <v>E11_KA04D5289_TANKER</v>
      </c>
      <c r="C241" s="1" t="str">
        <f ca="1">IFERROR(__xludf.DUMMYFUNCTION("""COMPUTED_VALUE"""),"e11_ka04d5289_tanker")</f>
        <v>e11_ka04d5289_tanker</v>
      </c>
      <c r="D241" s="2">
        <f ca="1">IFERROR(__xludf.DUMMYFUNCTION("""COMPUTED_VALUE"""),41640)</f>
        <v>41640</v>
      </c>
      <c r="E241" s="3">
        <f ca="1">IFERROR(__xludf.DUMMYFUNCTION("""COMPUTED_VALUE"""),0.237800925926421)</f>
        <v>0.23780092592642099</v>
      </c>
      <c r="F241" s="1">
        <f ca="1">IFERROR(__xludf.DUMMYFUNCTION("""COMPUTED_VALUE"""),26069)</f>
        <v>26069</v>
      </c>
      <c r="G241" s="1"/>
      <c r="H241" s="1"/>
      <c r="I241" s="1"/>
      <c r="J241" s="1" t="str">
        <f ca="1">IFERROR(__xludf.DUMMYFUNCTION("""COMPUTED_VALUE"""),"0d 00h 00m")</f>
        <v>0d 00h 00m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>
      <c r="A242" s="1">
        <f ca="1">IFERROR(__xludf.DUMMYFUNCTION("""COMPUTED_VALUE"""),42)</f>
        <v>42</v>
      </c>
      <c r="B242" s="1" t="str">
        <f ca="1">IFERROR(__xludf.DUMMYFUNCTION("""COMPUTED_VALUE"""),"E11_KA04D5289_TANKER")</f>
        <v>E11_KA04D5289_TANKER</v>
      </c>
      <c r="C242" s="1" t="str">
        <f ca="1">IFERROR(__xludf.DUMMYFUNCTION("""COMPUTED_VALUE"""),"e11_ka04d5289_tanker")</f>
        <v>e11_ka04d5289_tanker</v>
      </c>
      <c r="D242" s="2">
        <f ca="1">IFERROR(__xludf.DUMMYFUNCTION("""COMPUTED_VALUE"""),41640)</f>
        <v>41640</v>
      </c>
      <c r="E242" s="3">
        <f ca="1">IFERROR(__xludf.DUMMYFUNCTION("""COMPUTED_VALUE"""),0.237800925926421)</f>
        <v>0.23780092592642099</v>
      </c>
      <c r="F242" s="1">
        <f ca="1">IFERROR(__xludf.DUMMYFUNCTION("""COMPUTED_VALUE"""),26069)</f>
        <v>26069</v>
      </c>
      <c r="G242" s="1"/>
      <c r="H242" s="1"/>
      <c r="I242" s="1"/>
      <c r="J242" s="1" t="str">
        <f ca="1">IFERROR(__xludf.DUMMYFUNCTION("""COMPUTED_VALUE"""),"0d 00h 00m")</f>
        <v>0d 00h 00m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>
      <c r="A243" s="1">
        <f ca="1">IFERROR(__xludf.DUMMYFUNCTION("""COMPUTED_VALUE"""),42)</f>
        <v>42</v>
      </c>
      <c r="B243" s="1" t="str">
        <f ca="1">IFERROR(__xludf.DUMMYFUNCTION("""COMPUTED_VALUE"""),"E11_KA04D5289_TANKER")</f>
        <v>E11_KA04D5289_TANKER</v>
      </c>
      <c r="C243" s="1" t="str">
        <f ca="1">IFERROR(__xludf.DUMMYFUNCTION("""COMPUTED_VALUE"""),"e11_ka04d5289_tanker")</f>
        <v>e11_ka04d5289_tanker</v>
      </c>
      <c r="D243" s="2">
        <f ca="1">IFERROR(__xludf.DUMMYFUNCTION("""COMPUTED_VALUE"""),41640)</f>
        <v>41640</v>
      </c>
      <c r="E243" s="3">
        <f ca="1">IFERROR(__xludf.DUMMYFUNCTION("""COMPUTED_VALUE"""),0.237800925926421)</f>
        <v>0.23780092592642099</v>
      </c>
      <c r="F243" s="1">
        <f ca="1">IFERROR(__xludf.DUMMYFUNCTION("""COMPUTED_VALUE"""),26069)</f>
        <v>26069</v>
      </c>
      <c r="G243" s="1"/>
      <c r="H243" s="1"/>
      <c r="I243" s="1"/>
      <c r="J243" s="1" t="str">
        <f ca="1">IFERROR(__xludf.DUMMYFUNCTION("""COMPUTED_VALUE"""),"0d 00h 00m")</f>
        <v>0d 00h 00m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>
      <c r="A244" s="1">
        <f ca="1">IFERROR(__xludf.DUMMYFUNCTION("""COMPUTED_VALUE"""),42)</f>
        <v>42</v>
      </c>
      <c r="B244" s="1" t="str">
        <f ca="1">IFERROR(__xludf.DUMMYFUNCTION("""COMPUTED_VALUE"""),"E11_KA04D5289_TANKER")</f>
        <v>E11_KA04D5289_TANKER</v>
      </c>
      <c r="C244" s="1" t="str">
        <f ca="1">IFERROR(__xludf.DUMMYFUNCTION("""COMPUTED_VALUE"""),"e11_ka04d5289_tanker")</f>
        <v>e11_ka04d5289_tanker</v>
      </c>
      <c r="D244" s="2">
        <f ca="1">IFERROR(__xludf.DUMMYFUNCTION("""COMPUTED_VALUE"""),41640)</f>
        <v>41640</v>
      </c>
      <c r="E244" s="3">
        <f ca="1">IFERROR(__xludf.DUMMYFUNCTION("""COMPUTED_VALUE"""),0.237800925926421)</f>
        <v>0.23780092592642099</v>
      </c>
      <c r="F244" s="1">
        <f ca="1">IFERROR(__xludf.DUMMYFUNCTION("""COMPUTED_VALUE"""),26069)</f>
        <v>26069</v>
      </c>
      <c r="G244" s="1"/>
      <c r="H244" s="1"/>
      <c r="I244" s="1"/>
      <c r="J244" s="1" t="str">
        <f ca="1">IFERROR(__xludf.DUMMYFUNCTION("""COMPUTED_VALUE"""),"0d 00h 00m")</f>
        <v>0d 00h 00m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>
      <c r="A245" s="1">
        <f ca="1">IFERROR(__xludf.DUMMYFUNCTION("""COMPUTED_VALUE"""),42)</f>
        <v>42</v>
      </c>
      <c r="B245" s="1" t="str">
        <f ca="1">IFERROR(__xludf.DUMMYFUNCTION("""COMPUTED_VALUE"""),"E11_KA04D5289_TANKER")</f>
        <v>E11_KA04D5289_TANKER</v>
      </c>
      <c r="C245" s="1" t="str">
        <f ca="1">IFERROR(__xludf.DUMMYFUNCTION("""COMPUTED_VALUE"""),"e11_ka04d5289_tanker")</f>
        <v>e11_ka04d5289_tanker</v>
      </c>
      <c r="D245" s="2">
        <f ca="1">IFERROR(__xludf.DUMMYFUNCTION("""COMPUTED_VALUE"""),41640)</f>
        <v>41640</v>
      </c>
      <c r="E245" s="3">
        <f ca="1">IFERROR(__xludf.DUMMYFUNCTION("""COMPUTED_VALUE"""),0.237800925926421)</f>
        <v>0.23780092592642099</v>
      </c>
      <c r="F245" s="1">
        <f ca="1">IFERROR(__xludf.DUMMYFUNCTION("""COMPUTED_VALUE"""),26069)</f>
        <v>26069</v>
      </c>
      <c r="G245" s="1"/>
      <c r="H245" s="1"/>
      <c r="I245" s="1"/>
      <c r="J245" s="1" t="str">
        <f ca="1">IFERROR(__xludf.DUMMYFUNCTION("""COMPUTED_VALUE"""),"0d 00h 00m")</f>
        <v>0d 00h 00m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>
      <c r="A246" s="1">
        <f ca="1">IFERROR(__xludf.DUMMYFUNCTION("""COMPUTED_VALUE"""),126)</f>
        <v>126</v>
      </c>
      <c r="B246" s="1" t="str">
        <f ca="1">IFERROR(__xludf.DUMMYFUNCTION("""COMPUTED_VALUE"""),"E11_KA04D5291_TANKER")</f>
        <v>E11_KA04D5291_TANKER</v>
      </c>
      <c r="C246" s="1" t="str">
        <f ca="1">IFERROR(__xludf.DUMMYFUNCTION("""COMPUTED_VALUE"""),"e11_ka04d5291_tanker")</f>
        <v>e11_ka04d5291_tanker</v>
      </c>
      <c r="D246" s="2">
        <f ca="1">IFERROR(__xludf.DUMMYFUNCTION("""COMPUTED_VALUE"""),44869)</f>
        <v>44869</v>
      </c>
      <c r="E246" s="3">
        <f ca="1">IFERROR(__xludf.DUMMYFUNCTION("""COMPUTED_VALUE"""),0.607928240740875)</f>
        <v>0.60792824074087504</v>
      </c>
      <c r="F246" s="1">
        <f ca="1">IFERROR(__xludf.DUMMYFUNCTION("""COMPUTED_VALUE"""),3144)</f>
        <v>3144</v>
      </c>
      <c r="G246" s="1" t="str">
        <f ca="1">IFERROR(__xludf.DUMMYFUNCTION("""COMPUTED_VALUE"""),"13.0106/77.5666")</f>
        <v>13.0106/77.5666</v>
      </c>
      <c r="H246" s="1" t="str">
        <f ca="1">IFERROR(__xludf.DUMMYFUNCTION("""COMPUTED_VALUE"""),"Malleshwaram")</f>
        <v>Malleshwaram</v>
      </c>
      <c r="I246" s="1"/>
      <c r="J246" s="1" t="str">
        <f ca="1">IFERROR(__xludf.DUMMYFUNCTION("""COMPUTED_VALUE"""),"501d 20h 52m")</f>
        <v>501d 20h 52m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>
      <c r="A247" s="1">
        <f ca="1">IFERROR(__xludf.DUMMYFUNCTION("""COMPUTED_VALUE"""),126)</f>
        <v>126</v>
      </c>
      <c r="B247" s="1" t="str">
        <f ca="1">IFERROR(__xludf.DUMMYFUNCTION("""COMPUTED_VALUE"""),"E11_KA04D5291_TANKER")</f>
        <v>E11_KA04D5291_TANKER</v>
      </c>
      <c r="C247" s="1" t="str">
        <f ca="1">IFERROR(__xludf.DUMMYFUNCTION("""COMPUTED_VALUE"""),"e11_ka04d5291_tanker")</f>
        <v>e11_ka04d5291_tanker</v>
      </c>
      <c r="D247" s="2">
        <f ca="1">IFERROR(__xludf.DUMMYFUNCTION("""COMPUTED_VALUE"""),44869)</f>
        <v>44869</v>
      </c>
      <c r="E247" s="3">
        <f ca="1">IFERROR(__xludf.DUMMYFUNCTION("""COMPUTED_VALUE"""),0.607928240740875)</f>
        <v>0.60792824074087504</v>
      </c>
      <c r="F247" s="1">
        <f ca="1">IFERROR(__xludf.DUMMYFUNCTION("""COMPUTED_VALUE"""),3144)</f>
        <v>3144</v>
      </c>
      <c r="G247" s="1" t="str">
        <f ca="1">IFERROR(__xludf.DUMMYFUNCTION("""COMPUTED_VALUE"""),"13.0106/77.5666")</f>
        <v>13.0106/77.5666</v>
      </c>
      <c r="H247" s="1" t="str">
        <f ca="1">IFERROR(__xludf.DUMMYFUNCTION("""COMPUTED_VALUE"""),"Malleshwaram")</f>
        <v>Malleshwaram</v>
      </c>
      <c r="I247" s="1"/>
      <c r="J247" s="1" t="str">
        <f ca="1">IFERROR(__xludf.DUMMYFUNCTION("""COMPUTED_VALUE"""),"501d 20h 53m")</f>
        <v>501d 20h 53m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>
      <c r="A248" s="1">
        <f ca="1">IFERROR(__xludf.DUMMYFUNCTION("""COMPUTED_VALUE"""),124)</f>
        <v>124</v>
      </c>
      <c r="B248" s="1" t="str">
        <f ca="1">IFERROR(__xludf.DUMMYFUNCTION("""COMPUTED_VALUE"""),"E11_KA04D5291_TANKER")</f>
        <v>E11_KA04D5291_TANKER</v>
      </c>
      <c r="C248" s="1" t="str">
        <f ca="1">IFERROR(__xludf.DUMMYFUNCTION("""COMPUTED_VALUE"""),"e11_ka04d5291_tanker")</f>
        <v>e11_ka04d5291_tanker</v>
      </c>
      <c r="D248" s="2">
        <f ca="1">IFERROR(__xludf.DUMMYFUNCTION("""COMPUTED_VALUE"""),44869)</f>
        <v>44869</v>
      </c>
      <c r="E248" s="3">
        <f ca="1">IFERROR(__xludf.DUMMYFUNCTION("""COMPUTED_VALUE"""),0.607928240740875)</f>
        <v>0.60792824074087504</v>
      </c>
      <c r="F248" s="1">
        <f ca="1">IFERROR(__xludf.DUMMYFUNCTION("""COMPUTED_VALUE"""),3144)</f>
        <v>3144</v>
      </c>
      <c r="G248" s="1" t="str">
        <f ca="1">IFERROR(__xludf.DUMMYFUNCTION("""COMPUTED_VALUE"""),"13.0106/77.5666")</f>
        <v>13.0106/77.5666</v>
      </c>
      <c r="H248" s="1" t="str">
        <f ca="1">IFERROR(__xludf.DUMMYFUNCTION("""COMPUTED_VALUE"""),"Malleshwaram")</f>
        <v>Malleshwaram</v>
      </c>
      <c r="I248" s="1"/>
      <c r="J248" s="1" t="str">
        <f ca="1">IFERROR(__xludf.DUMMYFUNCTION("""COMPUTED_VALUE"""),"501d 20h 54m")</f>
        <v>501d 20h 54m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>
      <c r="A249" s="1">
        <f ca="1">IFERROR(__xludf.DUMMYFUNCTION("""COMPUTED_VALUE"""),123)</f>
        <v>123</v>
      </c>
      <c r="B249" s="1" t="str">
        <f ca="1">IFERROR(__xludf.DUMMYFUNCTION("""COMPUTED_VALUE"""),"E11_KA04D5291_TANKER")</f>
        <v>E11_KA04D5291_TANKER</v>
      </c>
      <c r="C249" s="1" t="str">
        <f ca="1">IFERROR(__xludf.DUMMYFUNCTION("""COMPUTED_VALUE"""),"e11_ka04d5291_tanker")</f>
        <v>e11_ka04d5291_tanker</v>
      </c>
      <c r="D249" s="2">
        <f ca="1">IFERROR(__xludf.DUMMYFUNCTION("""COMPUTED_VALUE"""),44869)</f>
        <v>44869</v>
      </c>
      <c r="E249" s="3">
        <f ca="1">IFERROR(__xludf.DUMMYFUNCTION("""COMPUTED_VALUE"""),0.607928240740875)</f>
        <v>0.60792824074087504</v>
      </c>
      <c r="F249" s="1">
        <f ca="1">IFERROR(__xludf.DUMMYFUNCTION("""COMPUTED_VALUE"""),3144)</f>
        <v>3144</v>
      </c>
      <c r="G249" s="1" t="str">
        <f ca="1">IFERROR(__xludf.DUMMYFUNCTION("""COMPUTED_VALUE"""),"13.0106/77.5666")</f>
        <v>13.0106/77.5666</v>
      </c>
      <c r="H249" s="1" t="str">
        <f ca="1">IFERROR(__xludf.DUMMYFUNCTION("""COMPUTED_VALUE"""),"Malleshwaram")</f>
        <v>Malleshwaram</v>
      </c>
      <c r="I249" s="1"/>
      <c r="J249" s="1" t="str">
        <f ca="1">IFERROR(__xludf.DUMMYFUNCTION("""COMPUTED_VALUE"""),"501d 20h 56m")</f>
        <v>501d 20h 56m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>
      <c r="A250" s="1">
        <f ca="1">IFERROR(__xludf.DUMMYFUNCTION("""COMPUTED_VALUE"""),123)</f>
        <v>123</v>
      </c>
      <c r="B250" s="1" t="str">
        <f ca="1">IFERROR(__xludf.DUMMYFUNCTION("""COMPUTED_VALUE"""),"E11_KA04D5291_TANKER")</f>
        <v>E11_KA04D5291_TANKER</v>
      </c>
      <c r="C250" s="1" t="str">
        <f ca="1">IFERROR(__xludf.DUMMYFUNCTION("""COMPUTED_VALUE"""),"e11_ka04d5291_tanker")</f>
        <v>e11_ka04d5291_tanker</v>
      </c>
      <c r="D250" s="2">
        <f ca="1">IFERROR(__xludf.DUMMYFUNCTION("""COMPUTED_VALUE"""),44869)</f>
        <v>44869</v>
      </c>
      <c r="E250" s="3">
        <f ca="1">IFERROR(__xludf.DUMMYFUNCTION("""COMPUTED_VALUE"""),0.607928240740875)</f>
        <v>0.60792824074087504</v>
      </c>
      <c r="F250" s="1">
        <f ca="1">IFERROR(__xludf.DUMMYFUNCTION("""COMPUTED_VALUE"""),3144)</f>
        <v>3144</v>
      </c>
      <c r="G250" s="1" t="str">
        <f ca="1">IFERROR(__xludf.DUMMYFUNCTION("""COMPUTED_VALUE"""),"13.0106/77.5666")</f>
        <v>13.0106/77.5666</v>
      </c>
      <c r="H250" s="1" t="str">
        <f ca="1">IFERROR(__xludf.DUMMYFUNCTION("""COMPUTED_VALUE"""),"Malleshwaram")</f>
        <v>Malleshwaram</v>
      </c>
      <c r="I250" s="1"/>
      <c r="J250" s="1" t="str">
        <f ca="1">IFERROR(__xludf.DUMMYFUNCTION("""COMPUTED_VALUE"""),"501d 20h 57m")</f>
        <v>501d 20h 57m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>
      <c r="A251" s="1">
        <f ca="1">IFERROR(__xludf.DUMMYFUNCTION("""COMPUTED_VALUE"""),6)</f>
        <v>6</v>
      </c>
      <c r="B251" s="1" t="str">
        <f ca="1">IFERROR(__xludf.DUMMYFUNCTION("""COMPUTED_VALUE"""),"E12_KA04D6648_JETTING")</f>
        <v>E12_KA04D6648_JETTING</v>
      </c>
      <c r="C251" s="1" t="str">
        <f ca="1">IFERROR(__xludf.DUMMYFUNCTION("""COMPUTED_VALUE"""),"e12_ka04d6648_jetting")</f>
        <v>e12_ka04d6648_jetting</v>
      </c>
      <c r="D251" s="2">
        <f ca="1">IFERROR(__xludf.DUMMYFUNCTION("""COMPUTED_VALUE"""),41640)</f>
        <v>41640</v>
      </c>
      <c r="E251" s="3">
        <f ca="1">IFERROR(__xludf.DUMMYFUNCTION("""COMPUTED_VALUE"""),0.229398148148902)</f>
        <v>0.229398148148902</v>
      </c>
      <c r="F251" s="1">
        <f ca="1">IFERROR(__xludf.DUMMYFUNCTION("""COMPUTED_VALUE"""),14721)</f>
        <v>14721</v>
      </c>
      <c r="G251" s="1"/>
      <c r="H251" s="1"/>
      <c r="I251" s="1"/>
      <c r="J251" s="1" t="str">
        <f ca="1">IFERROR(__xludf.DUMMYFUNCTION("""COMPUTED_VALUE"""),"0d 16h 34m")</f>
        <v>0d 16h 34m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>
      <c r="A252" s="1">
        <f ca="1">IFERROR(__xludf.DUMMYFUNCTION("""COMPUTED_VALUE"""),6)</f>
        <v>6</v>
      </c>
      <c r="B252" s="1" t="str">
        <f ca="1">IFERROR(__xludf.DUMMYFUNCTION("""COMPUTED_VALUE"""),"E12_KA04D6648_JETTING")</f>
        <v>E12_KA04D6648_JETTING</v>
      </c>
      <c r="C252" s="1" t="str">
        <f ca="1">IFERROR(__xludf.DUMMYFUNCTION("""COMPUTED_VALUE"""),"e12_ka04d6648_jetting")</f>
        <v>e12_ka04d6648_jetting</v>
      </c>
      <c r="D252" s="2">
        <f ca="1">IFERROR(__xludf.DUMMYFUNCTION("""COMPUTED_VALUE"""),41640)</f>
        <v>41640</v>
      </c>
      <c r="E252" s="3">
        <f ca="1">IFERROR(__xludf.DUMMYFUNCTION("""COMPUTED_VALUE"""),0.229398148148902)</f>
        <v>0.229398148148902</v>
      </c>
      <c r="F252" s="1">
        <f ca="1">IFERROR(__xludf.DUMMYFUNCTION("""COMPUTED_VALUE"""),14721)</f>
        <v>14721</v>
      </c>
      <c r="G252" s="1"/>
      <c r="H252" s="1"/>
      <c r="I252" s="1"/>
      <c r="J252" s="1" t="str">
        <f ca="1">IFERROR(__xludf.DUMMYFUNCTION("""COMPUTED_VALUE"""),"0d 16h 35m")</f>
        <v>0d 16h 35m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>
      <c r="A253" s="1">
        <f ca="1">IFERROR(__xludf.DUMMYFUNCTION("""COMPUTED_VALUE"""),6)</f>
        <v>6</v>
      </c>
      <c r="B253" s="1" t="str">
        <f ca="1">IFERROR(__xludf.DUMMYFUNCTION("""COMPUTED_VALUE"""),"E12_KA04D6648_JETTING")</f>
        <v>E12_KA04D6648_JETTING</v>
      </c>
      <c r="C253" s="1" t="str">
        <f ca="1">IFERROR(__xludf.DUMMYFUNCTION("""COMPUTED_VALUE"""),"e12_ka04d6648_jetting")</f>
        <v>e12_ka04d6648_jetting</v>
      </c>
      <c r="D253" s="2">
        <f ca="1">IFERROR(__xludf.DUMMYFUNCTION("""COMPUTED_VALUE"""),41640)</f>
        <v>41640</v>
      </c>
      <c r="E253" s="3">
        <f ca="1">IFERROR(__xludf.DUMMYFUNCTION("""COMPUTED_VALUE"""),0.229398148148902)</f>
        <v>0.229398148148902</v>
      </c>
      <c r="F253" s="1">
        <f ca="1">IFERROR(__xludf.DUMMYFUNCTION("""COMPUTED_VALUE"""),14721)</f>
        <v>14721</v>
      </c>
      <c r="G253" s="1"/>
      <c r="H253" s="1"/>
      <c r="I253" s="1"/>
      <c r="J253" s="1" t="str">
        <f ca="1">IFERROR(__xludf.DUMMYFUNCTION("""COMPUTED_VALUE"""),"0d 16h 38m")</f>
        <v>0d 16h 38m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>
      <c r="A254" s="1">
        <f ca="1">IFERROR(__xludf.DUMMYFUNCTION("""COMPUTED_VALUE"""),6)</f>
        <v>6</v>
      </c>
      <c r="B254" s="1" t="str">
        <f ca="1">IFERROR(__xludf.DUMMYFUNCTION("""COMPUTED_VALUE"""),"E12_KA04D6648_JETTING")</f>
        <v>E12_KA04D6648_JETTING</v>
      </c>
      <c r="C254" s="1" t="str">
        <f ca="1">IFERROR(__xludf.DUMMYFUNCTION("""COMPUTED_VALUE"""),"e12_ka04d6648_jetting")</f>
        <v>e12_ka04d6648_jetting</v>
      </c>
      <c r="D254" s="2">
        <f ca="1">IFERROR(__xludf.DUMMYFUNCTION("""COMPUTED_VALUE"""),41640)</f>
        <v>41640</v>
      </c>
      <c r="E254" s="3">
        <f ca="1">IFERROR(__xludf.DUMMYFUNCTION("""COMPUTED_VALUE"""),0.229398148148902)</f>
        <v>0.229398148148902</v>
      </c>
      <c r="F254" s="1">
        <f ca="1">IFERROR(__xludf.DUMMYFUNCTION("""COMPUTED_VALUE"""),14721)</f>
        <v>14721</v>
      </c>
      <c r="G254" s="1"/>
      <c r="H254" s="1"/>
      <c r="I254" s="1"/>
      <c r="J254" s="1" t="str">
        <f ca="1">IFERROR(__xludf.DUMMYFUNCTION("""COMPUTED_VALUE"""),"0d 16h 39m")</f>
        <v>0d 16h 39m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>
      <c r="A255" s="1">
        <f ca="1">IFERROR(__xludf.DUMMYFUNCTION("""COMPUTED_VALUE"""),6)</f>
        <v>6</v>
      </c>
      <c r="B255" s="1" t="str">
        <f ca="1">IFERROR(__xludf.DUMMYFUNCTION("""COMPUTED_VALUE"""),"E12_KA04D6648_JETTING")</f>
        <v>E12_KA04D6648_JETTING</v>
      </c>
      <c r="C255" s="1" t="str">
        <f ca="1">IFERROR(__xludf.DUMMYFUNCTION("""COMPUTED_VALUE"""),"e12_ka04d6648_jetting")</f>
        <v>e12_ka04d6648_jetting</v>
      </c>
      <c r="D255" s="2">
        <f ca="1">IFERROR(__xludf.DUMMYFUNCTION("""COMPUTED_VALUE"""),41640)</f>
        <v>41640</v>
      </c>
      <c r="E255" s="3">
        <f ca="1">IFERROR(__xludf.DUMMYFUNCTION("""COMPUTED_VALUE"""),0.229398148148902)</f>
        <v>0.229398148148902</v>
      </c>
      <c r="F255" s="1">
        <f ca="1">IFERROR(__xludf.DUMMYFUNCTION("""COMPUTED_VALUE"""),14721)</f>
        <v>14721</v>
      </c>
      <c r="G255" s="1"/>
      <c r="H255" s="1"/>
      <c r="I255" s="1"/>
      <c r="J255" s="1" t="str">
        <f ca="1">IFERROR(__xludf.DUMMYFUNCTION("""COMPUTED_VALUE"""),"0d 16h 40m")</f>
        <v>0d 16h 40m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>
      <c r="A256" s="1">
        <f ca="1">IFERROR(__xludf.DUMMYFUNCTION("""COMPUTED_VALUE"""),6)</f>
        <v>6</v>
      </c>
      <c r="B256" s="1" t="str">
        <f ca="1">IFERROR(__xludf.DUMMYFUNCTION("""COMPUTED_VALUE"""),"E12_KA04D6648_JETTING")</f>
        <v>E12_KA04D6648_JETTING</v>
      </c>
      <c r="C256" s="1" t="str">
        <f ca="1">IFERROR(__xludf.DUMMYFUNCTION("""COMPUTED_VALUE"""),"e12_ka04d6648_jetting")</f>
        <v>e12_ka04d6648_jetting</v>
      </c>
      <c r="D256" s="2">
        <f ca="1">IFERROR(__xludf.DUMMYFUNCTION("""COMPUTED_VALUE"""),41640)</f>
        <v>41640</v>
      </c>
      <c r="E256" s="3">
        <f ca="1">IFERROR(__xludf.DUMMYFUNCTION("""COMPUTED_VALUE"""),0.229398148148902)</f>
        <v>0.229398148148902</v>
      </c>
      <c r="F256" s="1">
        <f ca="1">IFERROR(__xludf.DUMMYFUNCTION("""COMPUTED_VALUE"""),14721)</f>
        <v>14721</v>
      </c>
      <c r="G256" s="1"/>
      <c r="H256" s="1"/>
      <c r="I256" s="1"/>
      <c r="J256" s="1" t="str">
        <f ca="1">IFERROR(__xludf.DUMMYFUNCTION("""COMPUTED_VALUE"""),"0d 16h 41m")</f>
        <v>0d 16h 41m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>
      <c r="A257" s="1">
        <f ca="1">IFERROR(__xludf.DUMMYFUNCTION("""COMPUTED_VALUE"""),6)</f>
        <v>6</v>
      </c>
      <c r="B257" s="1" t="str">
        <f ca="1">IFERROR(__xludf.DUMMYFUNCTION("""COMPUTED_VALUE"""),"E12_KA04D6648_JETTING")</f>
        <v>E12_KA04D6648_JETTING</v>
      </c>
      <c r="C257" s="1" t="str">
        <f ca="1">IFERROR(__xludf.DUMMYFUNCTION("""COMPUTED_VALUE"""),"e12_ka04d6648_jetting")</f>
        <v>e12_ka04d6648_jetting</v>
      </c>
      <c r="D257" s="2">
        <f ca="1">IFERROR(__xludf.DUMMYFUNCTION("""COMPUTED_VALUE"""),41640)</f>
        <v>41640</v>
      </c>
      <c r="E257" s="3">
        <f ca="1">IFERROR(__xludf.DUMMYFUNCTION("""COMPUTED_VALUE"""),0.229398148148902)</f>
        <v>0.229398148148902</v>
      </c>
      <c r="F257" s="1">
        <f ca="1">IFERROR(__xludf.DUMMYFUNCTION("""COMPUTED_VALUE"""),14721)</f>
        <v>14721</v>
      </c>
      <c r="G257" s="1"/>
      <c r="H257" s="1"/>
      <c r="I257" s="1"/>
      <c r="J257" s="1" t="str">
        <f ca="1">IFERROR(__xludf.DUMMYFUNCTION("""COMPUTED_VALUE"""),"0d 16h 42m")</f>
        <v>0d 16h 42m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>
      <c r="A258" s="1">
        <f ca="1">IFERROR(__xludf.DUMMYFUNCTION("""COMPUTED_VALUE"""),82)</f>
        <v>82</v>
      </c>
      <c r="B258" s="1" t="str">
        <f ca="1">IFERROR(__xludf.DUMMYFUNCTION("""COMPUTED_VALUE"""),"E12_KA04D6650_JETTING")</f>
        <v>E12_KA04D6650_JETTING</v>
      </c>
      <c r="C258" s="1" t="str">
        <f ca="1">IFERROR(__xludf.DUMMYFUNCTION("""COMPUTED_VALUE"""),"e12_ka04d6650_jetting")</f>
        <v>e12_ka04d6650_jetting</v>
      </c>
      <c r="D258" s="2">
        <f ca="1">IFERROR(__xludf.DUMMYFUNCTION("""COMPUTED_VALUE"""),41640)</f>
        <v>41640</v>
      </c>
      <c r="E258" s="3">
        <f ca="1">IFERROR(__xludf.DUMMYFUNCTION("""COMPUTED_VALUE"""),0.670509259260143)</f>
        <v>0.67050925926014304</v>
      </c>
      <c r="F258" s="1">
        <f ca="1">IFERROR(__xludf.DUMMYFUNCTION("""COMPUTED_VALUE"""),20033)</f>
        <v>20033</v>
      </c>
      <c r="G258" s="1" t="str">
        <f ca="1">IFERROR(__xludf.DUMMYFUNCTION("""COMPUTED_VALUE"""),"12.9660/77.6788")</f>
        <v>12.9660/77.6788</v>
      </c>
      <c r="H258" s="1" t="str">
        <f ca="1">IFERROR(__xludf.DUMMYFUNCTION("""COMPUTED_VALUE"""),"Keerthi Regency")</f>
        <v>Keerthi Regency</v>
      </c>
      <c r="I258" s="1"/>
      <c r="J258" s="1" t="str">
        <f ca="1">IFERROR(__xludf.DUMMYFUNCTION("""COMPUTED_VALUE"""),"0d 17h 24m")</f>
        <v>0d 17h 24m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>
      <c r="A259" s="1">
        <f ca="1">IFERROR(__xludf.DUMMYFUNCTION("""COMPUTED_VALUE"""),82)</f>
        <v>82</v>
      </c>
      <c r="B259" s="1" t="str">
        <f ca="1">IFERROR(__xludf.DUMMYFUNCTION("""COMPUTED_VALUE"""),"E12_KA04D6650_JETTING")</f>
        <v>E12_KA04D6650_JETTING</v>
      </c>
      <c r="C259" s="1" t="str">
        <f ca="1">IFERROR(__xludf.DUMMYFUNCTION("""COMPUTED_VALUE"""),"e12_ka04d6650_jetting")</f>
        <v>e12_ka04d6650_jetting</v>
      </c>
      <c r="D259" s="2">
        <f ca="1">IFERROR(__xludf.DUMMYFUNCTION("""COMPUTED_VALUE"""),41640)</f>
        <v>41640</v>
      </c>
      <c r="E259" s="3">
        <f ca="1">IFERROR(__xludf.DUMMYFUNCTION("""COMPUTED_VALUE"""),0.670509259260143)</f>
        <v>0.67050925926014304</v>
      </c>
      <c r="F259" s="1">
        <f ca="1">IFERROR(__xludf.DUMMYFUNCTION("""COMPUTED_VALUE"""),20033)</f>
        <v>20033</v>
      </c>
      <c r="G259" s="1" t="str">
        <f ca="1">IFERROR(__xludf.DUMMYFUNCTION("""COMPUTED_VALUE"""),"12.9660/77.6788")</f>
        <v>12.9660/77.6788</v>
      </c>
      <c r="H259" s="1" t="str">
        <f ca="1">IFERROR(__xludf.DUMMYFUNCTION("""COMPUTED_VALUE"""),"Keerthi Regency")</f>
        <v>Keerthi Regency</v>
      </c>
      <c r="I259" s="1"/>
      <c r="J259" s="1" t="str">
        <f ca="1">IFERROR(__xludf.DUMMYFUNCTION("""COMPUTED_VALUE"""),"0d 17h 25m")</f>
        <v>0d 17h 25m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>
      <c r="A260" s="1">
        <f ca="1">IFERROR(__xludf.DUMMYFUNCTION("""COMPUTED_VALUE"""),80)</f>
        <v>80</v>
      </c>
      <c r="B260" s="1" t="str">
        <f ca="1">IFERROR(__xludf.DUMMYFUNCTION("""COMPUTED_VALUE"""),"E12_KA04D6650_JETTING")</f>
        <v>E12_KA04D6650_JETTING</v>
      </c>
      <c r="C260" s="1" t="str">
        <f ca="1">IFERROR(__xludf.DUMMYFUNCTION("""COMPUTED_VALUE"""),"e12_ka04d6650_jetting")</f>
        <v>e12_ka04d6650_jetting</v>
      </c>
      <c r="D260" s="2">
        <f ca="1">IFERROR(__xludf.DUMMYFUNCTION("""COMPUTED_VALUE"""),41640)</f>
        <v>41640</v>
      </c>
      <c r="E260" s="3">
        <f ca="1">IFERROR(__xludf.DUMMYFUNCTION("""COMPUTED_VALUE"""),0.670509259260143)</f>
        <v>0.67050925926014304</v>
      </c>
      <c r="F260" s="1">
        <f ca="1">IFERROR(__xludf.DUMMYFUNCTION("""COMPUTED_VALUE"""),20033)</f>
        <v>20033</v>
      </c>
      <c r="G260" s="1" t="str">
        <f ca="1">IFERROR(__xludf.DUMMYFUNCTION("""COMPUTED_VALUE"""),"12.9660/77.6788")</f>
        <v>12.9660/77.6788</v>
      </c>
      <c r="H260" s="1" t="str">
        <f ca="1">IFERROR(__xludf.DUMMYFUNCTION("""COMPUTED_VALUE"""),"Keerthi Regency")</f>
        <v>Keerthi Regency</v>
      </c>
      <c r="I260" s="1"/>
      <c r="J260" s="1" t="str">
        <f ca="1">IFERROR(__xludf.DUMMYFUNCTION("""COMPUTED_VALUE"""),"0d 17h 28m")</f>
        <v>0d 17h 28m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>
      <c r="A261" s="1">
        <f ca="1">IFERROR(__xludf.DUMMYFUNCTION("""COMPUTED_VALUE"""),80)</f>
        <v>80</v>
      </c>
      <c r="B261" s="1" t="str">
        <f ca="1">IFERROR(__xludf.DUMMYFUNCTION("""COMPUTED_VALUE"""),"E12_KA04D6650_JETTING")</f>
        <v>E12_KA04D6650_JETTING</v>
      </c>
      <c r="C261" s="1" t="str">
        <f ca="1">IFERROR(__xludf.DUMMYFUNCTION("""COMPUTED_VALUE"""),"e12_ka04d6650_jetting")</f>
        <v>e12_ka04d6650_jetting</v>
      </c>
      <c r="D261" s="2">
        <f ca="1">IFERROR(__xludf.DUMMYFUNCTION("""COMPUTED_VALUE"""),41640)</f>
        <v>41640</v>
      </c>
      <c r="E261" s="3">
        <f ca="1">IFERROR(__xludf.DUMMYFUNCTION("""COMPUTED_VALUE"""),0.670509259260143)</f>
        <v>0.67050925926014304</v>
      </c>
      <c r="F261" s="1">
        <f ca="1">IFERROR(__xludf.DUMMYFUNCTION("""COMPUTED_VALUE"""),20033)</f>
        <v>20033</v>
      </c>
      <c r="G261" s="1" t="str">
        <f ca="1">IFERROR(__xludf.DUMMYFUNCTION("""COMPUTED_VALUE"""),"12.9660/77.6788")</f>
        <v>12.9660/77.6788</v>
      </c>
      <c r="H261" s="1" t="str">
        <f ca="1">IFERROR(__xludf.DUMMYFUNCTION("""COMPUTED_VALUE"""),"Keerthi Regency")</f>
        <v>Keerthi Regency</v>
      </c>
      <c r="I261" s="1"/>
      <c r="J261" s="1" t="str">
        <f ca="1">IFERROR(__xludf.DUMMYFUNCTION("""COMPUTED_VALUE"""),"0d 17h 29m")</f>
        <v>0d 17h 29m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>
      <c r="A262" s="1">
        <f ca="1">IFERROR(__xludf.DUMMYFUNCTION("""COMPUTED_VALUE"""),80)</f>
        <v>80</v>
      </c>
      <c r="B262" s="1" t="str">
        <f ca="1">IFERROR(__xludf.DUMMYFUNCTION("""COMPUTED_VALUE"""),"E12_KA04D6650_JETTING")</f>
        <v>E12_KA04D6650_JETTING</v>
      </c>
      <c r="C262" s="1" t="str">
        <f ca="1">IFERROR(__xludf.DUMMYFUNCTION("""COMPUTED_VALUE"""),"e12_ka04d6650_jetting")</f>
        <v>e12_ka04d6650_jetting</v>
      </c>
      <c r="D262" s="2">
        <f ca="1">IFERROR(__xludf.DUMMYFUNCTION("""COMPUTED_VALUE"""),41640)</f>
        <v>41640</v>
      </c>
      <c r="E262" s="3">
        <f ca="1">IFERROR(__xludf.DUMMYFUNCTION("""COMPUTED_VALUE"""),0.670509259260143)</f>
        <v>0.67050925926014304</v>
      </c>
      <c r="F262" s="1">
        <f ca="1">IFERROR(__xludf.DUMMYFUNCTION("""COMPUTED_VALUE"""),20033)</f>
        <v>20033</v>
      </c>
      <c r="G262" s="1" t="str">
        <f ca="1">IFERROR(__xludf.DUMMYFUNCTION("""COMPUTED_VALUE"""),"12.9660/77.6788")</f>
        <v>12.9660/77.6788</v>
      </c>
      <c r="H262" s="1" t="str">
        <f ca="1">IFERROR(__xludf.DUMMYFUNCTION("""COMPUTED_VALUE"""),"Keerthi Regency")</f>
        <v>Keerthi Regency</v>
      </c>
      <c r="I262" s="1"/>
      <c r="J262" s="1" t="str">
        <f ca="1">IFERROR(__xludf.DUMMYFUNCTION("""COMPUTED_VALUE"""),"0d 17h 30m")</f>
        <v>0d 17h 30m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>
      <c r="A263" s="1">
        <f ca="1">IFERROR(__xludf.DUMMYFUNCTION("""COMPUTED_VALUE"""),80)</f>
        <v>80</v>
      </c>
      <c r="B263" s="1" t="str">
        <f ca="1">IFERROR(__xludf.DUMMYFUNCTION("""COMPUTED_VALUE"""),"E12_KA04D6650_JETTING")</f>
        <v>E12_KA04D6650_JETTING</v>
      </c>
      <c r="C263" s="1" t="str">
        <f ca="1">IFERROR(__xludf.DUMMYFUNCTION("""COMPUTED_VALUE"""),"e12_ka04d6650_jetting")</f>
        <v>e12_ka04d6650_jetting</v>
      </c>
      <c r="D263" s="2">
        <f ca="1">IFERROR(__xludf.DUMMYFUNCTION("""COMPUTED_VALUE"""),41640)</f>
        <v>41640</v>
      </c>
      <c r="E263" s="3">
        <f ca="1">IFERROR(__xludf.DUMMYFUNCTION("""COMPUTED_VALUE"""),0.670509259260143)</f>
        <v>0.67050925926014304</v>
      </c>
      <c r="F263" s="1">
        <f ca="1">IFERROR(__xludf.DUMMYFUNCTION("""COMPUTED_VALUE"""),20033)</f>
        <v>20033</v>
      </c>
      <c r="G263" s="1" t="str">
        <f ca="1">IFERROR(__xludf.DUMMYFUNCTION("""COMPUTED_VALUE"""),"12.9660/77.6788")</f>
        <v>12.9660/77.6788</v>
      </c>
      <c r="H263" s="1" t="str">
        <f ca="1">IFERROR(__xludf.DUMMYFUNCTION("""COMPUTED_VALUE"""),"Keerthi Regency")</f>
        <v>Keerthi Regency</v>
      </c>
      <c r="I263" s="1"/>
      <c r="J263" s="1" t="str">
        <f ca="1">IFERROR(__xludf.DUMMYFUNCTION("""COMPUTED_VALUE"""),"0d 17h 31m")</f>
        <v>0d 17h 31m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>
      <c r="A264" s="1">
        <f ca="1">IFERROR(__xludf.DUMMYFUNCTION("""COMPUTED_VALUE"""),80)</f>
        <v>80</v>
      </c>
      <c r="B264" s="1" t="str">
        <f ca="1">IFERROR(__xludf.DUMMYFUNCTION("""COMPUTED_VALUE"""),"E12_KA04D6650_JETTING")</f>
        <v>E12_KA04D6650_JETTING</v>
      </c>
      <c r="C264" s="1" t="str">
        <f ca="1">IFERROR(__xludf.DUMMYFUNCTION("""COMPUTED_VALUE"""),"e12_ka04d6650_jetting")</f>
        <v>e12_ka04d6650_jetting</v>
      </c>
      <c r="D264" s="2">
        <f ca="1">IFERROR(__xludf.DUMMYFUNCTION("""COMPUTED_VALUE"""),41640)</f>
        <v>41640</v>
      </c>
      <c r="E264" s="3">
        <f ca="1">IFERROR(__xludf.DUMMYFUNCTION("""COMPUTED_VALUE"""),0.670509259260143)</f>
        <v>0.67050925926014304</v>
      </c>
      <c r="F264" s="1">
        <f ca="1">IFERROR(__xludf.DUMMYFUNCTION("""COMPUTED_VALUE"""),20033)</f>
        <v>20033</v>
      </c>
      <c r="G264" s="1" t="str">
        <f ca="1">IFERROR(__xludf.DUMMYFUNCTION("""COMPUTED_VALUE"""),"12.9660/77.6788")</f>
        <v>12.9660/77.6788</v>
      </c>
      <c r="H264" s="1" t="str">
        <f ca="1">IFERROR(__xludf.DUMMYFUNCTION("""COMPUTED_VALUE"""),"Keerthi Regency")</f>
        <v>Keerthi Regency</v>
      </c>
      <c r="I264" s="1"/>
      <c r="J264" s="1" t="str">
        <f ca="1">IFERROR(__xludf.DUMMYFUNCTION("""COMPUTED_VALUE"""),"0d 17h 32m")</f>
        <v>0d 17h 32m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>
      <c r="A265" s="1">
        <f ca="1">IFERROR(__xludf.DUMMYFUNCTION("""COMPUTED_VALUE"""),59)</f>
        <v>59</v>
      </c>
      <c r="B265" s="1" t="str">
        <f ca="1">IFERROR(__xludf.DUMMYFUNCTION("""COMPUTED_VALUE"""),"E13_KA02AC4534_JETTING")</f>
        <v>E13_KA02AC4534_JETTING</v>
      </c>
      <c r="C265" s="1" t="str">
        <f ca="1">IFERROR(__xludf.DUMMYFUNCTION("""COMPUTED_VALUE"""),"e13_ka02ac4534_jetting")</f>
        <v>e13_ka02ac4534_jetting</v>
      </c>
      <c r="D265" s="2">
        <f ca="1">IFERROR(__xludf.DUMMYFUNCTION("""COMPUTED_VALUE"""),41640)</f>
        <v>41640</v>
      </c>
      <c r="E265" s="3">
        <f ca="1">IFERROR(__xludf.DUMMYFUNCTION("""COMPUTED_VALUE"""),0.453391203704086)</f>
        <v>0.45339120370408598</v>
      </c>
      <c r="F265" s="1">
        <f ca="1">IFERROR(__xludf.DUMMYFUNCTION("""COMPUTED_VALUE"""),30930)</f>
        <v>30930</v>
      </c>
      <c r="G265" s="1"/>
      <c r="H265" s="1"/>
      <c r="I265" s="1"/>
      <c r="J265" s="1" t="str">
        <f ca="1">IFERROR(__xludf.DUMMYFUNCTION("""COMPUTED_VALUE"""),"0d 00h 00m")</f>
        <v>0d 00h 00m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>
      <c r="A266" s="1">
        <f ca="1">IFERROR(__xludf.DUMMYFUNCTION("""COMPUTED_VALUE"""),59)</f>
        <v>59</v>
      </c>
      <c r="B266" s="1" t="str">
        <f ca="1">IFERROR(__xludf.DUMMYFUNCTION("""COMPUTED_VALUE"""),"E13_KA02AC4534_JETTING")</f>
        <v>E13_KA02AC4534_JETTING</v>
      </c>
      <c r="C266" s="1" t="str">
        <f ca="1">IFERROR(__xludf.DUMMYFUNCTION("""COMPUTED_VALUE"""),"e13_ka02ac4534_jetting")</f>
        <v>e13_ka02ac4534_jetting</v>
      </c>
      <c r="D266" s="2">
        <f ca="1">IFERROR(__xludf.DUMMYFUNCTION("""COMPUTED_VALUE"""),41640)</f>
        <v>41640</v>
      </c>
      <c r="E266" s="3">
        <f ca="1">IFERROR(__xludf.DUMMYFUNCTION("""COMPUTED_VALUE"""),0.453391203704086)</f>
        <v>0.45339120370408598</v>
      </c>
      <c r="F266" s="1">
        <f ca="1">IFERROR(__xludf.DUMMYFUNCTION("""COMPUTED_VALUE"""),30930)</f>
        <v>30930</v>
      </c>
      <c r="G266" s="1"/>
      <c r="H266" s="1"/>
      <c r="I266" s="1"/>
      <c r="J266" s="1" t="str">
        <f ca="1">IFERROR(__xludf.DUMMYFUNCTION("""COMPUTED_VALUE"""),"0d 00h 00m")</f>
        <v>0d 00h 00m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>
      <c r="A267" s="1">
        <f ca="1">IFERROR(__xludf.DUMMYFUNCTION("""COMPUTED_VALUE"""),58)</f>
        <v>58</v>
      </c>
      <c r="B267" s="1" t="str">
        <f ca="1">IFERROR(__xludf.DUMMYFUNCTION("""COMPUTED_VALUE"""),"E13_KA02AC4534_JETTING")</f>
        <v>E13_KA02AC4534_JETTING</v>
      </c>
      <c r="C267" s="1" t="str">
        <f ca="1">IFERROR(__xludf.DUMMYFUNCTION("""COMPUTED_VALUE"""),"e13_ka02ac4534_jetting")</f>
        <v>e13_ka02ac4534_jetting</v>
      </c>
      <c r="D267" s="2">
        <f ca="1">IFERROR(__xludf.DUMMYFUNCTION("""COMPUTED_VALUE"""),41640)</f>
        <v>41640</v>
      </c>
      <c r="E267" s="3">
        <f ca="1">IFERROR(__xludf.DUMMYFUNCTION("""COMPUTED_VALUE"""),0.453391203704086)</f>
        <v>0.45339120370408598</v>
      </c>
      <c r="F267" s="1">
        <f ca="1">IFERROR(__xludf.DUMMYFUNCTION("""COMPUTED_VALUE"""),30930)</f>
        <v>30930</v>
      </c>
      <c r="G267" s="1"/>
      <c r="H267" s="1"/>
      <c r="I267" s="1"/>
      <c r="J267" s="1" t="str">
        <f ca="1">IFERROR(__xludf.DUMMYFUNCTION("""COMPUTED_VALUE"""),"0d 00h 00m")</f>
        <v>0d 00h 00m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>
      <c r="A268" s="1">
        <f ca="1">IFERROR(__xludf.DUMMYFUNCTION("""COMPUTED_VALUE"""),58)</f>
        <v>58</v>
      </c>
      <c r="B268" s="1" t="str">
        <f ca="1">IFERROR(__xludf.DUMMYFUNCTION("""COMPUTED_VALUE"""),"E13_KA02AC4534_JETTING")</f>
        <v>E13_KA02AC4534_JETTING</v>
      </c>
      <c r="C268" s="1" t="str">
        <f ca="1">IFERROR(__xludf.DUMMYFUNCTION("""COMPUTED_VALUE"""),"e13_ka02ac4534_jetting")</f>
        <v>e13_ka02ac4534_jetting</v>
      </c>
      <c r="D268" s="2">
        <f ca="1">IFERROR(__xludf.DUMMYFUNCTION("""COMPUTED_VALUE"""),41640)</f>
        <v>41640</v>
      </c>
      <c r="E268" s="3">
        <f ca="1">IFERROR(__xludf.DUMMYFUNCTION("""COMPUTED_VALUE"""),0.453391203704086)</f>
        <v>0.45339120370408598</v>
      </c>
      <c r="F268" s="1">
        <f ca="1">IFERROR(__xludf.DUMMYFUNCTION("""COMPUTED_VALUE"""),30930)</f>
        <v>30930</v>
      </c>
      <c r="G268" s="1"/>
      <c r="H268" s="1"/>
      <c r="I268" s="1"/>
      <c r="J268" s="1" t="str">
        <f ca="1">IFERROR(__xludf.DUMMYFUNCTION("""COMPUTED_VALUE"""),"0d 00h 00m")</f>
        <v>0d 00h 00m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>
      <c r="A269" s="1">
        <f ca="1">IFERROR(__xludf.DUMMYFUNCTION("""COMPUTED_VALUE"""),58)</f>
        <v>58</v>
      </c>
      <c r="B269" s="1" t="str">
        <f ca="1">IFERROR(__xludf.DUMMYFUNCTION("""COMPUTED_VALUE"""),"E13_KA02AC4534_JETTING")</f>
        <v>E13_KA02AC4534_JETTING</v>
      </c>
      <c r="C269" s="1" t="str">
        <f ca="1">IFERROR(__xludf.DUMMYFUNCTION("""COMPUTED_VALUE"""),"e13_ka02ac4534_jetting")</f>
        <v>e13_ka02ac4534_jetting</v>
      </c>
      <c r="D269" s="2">
        <f ca="1">IFERROR(__xludf.DUMMYFUNCTION("""COMPUTED_VALUE"""),41640)</f>
        <v>41640</v>
      </c>
      <c r="E269" s="3">
        <f ca="1">IFERROR(__xludf.DUMMYFUNCTION("""COMPUTED_VALUE"""),0.453391203704086)</f>
        <v>0.45339120370408598</v>
      </c>
      <c r="F269" s="1">
        <f ca="1">IFERROR(__xludf.DUMMYFUNCTION("""COMPUTED_VALUE"""),30930)</f>
        <v>30930</v>
      </c>
      <c r="G269" s="1"/>
      <c r="H269" s="1"/>
      <c r="I269" s="1"/>
      <c r="J269" s="1" t="str">
        <f ca="1">IFERROR(__xludf.DUMMYFUNCTION("""COMPUTED_VALUE"""),"0d 00h 00m")</f>
        <v>0d 00h 00m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>
      <c r="A270" s="1">
        <f ca="1">IFERROR(__xludf.DUMMYFUNCTION("""COMPUTED_VALUE"""),58)</f>
        <v>58</v>
      </c>
      <c r="B270" s="1" t="str">
        <f ca="1">IFERROR(__xludf.DUMMYFUNCTION("""COMPUTED_VALUE"""),"E13_KA02AC4534_JETTING")</f>
        <v>E13_KA02AC4534_JETTING</v>
      </c>
      <c r="C270" s="1" t="str">
        <f ca="1">IFERROR(__xludf.DUMMYFUNCTION("""COMPUTED_VALUE"""),"e13_ka02ac4534_jetting")</f>
        <v>e13_ka02ac4534_jetting</v>
      </c>
      <c r="D270" s="2">
        <f ca="1">IFERROR(__xludf.DUMMYFUNCTION("""COMPUTED_VALUE"""),41640)</f>
        <v>41640</v>
      </c>
      <c r="E270" s="3">
        <f ca="1">IFERROR(__xludf.DUMMYFUNCTION("""COMPUTED_VALUE"""),0.453391203704086)</f>
        <v>0.45339120370408598</v>
      </c>
      <c r="F270" s="1">
        <f ca="1">IFERROR(__xludf.DUMMYFUNCTION("""COMPUTED_VALUE"""),30930)</f>
        <v>30930</v>
      </c>
      <c r="G270" s="1"/>
      <c r="H270" s="1"/>
      <c r="I270" s="1"/>
      <c r="J270" s="1" t="str">
        <f ca="1">IFERROR(__xludf.DUMMYFUNCTION("""COMPUTED_VALUE"""),"0d 00h 00m")</f>
        <v>0d 00h 00m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>
      <c r="A271" s="1">
        <f ca="1">IFERROR(__xludf.DUMMYFUNCTION("""COMPUTED_VALUE"""),58)</f>
        <v>58</v>
      </c>
      <c r="B271" s="1" t="str">
        <f ca="1">IFERROR(__xludf.DUMMYFUNCTION("""COMPUTED_VALUE"""),"E13_KA02AC4534_JETTING")</f>
        <v>E13_KA02AC4534_JETTING</v>
      </c>
      <c r="C271" s="1" t="str">
        <f ca="1">IFERROR(__xludf.DUMMYFUNCTION("""COMPUTED_VALUE"""),"e13_ka02ac4534_jetting")</f>
        <v>e13_ka02ac4534_jetting</v>
      </c>
      <c r="D271" s="2">
        <f ca="1">IFERROR(__xludf.DUMMYFUNCTION("""COMPUTED_VALUE"""),41640)</f>
        <v>41640</v>
      </c>
      <c r="E271" s="3">
        <f ca="1">IFERROR(__xludf.DUMMYFUNCTION("""COMPUTED_VALUE"""),0.453391203704086)</f>
        <v>0.45339120370408598</v>
      </c>
      <c r="F271" s="1">
        <f ca="1">IFERROR(__xludf.DUMMYFUNCTION("""COMPUTED_VALUE"""),30930)</f>
        <v>30930</v>
      </c>
      <c r="G271" s="1"/>
      <c r="H271" s="1"/>
      <c r="I271" s="1"/>
      <c r="J271" s="1" t="str">
        <f ca="1">IFERROR(__xludf.DUMMYFUNCTION("""COMPUTED_VALUE"""),"0d 00h 00m")</f>
        <v>0d 00h 00m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>
      <c r="A272" s="1">
        <f ca="1">IFERROR(__xludf.DUMMYFUNCTION("""COMPUTED_VALUE"""),214)</f>
        <v>214</v>
      </c>
      <c r="B272" s="1" t="str">
        <f ca="1">IFERROR(__xludf.DUMMYFUNCTION("""COMPUTED_VALUE"""),"E1_KA02AC4521_Jetting")</f>
        <v>E1_KA02AC4521_Jetting</v>
      </c>
      <c r="C272" s="1" t="str">
        <f ca="1">IFERROR(__xludf.DUMMYFUNCTION("""COMPUTED_VALUE"""),"e1_ka02ac4521_jetting")</f>
        <v>e1_ka02ac4521_jetting</v>
      </c>
      <c r="D272" s="2">
        <f ca="1">IFERROR(__xludf.DUMMYFUNCTION("""COMPUTED_VALUE"""),44707)</f>
        <v>44707</v>
      </c>
      <c r="E272" s="3">
        <f ca="1">IFERROR(__xludf.DUMMYFUNCTION("""COMPUTED_VALUE"""),0.999247685183945)</f>
        <v>0.99924768518394502</v>
      </c>
      <c r="F272" s="1">
        <f ca="1">IFERROR(__xludf.DUMMYFUNCTION("""COMPUTED_VALUE"""),32483)</f>
        <v>32483</v>
      </c>
      <c r="G272" s="1" t="str">
        <f ca="1">IFERROR(__xludf.DUMMYFUNCTION("""COMPUTED_VALUE"""),"13.0208/77.6499")</f>
        <v>13.0208/77.6499</v>
      </c>
      <c r="H272" s="1" t="str">
        <f ca="1">IFERROR(__xludf.DUMMYFUNCTION("""COMPUTED_VALUE"""),"BÄbusÄhibpÄlya")</f>
        <v>BÄbusÄhibpÄlya</v>
      </c>
      <c r="I272" s="1"/>
      <c r="J272" s="1" t="str">
        <f ca="1">IFERROR(__xludf.DUMMYFUNCTION("""COMPUTED_VALUE"""),"0d 00h 00m")</f>
        <v>0d 00h 00m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>
      <c r="A273" s="1">
        <f ca="1">IFERROR(__xludf.DUMMYFUNCTION("""COMPUTED_VALUE"""),83)</f>
        <v>83</v>
      </c>
      <c r="B273" s="1" t="str">
        <f ca="1">IFERROR(__xludf.DUMMYFUNCTION("""COMPUTED_VALUE"""),"E1_KA02AC4521_Jetting")</f>
        <v>E1_KA02AC4521_Jetting</v>
      </c>
      <c r="C273" s="1" t="str">
        <f ca="1">IFERROR(__xludf.DUMMYFUNCTION("""COMPUTED_VALUE"""),"e1_ka02ac4521_jetting")</f>
        <v>e1_ka02ac4521_jetting</v>
      </c>
      <c r="D273" s="2">
        <f ca="1">IFERROR(__xludf.DUMMYFUNCTION("""COMPUTED_VALUE"""),44726)</f>
        <v>44726</v>
      </c>
      <c r="E273" s="3">
        <f ca="1">IFERROR(__xludf.DUMMYFUNCTION("""COMPUTED_VALUE"""),0.770983796297514)</f>
        <v>0.77098379629751401</v>
      </c>
      <c r="F273" s="1">
        <f ca="1">IFERROR(__xludf.DUMMYFUNCTION("""COMPUTED_VALUE"""),32738)</f>
        <v>32738</v>
      </c>
      <c r="G273" s="1" t="str">
        <f ca="1">IFERROR(__xludf.DUMMYFUNCTION("""COMPUTED_VALUE"""),"13.0209/77.6496")</f>
        <v>13.0209/77.6496</v>
      </c>
      <c r="H273" s="1" t="str">
        <f ca="1">IFERROR(__xludf.DUMMYFUNCTION("""COMPUTED_VALUE"""),"Babushibpalya")</f>
        <v>Babushibpalya</v>
      </c>
      <c r="I273" s="1"/>
      <c r="J273" s="1" t="str">
        <f ca="1">IFERROR(__xludf.DUMMYFUNCTION("""COMPUTED_VALUE"""),"0d 00h 00m")</f>
        <v>0d 00h 00m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>
      <c r="A274" s="1">
        <f ca="1">IFERROR(__xludf.DUMMYFUNCTION("""COMPUTED_VALUE"""),62)</f>
        <v>62</v>
      </c>
      <c r="B274" s="1" t="str">
        <f ca="1">IFERROR(__xludf.DUMMYFUNCTION("""COMPUTED_VALUE"""),"E1_KA02AC4521_Jetting")</f>
        <v>E1_KA02AC4521_Jetting</v>
      </c>
      <c r="C274" s="1" t="str">
        <f ca="1">IFERROR(__xludf.DUMMYFUNCTION("""COMPUTED_VALUE"""),"e1_ka02ac4521_jetting")</f>
        <v>e1_ka02ac4521_jetting</v>
      </c>
      <c r="D274" s="2">
        <f ca="1">IFERROR(__xludf.DUMMYFUNCTION("""COMPUTED_VALUE"""),44726)</f>
        <v>44726</v>
      </c>
      <c r="E274" s="3">
        <f ca="1">IFERROR(__xludf.DUMMYFUNCTION("""COMPUTED_VALUE"""),0.770983796297514)</f>
        <v>0.77098379629751401</v>
      </c>
      <c r="F274" s="1">
        <f ca="1">IFERROR(__xludf.DUMMYFUNCTION("""COMPUTED_VALUE"""),32738)</f>
        <v>32738</v>
      </c>
      <c r="G274" s="1" t="str">
        <f ca="1">IFERROR(__xludf.DUMMYFUNCTION("""COMPUTED_VALUE"""),"13.0209/77.6496")</f>
        <v>13.0209/77.6496</v>
      </c>
      <c r="H274" s="1" t="str">
        <f ca="1">IFERROR(__xludf.DUMMYFUNCTION("""COMPUTED_VALUE"""),"Babushibpalya")</f>
        <v>Babushibpalya</v>
      </c>
      <c r="I274" s="1"/>
      <c r="J274" s="1" t="str">
        <f ca="1">IFERROR(__xludf.DUMMYFUNCTION("""COMPUTED_VALUE"""),"0d 00h 00m")</f>
        <v>0d 00h 00m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>
      <c r="A275" s="1">
        <f ca="1">IFERROR(__xludf.DUMMYFUNCTION("""COMPUTED_VALUE"""),59)</f>
        <v>59</v>
      </c>
      <c r="B275" s="1" t="str">
        <f ca="1">IFERROR(__xludf.DUMMYFUNCTION("""COMPUTED_VALUE"""),"E1_KA02AC4521_Jetting")</f>
        <v>E1_KA02AC4521_Jetting</v>
      </c>
      <c r="C275" s="1" t="str">
        <f ca="1">IFERROR(__xludf.DUMMYFUNCTION("""COMPUTED_VALUE"""),"e1_ka02ac4521_jetting")</f>
        <v>e1_ka02ac4521_jetting</v>
      </c>
      <c r="D275" s="2">
        <f ca="1">IFERROR(__xludf.DUMMYFUNCTION("""COMPUTED_VALUE"""),44726)</f>
        <v>44726</v>
      </c>
      <c r="E275" s="3">
        <f ca="1">IFERROR(__xludf.DUMMYFUNCTION("""COMPUTED_VALUE"""),0.770983796297514)</f>
        <v>0.77098379629751401</v>
      </c>
      <c r="F275" s="1">
        <f ca="1">IFERROR(__xludf.DUMMYFUNCTION("""COMPUTED_VALUE"""),32738)</f>
        <v>32738</v>
      </c>
      <c r="G275" s="1" t="str">
        <f ca="1">IFERROR(__xludf.DUMMYFUNCTION("""COMPUTED_VALUE"""),"13.0209/77.6496")</f>
        <v>13.0209/77.6496</v>
      </c>
      <c r="H275" s="1" t="str">
        <f ca="1">IFERROR(__xludf.DUMMYFUNCTION("""COMPUTED_VALUE"""),"Babushibpalya")</f>
        <v>Babushibpalya</v>
      </c>
      <c r="I275" s="1"/>
      <c r="J275" s="1" t="str">
        <f ca="1">IFERROR(__xludf.DUMMYFUNCTION("""COMPUTED_VALUE"""),"0d 00h 00m")</f>
        <v>0d 00h 00m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>
      <c r="A276" s="1">
        <f ca="1">IFERROR(__xludf.DUMMYFUNCTION("""COMPUTED_VALUE"""),216)</f>
        <v>216</v>
      </c>
      <c r="B276" s="1" t="str">
        <f ca="1">IFERROR(__xludf.DUMMYFUNCTION("""COMPUTED_VALUE"""),"E1_KA02AC4521_Jetting")</f>
        <v>E1_KA02AC4521_Jetting</v>
      </c>
      <c r="C276" s="1" t="str">
        <f ca="1">IFERROR(__xludf.DUMMYFUNCTION("""COMPUTED_VALUE"""),"e1_ka02ac4521_jetting")</f>
        <v>e1_ka02ac4521_jetting</v>
      </c>
      <c r="D276" s="2">
        <f ca="1">IFERROR(__xludf.DUMMYFUNCTION("""COMPUTED_VALUE"""),44830)</f>
        <v>44830</v>
      </c>
      <c r="E276" s="3">
        <f ca="1">IFERROR(__xludf.DUMMYFUNCTION("""COMPUTED_VALUE"""),0.999224537037662)</f>
        <v>0.99922453703766201</v>
      </c>
      <c r="F276" s="1">
        <f ca="1">IFERROR(__xludf.DUMMYFUNCTION("""COMPUTED_VALUE"""),33239)</f>
        <v>33239</v>
      </c>
      <c r="G276" s="1" t="str">
        <f ca="1">IFERROR(__xludf.DUMMYFUNCTION("""COMPUTED_VALUE"""),"13.0207/77.6500")</f>
        <v>13.0207/77.6500</v>
      </c>
      <c r="H276" s="1" t="str">
        <f ca="1">IFERROR(__xludf.DUMMYFUNCTION("""COMPUTED_VALUE"""),"Babushibpalya")</f>
        <v>Babushibpalya</v>
      </c>
      <c r="I276" s="1"/>
      <c r="J276" s="1" t="str">
        <f ca="1">IFERROR(__xludf.DUMMYFUNCTION("""COMPUTED_VALUE"""),"0d 00h 00m")</f>
        <v>0d 00h 00m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>
      <c r="A277" s="1">
        <f ca="1">IFERROR(__xludf.DUMMYFUNCTION("""COMPUTED_VALUE"""),177)</f>
        <v>177</v>
      </c>
      <c r="B277" s="1" t="str">
        <f ca="1">IFERROR(__xludf.DUMMYFUNCTION("""COMPUTED_VALUE"""),"E1_KA02AC4521_Jetting")</f>
        <v>E1_KA02AC4521_Jetting</v>
      </c>
      <c r="C277" s="1" t="str">
        <f ca="1">IFERROR(__xludf.DUMMYFUNCTION("""COMPUTED_VALUE"""),"e1_ka02ac4521_jetting")</f>
        <v>e1_ka02ac4521_jetting</v>
      </c>
      <c r="D277" s="2">
        <f ca="1">IFERROR(__xludf.DUMMYFUNCTION("""COMPUTED_VALUE"""),44860)</f>
        <v>44860</v>
      </c>
      <c r="E277" s="3">
        <f ca="1">IFERROR(__xludf.DUMMYFUNCTION("""COMPUTED_VALUE"""),0.999062499999126)</f>
        <v>0.999062499999126</v>
      </c>
      <c r="F277" s="1">
        <f ca="1">IFERROR(__xludf.DUMMYFUNCTION("""COMPUTED_VALUE"""),33666)</f>
        <v>33666</v>
      </c>
      <c r="G277" s="1" t="str">
        <f ca="1">IFERROR(__xludf.DUMMYFUNCTION("""COMPUTED_VALUE"""),"13.0207/77.6499")</f>
        <v>13.0207/77.6499</v>
      </c>
      <c r="H277" s="1" t="str">
        <f ca="1">IFERROR(__xludf.DUMMYFUNCTION("""COMPUTED_VALUE"""),"Babushibpalya")</f>
        <v>Babushibpalya</v>
      </c>
      <c r="I277" s="1"/>
      <c r="J277" s="1" t="str">
        <f ca="1">IFERROR(__xludf.DUMMYFUNCTION("""COMPUTED_VALUE"""),"0d 00h 00m")</f>
        <v>0d 00h 00m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>
      <c r="A278" s="1">
        <f ca="1">IFERROR(__xludf.DUMMYFUNCTION("""COMPUTED_VALUE"""),161)</f>
        <v>161</v>
      </c>
      <c r="B278" s="1" t="str">
        <f ca="1">IFERROR(__xludf.DUMMYFUNCTION("""COMPUTED_VALUE"""),"E1_KA03C5060_Tanker")</f>
        <v>E1_KA03C5060_Tanker</v>
      </c>
      <c r="C278" s="1" t="str">
        <f ca="1">IFERROR(__xludf.DUMMYFUNCTION("""COMPUTED_VALUE"""),"e1_ka03c5060_tanker")</f>
        <v>e1_ka03c5060_tanker</v>
      </c>
      <c r="D278" s="2">
        <f ca="1">IFERROR(__xludf.DUMMYFUNCTION("""COMPUTED_VALUE"""),44707)</f>
        <v>44707</v>
      </c>
      <c r="E278" s="3">
        <f ca="1">IFERROR(__xludf.DUMMYFUNCTION("""COMPUTED_VALUE"""),0.99900462962978)</f>
        <v>0.99900462962977998</v>
      </c>
      <c r="F278" s="1">
        <f ca="1">IFERROR(__xludf.DUMMYFUNCTION("""COMPUTED_VALUE"""),45087)</f>
        <v>45087</v>
      </c>
      <c r="G278" s="1" t="str">
        <f ca="1">IFERROR(__xludf.DUMMYFUNCTION("""COMPUTED_VALUE"""),"13.0206/77.6497")</f>
        <v>13.0206/77.6497</v>
      </c>
      <c r="H278" s="1" t="str">
        <f ca="1">IFERROR(__xludf.DUMMYFUNCTION("""COMPUTED_VALUE"""),"BÄbusÄhibpÄlya")</f>
        <v>BÄbusÄhibpÄlya</v>
      </c>
      <c r="I278" s="1"/>
      <c r="J278" s="1" t="str">
        <f ca="1">IFERROR(__xludf.DUMMYFUNCTION("""COMPUTED_VALUE"""),"0d 00h 00m")</f>
        <v>0d 00h 00m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>
      <c r="A279" s="1">
        <f ca="1">IFERROR(__xludf.DUMMYFUNCTION("""COMPUTED_VALUE"""),208)</f>
        <v>208</v>
      </c>
      <c r="B279" s="1" t="str">
        <f ca="1">IFERROR(__xludf.DUMMYFUNCTION("""COMPUTED_VALUE"""),"E1_KA03C5060_Tanker")</f>
        <v>E1_KA03C5060_Tanker</v>
      </c>
      <c r="C279" s="1" t="str">
        <f ca="1">IFERROR(__xludf.DUMMYFUNCTION("""COMPUTED_VALUE"""),"e1_ka03c5060_tanker")</f>
        <v>e1_ka03c5060_tanker</v>
      </c>
      <c r="D279" s="2">
        <f ca="1">IFERROR(__xludf.DUMMYFUNCTION("""COMPUTED_VALUE"""),44738)</f>
        <v>44738</v>
      </c>
      <c r="E279" s="3">
        <f ca="1">IFERROR(__xludf.DUMMYFUNCTION("""COMPUTED_VALUE"""),0.999189814814599)</f>
        <v>0.99918981481459901</v>
      </c>
      <c r="F279" s="1">
        <f ca="1">IFERROR(__xludf.DUMMYFUNCTION("""COMPUTED_VALUE"""),45523)</f>
        <v>45523</v>
      </c>
      <c r="G279" s="1" t="str">
        <f ca="1">IFERROR(__xludf.DUMMYFUNCTION("""COMPUTED_VALUE"""),"13.0207/77.6498")</f>
        <v>13.0207/77.6498</v>
      </c>
      <c r="H279" s="1" t="str">
        <f ca="1">IFERROR(__xludf.DUMMYFUNCTION("""COMPUTED_VALUE"""),"Babushibpalya")</f>
        <v>Babushibpalya</v>
      </c>
      <c r="I279" s="1"/>
      <c r="J279" s="1" t="str">
        <f ca="1">IFERROR(__xludf.DUMMYFUNCTION("""COMPUTED_VALUE"""),"0d 00h 00m")</f>
        <v>0d 00h 00m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>
      <c r="A280" s="1">
        <f ca="1">IFERROR(__xludf.DUMMYFUNCTION("""COMPUTED_VALUE"""),198)</f>
        <v>198</v>
      </c>
      <c r="B280" s="1" t="str">
        <f ca="1">IFERROR(__xludf.DUMMYFUNCTION("""COMPUTED_VALUE"""),"E1_KA03C5060_Tanker")</f>
        <v>E1_KA03C5060_Tanker</v>
      </c>
      <c r="C280" s="1" t="str">
        <f ca="1">IFERROR(__xludf.DUMMYFUNCTION("""COMPUTED_VALUE"""),"e1_ka03c5060_tanker")</f>
        <v>e1_ka03c5060_tanker</v>
      </c>
      <c r="D280" s="2">
        <f ca="1">IFERROR(__xludf.DUMMYFUNCTION("""COMPUTED_VALUE"""),44768)</f>
        <v>44768</v>
      </c>
      <c r="E280" s="3">
        <f ca="1">IFERROR(__xludf.DUMMYFUNCTION("""COMPUTED_VALUE"""),0.999131944445252)</f>
        <v>0.999131944445252</v>
      </c>
      <c r="F280" s="1">
        <f ca="1">IFERROR(__xludf.DUMMYFUNCTION("""COMPUTED_VALUE"""),45580)</f>
        <v>45580</v>
      </c>
      <c r="G280" s="1" t="str">
        <f ca="1">IFERROR(__xludf.DUMMYFUNCTION("""COMPUTED_VALUE"""),"13.0208/77.6498")</f>
        <v>13.0208/77.6498</v>
      </c>
      <c r="H280" s="1" t="str">
        <f ca="1">IFERROR(__xludf.DUMMYFUNCTION("""COMPUTED_VALUE"""),"Babushibpalya")</f>
        <v>Babushibpalya</v>
      </c>
      <c r="I280" s="1"/>
      <c r="J280" s="1" t="str">
        <f ca="1">IFERROR(__xludf.DUMMYFUNCTION("""COMPUTED_VALUE"""),"0d 00h 00m")</f>
        <v>0d 00h 00m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>
      <c r="A281" s="1">
        <f ca="1">IFERROR(__xludf.DUMMYFUNCTION("""COMPUTED_VALUE"""),228)</f>
        <v>228</v>
      </c>
      <c r="B281" s="1" t="str">
        <f ca="1">IFERROR(__xludf.DUMMYFUNCTION("""COMPUTED_VALUE"""),"E1_KA03C5060_Tanker")</f>
        <v>E1_KA03C5060_Tanker</v>
      </c>
      <c r="C281" s="1" t="str">
        <f ca="1">IFERROR(__xludf.DUMMYFUNCTION("""COMPUTED_VALUE"""),"e1_ka03c5060_tanker")</f>
        <v>e1_ka03c5060_tanker</v>
      </c>
      <c r="D281" s="2">
        <f ca="1">IFERROR(__xludf.DUMMYFUNCTION("""COMPUTED_VALUE"""),44799)</f>
        <v>44799</v>
      </c>
      <c r="E281" s="3">
        <f ca="1">IFERROR(__xludf.DUMMYFUNCTION("""COMPUTED_VALUE"""),0.999259259260725)</f>
        <v>0.99925925926072501</v>
      </c>
      <c r="F281" s="1">
        <f ca="1">IFERROR(__xludf.DUMMYFUNCTION("""COMPUTED_VALUE"""),45805)</f>
        <v>45805</v>
      </c>
      <c r="G281" s="1" t="str">
        <f ca="1">IFERROR(__xludf.DUMMYFUNCTION("""COMPUTED_VALUE"""),"13.0207/77.6498")</f>
        <v>13.0207/77.6498</v>
      </c>
      <c r="H281" s="1" t="str">
        <f ca="1">IFERROR(__xludf.DUMMYFUNCTION("""COMPUTED_VALUE"""),"Babushibpalya")</f>
        <v>Babushibpalya</v>
      </c>
      <c r="I281" s="1"/>
      <c r="J281" s="1" t="str">
        <f ca="1">IFERROR(__xludf.DUMMYFUNCTION("""COMPUTED_VALUE"""),"0d 00h 00m")</f>
        <v>0d 00h 00m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>
      <c r="A282" s="1">
        <f ca="1">IFERROR(__xludf.DUMMYFUNCTION("""COMPUTED_VALUE"""),176)</f>
        <v>176</v>
      </c>
      <c r="B282" s="1" t="str">
        <f ca="1">IFERROR(__xludf.DUMMYFUNCTION("""COMPUTED_VALUE"""),"E1_KA03C5060_Tanker")</f>
        <v>E1_KA03C5060_Tanker</v>
      </c>
      <c r="C282" s="1" t="str">
        <f ca="1">IFERROR(__xludf.DUMMYFUNCTION("""COMPUTED_VALUE"""),"e1_ka03c5060_tanker")</f>
        <v>e1_ka03c5060_tanker</v>
      </c>
      <c r="D282" s="2">
        <f ca="1">IFERROR(__xludf.DUMMYFUNCTION("""COMPUTED_VALUE"""),44830)</f>
        <v>44830</v>
      </c>
      <c r="E282" s="3">
        <f ca="1">IFERROR(__xludf.DUMMYFUNCTION("""COMPUTED_VALUE"""),0.999050925925985)</f>
        <v>0.99905092592598499</v>
      </c>
      <c r="F282" s="1">
        <f ca="1">IFERROR(__xludf.DUMMYFUNCTION("""COMPUTED_VALUE"""),46305)</f>
        <v>46305</v>
      </c>
      <c r="G282" s="1" t="str">
        <f ca="1">IFERROR(__xludf.DUMMYFUNCTION("""COMPUTED_VALUE"""),"13.0207/77.6497")</f>
        <v>13.0207/77.6497</v>
      </c>
      <c r="H282" s="1" t="str">
        <f ca="1">IFERROR(__xludf.DUMMYFUNCTION("""COMPUTED_VALUE"""),"Babushibpalya")</f>
        <v>Babushibpalya</v>
      </c>
      <c r="I282" s="1"/>
      <c r="J282" s="1" t="str">
        <f ca="1">IFERROR(__xludf.DUMMYFUNCTION("""COMPUTED_VALUE"""),"0d 00h 00m")</f>
        <v>0d 00h 00m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>
      <c r="A283" s="1">
        <f ca="1">IFERROR(__xludf.DUMMYFUNCTION("""COMPUTED_VALUE"""),138)</f>
        <v>138</v>
      </c>
      <c r="B283" s="1" t="str">
        <f ca="1">IFERROR(__xludf.DUMMYFUNCTION("""COMPUTED_VALUE"""),"E1_KA03C5060_Tanker")</f>
        <v>E1_KA03C5060_Tanker</v>
      </c>
      <c r="C283" s="1" t="str">
        <f ca="1">IFERROR(__xludf.DUMMYFUNCTION("""COMPUTED_VALUE"""),"e1_ka03c5060_tanker")</f>
        <v>e1_ka03c5060_tanker</v>
      </c>
      <c r="D283" s="2">
        <f ca="1">IFERROR(__xludf.DUMMYFUNCTION("""COMPUTED_VALUE"""),44860)</f>
        <v>44860</v>
      </c>
      <c r="E283" s="3">
        <f ca="1">IFERROR(__xludf.DUMMYFUNCTION("""COMPUTED_VALUE"""),0.672418981481314)</f>
        <v>0.67241898148131396</v>
      </c>
      <c r="F283" s="1">
        <f ca="1">IFERROR(__xludf.DUMMYFUNCTION("""COMPUTED_VALUE"""),46418)</f>
        <v>46418</v>
      </c>
      <c r="G283" s="1" t="str">
        <f ca="1">IFERROR(__xludf.DUMMYFUNCTION("""COMPUTED_VALUE"""),"13.0207/77.6499")</f>
        <v>13.0207/77.6499</v>
      </c>
      <c r="H283" s="1" t="str">
        <f ca="1">IFERROR(__xludf.DUMMYFUNCTION("""COMPUTED_VALUE"""),"Babushibpalya")</f>
        <v>Babushibpalya</v>
      </c>
      <c r="I283" s="1"/>
      <c r="J283" s="1" t="str">
        <f ca="1">IFERROR(__xludf.DUMMYFUNCTION("""COMPUTED_VALUE"""),"0d 00h 00m")</f>
        <v>0d 00h 00m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>
      <c r="A284" s="1">
        <f ca="1">IFERROR(__xludf.DUMMYFUNCTION("""COMPUTED_VALUE"""),112)</f>
        <v>112</v>
      </c>
      <c r="B284" s="1" t="str">
        <f ca="1">IFERROR(__xludf.DUMMYFUNCTION("""COMPUTED_VALUE"""),"E1_KA04A3281_Jetting")</f>
        <v>E1_KA04A3281_Jetting</v>
      </c>
      <c r="C284" s="1" t="str">
        <f ca="1">IFERROR(__xludf.DUMMYFUNCTION("""COMPUTED_VALUE"""),"e1_ka04a3281_jetting")</f>
        <v>e1_ka04a3281_jetting</v>
      </c>
      <c r="D284" s="2">
        <f ca="1">IFERROR(__xludf.DUMMYFUNCTION("""COMPUTED_VALUE"""),44706)</f>
        <v>44706</v>
      </c>
      <c r="E284" s="3">
        <f ca="1">IFERROR(__xludf.DUMMYFUNCTION("""COMPUTED_VALUE"""),0.543831018519995)</f>
        <v>0.54383101851999505</v>
      </c>
      <c r="F284" s="1">
        <f ca="1">IFERROR(__xludf.DUMMYFUNCTION("""COMPUTED_VALUE"""),21919)</f>
        <v>21919</v>
      </c>
      <c r="G284" s="1" t="str">
        <f ca="1">IFERROR(__xludf.DUMMYFUNCTION("""COMPUTED_VALUE"""),"13.0253/77.6280")</f>
        <v>13.0253/77.6280</v>
      </c>
      <c r="H284" s="1" t="str">
        <f ca="1">IFERROR(__xludf.DUMMYFUNCTION("""COMPUTED_VALUE"""),"Kammanahalli")</f>
        <v>Kammanahalli</v>
      </c>
      <c r="I284" s="1"/>
      <c r="J284" s="1" t="str">
        <f ca="1">IFERROR(__xludf.DUMMYFUNCTION("""COMPUTED_VALUE"""),"0d 00h 00m")</f>
        <v>0d 00h 00m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>
      <c r="A285" s="1">
        <f ca="1">IFERROR(__xludf.DUMMYFUNCTION("""COMPUTED_VALUE"""),102)</f>
        <v>102</v>
      </c>
      <c r="B285" s="1" t="str">
        <f ca="1">IFERROR(__xludf.DUMMYFUNCTION("""COMPUTED_VALUE"""),"E1_KA04A3281_Jetting")</f>
        <v>E1_KA04A3281_Jetting</v>
      </c>
      <c r="C285" s="1" t="str">
        <f ca="1">IFERROR(__xludf.DUMMYFUNCTION("""COMPUTED_VALUE"""),"e1_ka04a3281_jetting")</f>
        <v>e1_ka04a3281_jetting</v>
      </c>
      <c r="D285" s="2">
        <f ca="1">IFERROR(__xludf.DUMMYFUNCTION("""COMPUTED_VALUE"""),44734)</f>
        <v>44734</v>
      </c>
      <c r="E285" s="3">
        <f ca="1">IFERROR(__xludf.DUMMYFUNCTION("""COMPUTED_VALUE"""),0.386400462961319)</f>
        <v>0.38640046296131902</v>
      </c>
      <c r="F285" s="1">
        <f ca="1">IFERROR(__xludf.DUMMYFUNCTION("""COMPUTED_VALUE"""),21964)</f>
        <v>21964</v>
      </c>
      <c r="G285" s="1" t="str">
        <f ca="1">IFERROR(__xludf.DUMMYFUNCTION("""COMPUTED_VALUE"""),"13.0347/77.6327")</f>
        <v>13.0347/77.6327</v>
      </c>
      <c r="H285" s="1" t="str">
        <f ca="1">IFERROR(__xludf.DUMMYFUNCTION("""COMPUTED_VALUE"""),"Hennur Kere")</f>
        <v>Hennur Kere</v>
      </c>
      <c r="I285" s="1"/>
      <c r="J285" s="1" t="str">
        <f ca="1">IFERROR(__xludf.DUMMYFUNCTION("""COMPUTED_VALUE"""),"0d 00h 00m")</f>
        <v>0d 00h 00m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>
      <c r="A286" s="1">
        <f ca="1">IFERROR(__xludf.DUMMYFUNCTION("""COMPUTED_VALUE"""),115)</f>
        <v>115</v>
      </c>
      <c r="B286" s="1" t="str">
        <f ca="1">IFERROR(__xludf.DUMMYFUNCTION("""COMPUTED_VALUE"""),"E1_KA04A3281_Jetting")</f>
        <v>E1_KA04A3281_Jetting</v>
      </c>
      <c r="C286" s="1" t="str">
        <f ca="1">IFERROR(__xludf.DUMMYFUNCTION("""COMPUTED_VALUE"""),"e1_ka04a3281_jetting")</f>
        <v>e1_ka04a3281_jetting</v>
      </c>
      <c r="D286" s="2">
        <f ca="1">IFERROR(__xludf.DUMMYFUNCTION("""COMPUTED_VALUE"""),44764)</f>
        <v>44764</v>
      </c>
      <c r="E286" s="3">
        <f ca="1">IFERROR(__xludf.DUMMYFUNCTION("""COMPUTED_VALUE"""),0.56862268518671)</f>
        <v>0.56862268518671</v>
      </c>
      <c r="F286" s="1">
        <f ca="1">IFERROR(__xludf.DUMMYFUNCTION("""COMPUTED_VALUE"""),21990)</f>
        <v>21990</v>
      </c>
      <c r="G286" s="1" t="str">
        <f ca="1">IFERROR(__xludf.DUMMYFUNCTION("""COMPUTED_VALUE"""),"13.0388/77.6283")</f>
        <v>13.0388/77.6283</v>
      </c>
      <c r="H286" s="1" t="str">
        <f ca="1">IFERROR(__xludf.DUMMYFUNCTION("""COMPUTED_VALUE"""),"HBR Layout 5th Block")</f>
        <v>HBR Layout 5th Block</v>
      </c>
      <c r="I286" s="1"/>
      <c r="J286" s="1" t="str">
        <f ca="1">IFERROR(__xludf.DUMMYFUNCTION("""COMPUTED_VALUE"""),"0d 00h 00m")</f>
        <v>0d 00h 00m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>
      <c r="A287" s="1">
        <f ca="1">IFERROR(__xludf.DUMMYFUNCTION("""COMPUTED_VALUE"""),81)</f>
        <v>81</v>
      </c>
      <c r="B287" s="1" t="str">
        <f ca="1">IFERROR(__xludf.DUMMYFUNCTION("""COMPUTED_VALUE"""),"E1_KA04A3281_Jetting")</f>
        <v>E1_KA04A3281_Jetting</v>
      </c>
      <c r="C287" s="1" t="str">
        <f ca="1">IFERROR(__xludf.DUMMYFUNCTION("""COMPUTED_VALUE"""),"e1_ka04a3281_jetting")</f>
        <v>e1_ka04a3281_jetting</v>
      </c>
      <c r="D287" s="2">
        <f ca="1">IFERROR(__xludf.DUMMYFUNCTION("""COMPUTED_VALUE"""),44764)</f>
        <v>44764</v>
      </c>
      <c r="E287" s="3">
        <f ca="1">IFERROR(__xludf.DUMMYFUNCTION("""COMPUTED_VALUE"""),0.56862268518671)</f>
        <v>0.56862268518671</v>
      </c>
      <c r="F287" s="1">
        <f ca="1">IFERROR(__xludf.DUMMYFUNCTION("""COMPUTED_VALUE"""),21990)</f>
        <v>21990</v>
      </c>
      <c r="G287" s="1" t="str">
        <f ca="1">IFERROR(__xludf.DUMMYFUNCTION("""COMPUTED_VALUE"""),"13.0388/77.6283")</f>
        <v>13.0388/77.6283</v>
      </c>
      <c r="H287" s="1" t="str">
        <f ca="1">IFERROR(__xludf.DUMMYFUNCTION("""COMPUTED_VALUE"""),"HBR Layout 5th Block")</f>
        <v>HBR Layout 5th Block</v>
      </c>
      <c r="I287" s="1"/>
      <c r="J287" s="1" t="str">
        <f ca="1">IFERROR(__xludf.DUMMYFUNCTION("""COMPUTED_VALUE"""),"0d 00h 00m")</f>
        <v>0d 00h 00m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>
      <c r="A288" s="1">
        <f ca="1">IFERROR(__xludf.DUMMYFUNCTION("""COMPUTED_VALUE"""),56)</f>
        <v>56</v>
      </c>
      <c r="B288" s="1" t="str">
        <f ca="1">IFERROR(__xludf.DUMMYFUNCTION("""COMPUTED_VALUE"""),"E1_KA04A3281_Jetting")</f>
        <v>E1_KA04A3281_Jetting</v>
      </c>
      <c r="C288" s="1" t="str">
        <f ca="1">IFERROR(__xludf.DUMMYFUNCTION("""COMPUTED_VALUE"""),"e1_ka04a3281_jetting")</f>
        <v>e1_ka04a3281_jetting</v>
      </c>
      <c r="D288" s="2">
        <f ca="1">IFERROR(__xludf.DUMMYFUNCTION("""COMPUTED_VALUE"""),44764)</f>
        <v>44764</v>
      </c>
      <c r="E288" s="3">
        <f ca="1">IFERROR(__xludf.DUMMYFUNCTION("""COMPUTED_VALUE"""),0.56862268518671)</f>
        <v>0.56862268518671</v>
      </c>
      <c r="F288" s="1">
        <f ca="1">IFERROR(__xludf.DUMMYFUNCTION("""COMPUTED_VALUE"""),21990)</f>
        <v>21990</v>
      </c>
      <c r="G288" s="1" t="str">
        <f ca="1">IFERROR(__xludf.DUMMYFUNCTION("""COMPUTED_VALUE"""),"13.0388/77.6283")</f>
        <v>13.0388/77.6283</v>
      </c>
      <c r="H288" s="1" t="str">
        <f ca="1">IFERROR(__xludf.DUMMYFUNCTION("""COMPUTED_VALUE"""),"HBR Layout 5th Block")</f>
        <v>HBR Layout 5th Block</v>
      </c>
      <c r="I288" s="1"/>
      <c r="J288" s="1" t="str">
        <f ca="1">IFERROR(__xludf.DUMMYFUNCTION("""COMPUTED_VALUE"""),"0d 00h 00m")</f>
        <v>0d 00h 00m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>
      <c r="A289" s="1">
        <f ca="1">IFERROR(__xludf.DUMMYFUNCTION("""COMPUTED_VALUE"""),188)</f>
        <v>188</v>
      </c>
      <c r="B289" s="1" t="str">
        <f ca="1">IFERROR(__xludf.DUMMYFUNCTION("""COMPUTED_VALUE"""),"E1_KA04A3281_Jetting")</f>
        <v>E1_KA04A3281_Jetting</v>
      </c>
      <c r="C289" s="1" t="str">
        <f ca="1">IFERROR(__xludf.DUMMYFUNCTION("""COMPUTED_VALUE"""),"e1_ka04a3281_jetting")</f>
        <v>e1_ka04a3281_jetting</v>
      </c>
      <c r="D289" s="2">
        <f ca="1">IFERROR(__xludf.DUMMYFUNCTION("""COMPUTED_VALUE"""),44860)</f>
        <v>44860</v>
      </c>
      <c r="E289" s="3">
        <f ca="1">IFERROR(__xludf.DUMMYFUNCTION("""COMPUTED_VALUE"""),0.999120370372111)</f>
        <v>0.99912037037211099</v>
      </c>
      <c r="F289" s="1">
        <f ca="1">IFERROR(__xludf.DUMMYFUNCTION("""COMPUTED_VALUE"""),22355)</f>
        <v>22355</v>
      </c>
      <c r="G289" s="1" t="str">
        <f ca="1">IFERROR(__xludf.DUMMYFUNCTION("""COMPUTED_VALUE"""),"13.0207/77.6496")</f>
        <v>13.0207/77.6496</v>
      </c>
      <c r="H289" s="1" t="str">
        <f ca="1">IFERROR(__xludf.DUMMYFUNCTION("""COMPUTED_VALUE"""),"Babushibpalya")</f>
        <v>Babushibpalya</v>
      </c>
      <c r="I289" s="1"/>
      <c r="J289" s="1" t="str">
        <f ca="1">IFERROR(__xludf.DUMMYFUNCTION("""COMPUTED_VALUE"""),"0d 00h 00m")</f>
        <v>0d 00h 00m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>
      <c r="A290" s="1">
        <f ca="1">IFERROR(__xludf.DUMMYFUNCTION("""COMPUTED_VALUE"""),206)</f>
        <v>206</v>
      </c>
      <c r="B290" s="1" t="str">
        <f ca="1">IFERROR(__xludf.DUMMYFUNCTION("""COMPUTED_VALUE"""),"E1_KA04AA9026_Desilting")</f>
        <v>E1_KA04AA9026_Desilting</v>
      </c>
      <c r="C290" s="1" t="str">
        <f ca="1">IFERROR(__xludf.DUMMYFUNCTION("""COMPUTED_VALUE"""),"e1_ka04aa9026_desilting")</f>
        <v>e1_ka04aa9026_desilting</v>
      </c>
      <c r="D290" s="2">
        <f ca="1">IFERROR(__xludf.DUMMYFUNCTION("""COMPUTED_VALUE"""),44707)</f>
        <v>44707</v>
      </c>
      <c r="E290" s="3">
        <f ca="1">IFERROR(__xludf.DUMMYFUNCTION("""COMPUTED_VALUE"""),0.99921296296452)</f>
        <v>0.99921296296452</v>
      </c>
      <c r="F290" s="1">
        <f ca="1">IFERROR(__xludf.DUMMYFUNCTION("""COMPUTED_VALUE"""),12620)</f>
        <v>12620</v>
      </c>
      <c r="G290" s="1" t="str">
        <f ca="1">IFERROR(__xludf.DUMMYFUNCTION("""COMPUTED_VALUE"""),"13.0205/77.6498")</f>
        <v>13.0205/77.6498</v>
      </c>
      <c r="H290" s="1" t="str">
        <f ca="1">IFERROR(__xludf.DUMMYFUNCTION("""COMPUTED_VALUE"""),"BÄbusÄhibpÄlya")</f>
        <v>BÄbusÄhibpÄlya</v>
      </c>
      <c r="I290" s="1"/>
      <c r="J290" s="1" t="str">
        <f ca="1">IFERROR(__xludf.DUMMYFUNCTION("""COMPUTED_VALUE"""),"0d 00h 00m")</f>
        <v>0d 00h 00m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>
      <c r="A291" s="1">
        <f ca="1">IFERROR(__xludf.DUMMYFUNCTION("""COMPUTED_VALUE"""),237)</f>
        <v>237</v>
      </c>
      <c r="B291" s="1" t="str">
        <f ca="1">IFERROR(__xludf.DUMMYFUNCTION("""COMPUTED_VALUE"""),"E1_KA04AA9026_Desilting")</f>
        <v>E1_KA04AA9026_Desilting</v>
      </c>
      <c r="C291" s="1" t="str">
        <f ca="1">IFERROR(__xludf.DUMMYFUNCTION("""COMPUTED_VALUE"""),"e1_ka04aa9026_desilting")</f>
        <v>e1_ka04aa9026_desilting</v>
      </c>
      <c r="D291" s="2">
        <f ca="1">IFERROR(__xludf.DUMMYFUNCTION("""COMPUTED_VALUE"""),44738)</f>
        <v>44738</v>
      </c>
      <c r="E291" s="3">
        <f ca="1">IFERROR(__xludf.DUMMYFUNCTION("""COMPUTED_VALUE"""),0.999317129630071)</f>
        <v>0.99931712963007102</v>
      </c>
      <c r="F291" s="1">
        <f ca="1">IFERROR(__xludf.DUMMYFUNCTION("""COMPUTED_VALUE"""),13454)</f>
        <v>13454</v>
      </c>
      <c r="G291" s="1" t="str">
        <f ca="1">IFERROR(__xludf.DUMMYFUNCTION("""COMPUTED_VALUE"""),"13.0207/77.6497")</f>
        <v>13.0207/77.6497</v>
      </c>
      <c r="H291" s="1" t="str">
        <f ca="1">IFERROR(__xludf.DUMMYFUNCTION("""COMPUTED_VALUE"""),"Babushibpalya")</f>
        <v>Babushibpalya</v>
      </c>
      <c r="I291" s="1"/>
      <c r="J291" s="1" t="str">
        <f ca="1">IFERROR(__xludf.DUMMYFUNCTION("""COMPUTED_VALUE"""),"0d 00h 00m")</f>
        <v>0d 00h 00m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>
      <c r="A292" s="1">
        <f ca="1">IFERROR(__xludf.DUMMYFUNCTION("""COMPUTED_VALUE"""),202)</f>
        <v>202</v>
      </c>
      <c r="B292" s="1" t="str">
        <f ca="1">IFERROR(__xludf.DUMMYFUNCTION("""COMPUTED_VALUE"""),"E1_KA04AA9026_Desilting")</f>
        <v>E1_KA04AA9026_Desilting</v>
      </c>
      <c r="C292" s="1" t="str">
        <f ca="1">IFERROR(__xludf.DUMMYFUNCTION("""COMPUTED_VALUE"""),"e1_ka04aa9026_desilting")</f>
        <v>e1_ka04aa9026_desilting</v>
      </c>
      <c r="D292" s="2">
        <f ca="1">IFERROR(__xludf.DUMMYFUNCTION("""COMPUTED_VALUE"""),44768)</f>
        <v>44768</v>
      </c>
      <c r="E292" s="3">
        <f ca="1">IFERROR(__xludf.DUMMYFUNCTION("""COMPUTED_VALUE"""),0.999131944445252)</f>
        <v>0.999131944445252</v>
      </c>
      <c r="F292" s="1">
        <f ca="1">IFERROR(__xludf.DUMMYFUNCTION("""COMPUTED_VALUE"""),14600)</f>
        <v>14600</v>
      </c>
      <c r="G292" s="1" t="str">
        <f ca="1">IFERROR(__xludf.DUMMYFUNCTION("""COMPUTED_VALUE"""),"13.0205/77.6496")</f>
        <v>13.0205/77.6496</v>
      </c>
      <c r="H292" s="1" t="str">
        <f ca="1">IFERROR(__xludf.DUMMYFUNCTION("""COMPUTED_VALUE"""),"Babushibpalya")</f>
        <v>Babushibpalya</v>
      </c>
      <c r="I292" s="1"/>
      <c r="J292" s="1" t="str">
        <f ca="1">IFERROR(__xludf.DUMMYFUNCTION("""COMPUTED_VALUE"""),"0d 00h 00m")</f>
        <v>0d 00h 00m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>
      <c r="A293" s="1">
        <f ca="1">IFERROR(__xludf.DUMMYFUNCTION("""COMPUTED_VALUE"""),237)</f>
        <v>237</v>
      </c>
      <c r="B293" s="1" t="str">
        <f ca="1">IFERROR(__xludf.DUMMYFUNCTION("""COMPUTED_VALUE"""),"E1_KA04AA9026_Desilting")</f>
        <v>E1_KA04AA9026_Desilting</v>
      </c>
      <c r="C293" s="1" t="str">
        <f ca="1">IFERROR(__xludf.DUMMYFUNCTION("""COMPUTED_VALUE"""),"e1_ka04aa9026_desilting")</f>
        <v>e1_ka04aa9026_desilting</v>
      </c>
      <c r="D293" s="2">
        <f ca="1">IFERROR(__xludf.DUMMYFUNCTION("""COMPUTED_VALUE"""),44799)</f>
        <v>44799</v>
      </c>
      <c r="E293" s="3">
        <f ca="1">IFERROR(__xludf.DUMMYFUNCTION("""COMPUTED_VALUE"""),0.999305555556929)</f>
        <v>0.99930555555692901</v>
      </c>
      <c r="F293" s="1">
        <f ca="1">IFERROR(__xludf.DUMMYFUNCTION("""COMPUTED_VALUE"""),15708)</f>
        <v>15708</v>
      </c>
      <c r="G293" s="1" t="str">
        <f ca="1">IFERROR(__xludf.DUMMYFUNCTION("""COMPUTED_VALUE"""),"13.0206/77.6495")</f>
        <v>13.0206/77.6495</v>
      </c>
      <c r="H293" s="1" t="str">
        <f ca="1">IFERROR(__xludf.DUMMYFUNCTION("""COMPUTED_VALUE"""),"Babushibpalya")</f>
        <v>Babushibpalya</v>
      </c>
      <c r="I293" s="1"/>
      <c r="J293" s="1" t="str">
        <f ca="1">IFERROR(__xludf.DUMMYFUNCTION("""COMPUTED_VALUE"""),"0d 00h 00m")</f>
        <v>0d 00h 00m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>
      <c r="A294" s="1">
        <f ca="1">IFERROR(__xludf.DUMMYFUNCTION("""COMPUTED_VALUE"""),208)</f>
        <v>208</v>
      </c>
      <c r="B294" s="1" t="str">
        <f ca="1">IFERROR(__xludf.DUMMYFUNCTION("""COMPUTED_VALUE"""),"E1_KA04AA9026_Desilting")</f>
        <v>E1_KA04AA9026_Desilting</v>
      </c>
      <c r="C294" s="1" t="str">
        <f ca="1">IFERROR(__xludf.DUMMYFUNCTION("""COMPUTED_VALUE"""),"e1_ka04aa9026_desilting")</f>
        <v>e1_ka04aa9026_desilting</v>
      </c>
      <c r="D294" s="2">
        <f ca="1">IFERROR(__xludf.DUMMYFUNCTION("""COMPUTED_VALUE"""),44830)</f>
        <v>44830</v>
      </c>
      <c r="E294" s="3">
        <f ca="1">IFERROR(__xludf.DUMMYFUNCTION("""COMPUTED_VALUE"""),0.999189814814599)</f>
        <v>0.99918981481459901</v>
      </c>
      <c r="F294" s="1">
        <f ca="1">IFERROR(__xludf.DUMMYFUNCTION("""COMPUTED_VALUE"""),16686)</f>
        <v>16686</v>
      </c>
      <c r="G294" s="1" t="str">
        <f ca="1">IFERROR(__xludf.DUMMYFUNCTION("""COMPUTED_VALUE"""),"13.0208/77.6498")</f>
        <v>13.0208/77.6498</v>
      </c>
      <c r="H294" s="1" t="str">
        <f ca="1">IFERROR(__xludf.DUMMYFUNCTION("""COMPUTED_VALUE"""),"Babushibpalya")</f>
        <v>Babushibpalya</v>
      </c>
      <c r="I294" s="1"/>
      <c r="J294" s="1" t="str">
        <f ca="1">IFERROR(__xludf.DUMMYFUNCTION("""COMPUTED_VALUE"""),"0d 00h 00m")</f>
        <v>0d 00h 00m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>
      <c r="A295" s="1">
        <f ca="1">IFERROR(__xludf.DUMMYFUNCTION("""COMPUTED_VALUE"""),180)</f>
        <v>180</v>
      </c>
      <c r="B295" s="1" t="str">
        <f ca="1">IFERROR(__xludf.DUMMYFUNCTION("""COMPUTED_VALUE"""),"E1_KA04AA9026_Desilting")</f>
        <v>E1_KA04AA9026_Desilting</v>
      </c>
      <c r="C295" s="1" t="str">
        <f ca="1">IFERROR(__xludf.DUMMYFUNCTION("""COMPUTED_VALUE"""),"e1_ka04aa9026_desilting")</f>
        <v>e1_ka04aa9026_desilting</v>
      </c>
      <c r="D295" s="2">
        <f ca="1">IFERROR(__xludf.DUMMYFUNCTION("""COMPUTED_VALUE"""),44860)</f>
        <v>44860</v>
      </c>
      <c r="E295" s="3">
        <f ca="1">IFERROR(__xludf.DUMMYFUNCTION("""COMPUTED_VALUE"""),0.999062499999126)</f>
        <v>0.999062499999126</v>
      </c>
      <c r="F295" s="1">
        <f ca="1">IFERROR(__xludf.DUMMYFUNCTION("""COMPUTED_VALUE"""),17542)</f>
        <v>17542</v>
      </c>
      <c r="G295" s="1" t="str">
        <f ca="1">IFERROR(__xludf.DUMMYFUNCTION("""COMPUTED_VALUE"""),"13.0206/77.6497")</f>
        <v>13.0206/77.6497</v>
      </c>
      <c r="H295" s="1" t="str">
        <f ca="1">IFERROR(__xludf.DUMMYFUNCTION("""COMPUTED_VALUE"""),"Babushibpalya")</f>
        <v>Babushibpalya</v>
      </c>
      <c r="I295" s="1"/>
      <c r="J295" s="1" t="str">
        <f ca="1">IFERROR(__xludf.DUMMYFUNCTION("""COMPUTED_VALUE"""),"0d 00h 00m")</f>
        <v>0d 00h 00m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>
      <c r="A296" s="1">
        <f ca="1">IFERROR(__xludf.DUMMYFUNCTION("""COMPUTED_VALUE"""),134)</f>
        <v>134</v>
      </c>
      <c r="B296" s="1" t="str">
        <f ca="1">IFERROR(__xludf.DUMMYFUNCTION("""COMPUTED_VALUE"""),"E1_KA04AB6024_Jetting")</f>
        <v>E1_KA04AB6024_Jetting</v>
      </c>
      <c r="C296" s="1" t="str">
        <f ca="1">IFERROR(__xludf.DUMMYFUNCTION("""COMPUTED_VALUE"""),"e1_ka04ab6024_jetting")</f>
        <v>e1_ka04ab6024_jetting</v>
      </c>
      <c r="D296" s="2">
        <f ca="1">IFERROR(__xludf.DUMMYFUNCTION("""COMPUTED_VALUE"""),44707)</f>
        <v>44707</v>
      </c>
      <c r="E296" s="3">
        <f ca="1">IFERROR(__xludf.DUMMYFUNCTION("""COMPUTED_VALUE"""),0.691273148149775)</f>
        <v>0.69127314814977503</v>
      </c>
      <c r="F296" s="1">
        <f ca="1">IFERROR(__xludf.DUMMYFUNCTION("""COMPUTED_VALUE"""),16420)</f>
        <v>16420</v>
      </c>
      <c r="G296" s="1"/>
      <c r="H296" s="1"/>
      <c r="I296" s="1"/>
      <c r="J296" s="1" t="str">
        <f ca="1">IFERROR(__xludf.DUMMYFUNCTION("""COMPUTED_VALUE"""),"7d 11h 44m")</f>
        <v>7d 11h 44m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>
      <c r="A297" s="1">
        <f ca="1">IFERROR(__xludf.DUMMYFUNCTION("""COMPUTED_VALUE"""),128)</f>
        <v>128</v>
      </c>
      <c r="B297" s="1" t="str">
        <f ca="1">IFERROR(__xludf.DUMMYFUNCTION("""COMPUTED_VALUE"""),"E1_KA04AB6024_Jetting")</f>
        <v>E1_KA04AB6024_Jetting</v>
      </c>
      <c r="C297" s="1" t="str">
        <f ca="1">IFERROR(__xludf.DUMMYFUNCTION("""COMPUTED_VALUE"""),"e1_ka04ab6024_jetting")</f>
        <v>e1_ka04ab6024_jetting</v>
      </c>
      <c r="D297" s="2">
        <f ca="1">IFERROR(__xludf.DUMMYFUNCTION("""COMPUTED_VALUE"""),44737)</f>
        <v>44737</v>
      </c>
      <c r="E297" s="3">
        <f ca="1">IFERROR(__xludf.DUMMYFUNCTION("""COMPUTED_VALUE"""),0.590115740742476)</f>
        <v>0.59011574074247597</v>
      </c>
      <c r="F297" s="1">
        <f ca="1">IFERROR(__xludf.DUMMYFUNCTION("""COMPUTED_VALUE"""),16420)</f>
        <v>16420</v>
      </c>
      <c r="G297" s="1"/>
      <c r="H297" s="1"/>
      <c r="I297" s="1"/>
      <c r="J297" s="1" t="str">
        <f ca="1">IFERROR(__xludf.DUMMYFUNCTION("""COMPUTED_VALUE"""),"7d 11h 45m")</f>
        <v>7d 11h 45m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>
      <c r="A298" s="1">
        <f ca="1">IFERROR(__xludf.DUMMYFUNCTION("""COMPUTED_VALUE"""),143)</f>
        <v>143</v>
      </c>
      <c r="B298" s="1" t="str">
        <f ca="1">IFERROR(__xludf.DUMMYFUNCTION("""COMPUTED_VALUE"""),"E1_KA04AB6024_Jetting")</f>
        <v>E1_KA04AB6024_Jetting</v>
      </c>
      <c r="C298" s="1" t="str">
        <f ca="1">IFERROR(__xludf.DUMMYFUNCTION("""COMPUTED_VALUE"""),"e1_ka04ab6024_jetting")</f>
        <v>e1_ka04ab6024_jetting</v>
      </c>
      <c r="D298" s="2">
        <f ca="1">IFERROR(__xludf.DUMMYFUNCTION("""COMPUTED_VALUE"""),44768)</f>
        <v>44768</v>
      </c>
      <c r="E298" s="3">
        <f ca="1">IFERROR(__xludf.DUMMYFUNCTION("""COMPUTED_VALUE"""),0.68218749999869)</f>
        <v>0.68218749999868999</v>
      </c>
      <c r="F298" s="1">
        <f ca="1">IFERROR(__xludf.DUMMYFUNCTION("""COMPUTED_VALUE"""),16420)</f>
        <v>16420</v>
      </c>
      <c r="G298" s="1"/>
      <c r="H298" s="1"/>
      <c r="I298" s="1"/>
      <c r="J298" s="1" t="str">
        <f ca="1">IFERROR(__xludf.DUMMYFUNCTION("""COMPUTED_VALUE"""),"7d 11h 46m")</f>
        <v>7d 11h 46m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>
      <c r="A299" s="1">
        <f ca="1">IFERROR(__xludf.DUMMYFUNCTION("""COMPUTED_VALUE"""),151)</f>
        <v>151</v>
      </c>
      <c r="B299" s="1" t="str">
        <f ca="1">IFERROR(__xludf.DUMMYFUNCTION("""COMPUTED_VALUE"""),"E1_KA04AB6024_Jetting")</f>
        <v>E1_KA04AB6024_Jetting</v>
      </c>
      <c r="C299" s="1" t="str">
        <f ca="1">IFERROR(__xludf.DUMMYFUNCTION("""COMPUTED_VALUE"""),"e1_ka04ab6024_jetting")</f>
        <v>e1_ka04ab6024_jetting</v>
      </c>
      <c r="D299" s="2">
        <f ca="1">IFERROR(__xludf.DUMMYFUNCTION("""COMPUTED_VALUE"""),44799)</f>
        <v>44799</v>
      </c>
      <c r="E299" s="3">
        <f ca="1">IFERROR(__xludf.DUMMYFUNCTION("""COMPUTED_VALUE"""),0.713900462964375)</f>
        <v>0.71390046296437504</v>
      </c>
      <c r="F299" s="1">
        <f ca="1">IFERROR(__xludf.DUMMYFUNCTION("""COMPUTED_VALUE"""),16420)</f>
        <v>16420</v>
      </c>
      <c r="G299" s="1"/>
      <c r="H299" s="1"/>
      <c r="I299" s="1"/>
      <c r="J299" s="1" t="str">
        <f ca="1">IFERROR(__xludf.DUMMYFUNCTION("""COMPUTED_VALUE"""),"7d 11h 47m")</f>
        <v>7d 11h 47m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>
      <c r="A300" s="1">
        <f ca="1">IFERROR(__xludf.DUMMYFUNCTION("""COMPUTED_VALUE"""),158)</f>
        <v>158</v>
      </c>
      <c r="B300" s="1" t="str">
        <f ca="1">IFERROR(__xludf.DUMMYFUNCTION("""COMPUTED_VALUE"""),"E1_KA04AB6024_Jetting")</f>
        <v>E1_KA04AB6024_Jetting</v>
      </c>
      <c r="C300" s="1" t="str">
        <f ca="1">IFERROR(__xludf.DUMMYFUNCTION("""COMPUTED_VALUE"""),"e1_ka04ab6024_jetting")</f>
        <v>e1_ka04ab6024_jetting</v>
      </c>
      <c r="D300" s="2">
        <f ca="1">IFERROR(__xludf.DUMMYFUNCTION("""COMPUTED_VALUE"""),44830)</f>
        <v>44830</v>
      </c>
      <c r="E300" s="3">
        <f ca="1">IFERROR(__xludf.DUMMYFUNCTION("""COMPUTED_VALUE"""),0.996435185184964)</f>
        <v>0.99643518518496399</v>
      </c>
      <c r="F300" s="1">
        <f ca="1">IFERROR(__xludf.DUMMYFUNCTION("""COMPUTED_VALUE"""),16420)</f>
        <v>16420</v>
      </c>
      <c r="G300" s="1"/>
      <c r="H300" s="1"/>
      <c r="I300" s="1"/>
      <c r="J300" s="1" t="str">
        <f ca="1">IFERROR(__xludf.DUMMYFUNCTION("""COMPUTED_VALUE"""),"7d 11h 48m")</f>
        <v>7d 11h 48m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>
      <c r="A301" s="1">
        <f ca="1">IFERROR(__xludf.DUMMYFUNCTION("""COMPUTED_VALUE"""),148)</f>
        <v>148</v>
      </c>
      <c r="B301" s="1" t="str">
        <f ca="1">IFERROR(__xludf.DUMMYFUNCTION("""COMPUTED_VALUE"""),"E1_KA04AB6024_Jetting")</f>
        <v>E1_KA04AB6024_Jetting</v>
      </c>
      <c r="C301" s="1" t="str">
        <f ca="1">IFERROR(__xludf.DUMMYFUNCTION("""COMPUTED_VALUE"""),"e1_ka04ab6024_jetting")</f>
        <v>e1_ka04ab6024_jetting</v>
      </c>
      <c r="D301" s="2">
        <f ca="1">IFERROR(__xludf.DUMMYFUNCTION("""COMPUTED_VALUE"""),44860)</f>
        <v>44860</v>
      </c>
      <c r="E301" s="3">
        <f ca="1">IFERROR(__xludf.DUMMYFUNCTION("""COMPUTED_VALUE"""),0.973807870370365)</f>
        <v>0.97380787037036498</v>
      </c>
      <c r="F301" s="1">
        <f ca="1">IFERROR(__xludf.DUMMYFUNCTION("""COMPUTED_VALUE"""),16420)</f>
        <v>16420</v>
      </c>
      <c r="G301" s="1"/>
      <c r="H301" s="1"/>
      <c r="I301" s="1"/>
      <c r="J301" s="1" t="str">
        <f ca="1">IFERROR(__xludf.DUMMYFUNCTION("""COMPUTED_VALUE"""),"7d 11h 48m")</f>
        <v>7d 11h 48m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>
      <c r="A302" s="1">
        <f ca="1">IFERROR(__xludf.DUMMYFUNCTION("""COMPUTED_VALUE"""),73)</f>
        <v>73</v>
      </c>
      <c r="B302" s="1" t="str">
        <f ca="1">IFERROR(__xludf.DUMMYFUNCTION("""COMPUTED_VALUE"""),"E1_KA04C5153_Jetting")</f>
        <v>E1_KA04C5153_Jetting</v>
      </c>
      <c r="C302" s="1" t="str">
        <f ca="1">IFERROR(__xludf.DUMMYFUNCTION("""COMPUTED_VALUE"""),"e1_ka04c5153_jetting")</f>
        <v>e1_ka04c5153_jetting</v>
      </c>
      <c r="D302" s="2">
        <f ca="1">IFERROR(__xludf.DUMMYFUNCTION("""COMPUTED_VALUE"""),44692)</f>
        <v>44692</v>
      </c>
      <c r="E302" s="3">
        <f ca="1">IFERROR(__xludf.DUMMYFUNCTION("""COMPUTED_VALUE"""),0.560289351851679)</f>
        <v>0.56028935185167905</v>
      </c>
      <c r="F302" s="1">
        <f ca="1">IFERROR(__xludf.DUMMYFUNCTION("""COMPUTED_VALUE"""),45396)</f>
        <v>45396</v>
      </c>
      <c r="G302" s="1" t="str">
        <f ca="1">IFERROR(__xludf.DUMMYFUNCTION("""COMPUTED_VALUE"""),"13.0095/77.6387")</f>
        <v>13.0095/77.6387</v>
      </c>
      <c r="H302" s="1" t="str">
        <f ca="1">IFERROR(__xludf.DUMMYFUNCTION("""COMPUTED_VALUE"""),"LingarajaPuram")</f>
        <v>LingarajaPuram</v>
      </c>
      <c r="I302" s="1"/>
      <c r="J302" s="1" t="str">
        <f ca="1">IFERROR(__xludf.DUMMYFUNCTION("""COMPUTED_VALUE"""),"0d 00h 00m")</f>
        <v>0d 00h 00m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>
      <c r="A303" s="1">
        <f ca="1">IFERROR(__xludf.DUMMYFUNCTION("""COMPUTED_VALUE"""),92)</f>
        <v>92</v>
      </c>
      <c r="B303" s="1" t="str">
        <f ca="1">IFERROR(__xludf.DUMMYFUNCTION("""COMPUTED_VALUE"""),"E1_KA04C5153_Jetting")</f>
        <v>E1_KA04C5153_Jetting</v>
      </c>
      <c r="C303" s="1" t="str">
        <f ca="1">IFERROR(__xludf.DUMMYFUNCTION("""COMPUTED_VALUE"""),"e1_ka04c5153_jetting")</f>
        <v>e1_ka04c5153_jetting</v>
      </c>
      <c r="D303" s="2">
        <f ca="1">IFERROR(__xludf.DUMMYFUNCTION("""COMPUTED_VALUE"""),44732)</f>
        <v>44732</v>
      </c>
      <c r="E303" s="3">
        <f ca="1">IFERROR(__xludf.DUMMYFUNCTION("""COMPUTED_VALUE"""),0.36479166666686)</f>
        <v>0.36479166666686003</v>
      </c>
      <c r="F303" s="1">
        <f ca="1">IFERROR(__xludf.DUMMYFUNCTION("""COMPUTED_VALUE"""),45409)</f>
        <v>45409</v>
      </c>
      <c r="G303" s="1" t="str">
        <f ca="1">IFERROR(__xludf.DUMMYFUNCTION("""COMPUTED_VALUE"""),"13.0121/77.6558")</f>
        <v>13.0121/77.6558</v>
      </c>
      <c r="H303" s="1" t="str">
        <f ca="1">IFERROR(__xludf.DUMMYFUNCTION("""COMPUTED_VALUE"""),"Chansandra")</f>
        <v>Chansandra</v>
      </c>
      <c r="I303" s="1"/>
      <c r="J303" s="1" t="str">
        <f ca="1">IFERROR(__xludf.DUMMYFUNCTION("""COMPUTED_VALUE"""),"0d 00h 00m")</f>
        <v>0d 00h 00m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>
      <c r="A304" s="1">
        <f ca="1">IFERROR(__xludf.DUMMYFUNCTION("""COMPUTED_VALUE"""),65)</f>
        <v>65</v>
      </c>
      <c r="B304" s="1" t="str">
        <f ca="1">IFERROR(__xludf.DUMMYFUNCTION("""COMPUTED_VALUE"""),"E1_KA04C5153_Jetting")</f>
        <v>E1_KA04C5153_Jetting</v>
      </c>
      <c r="C304" s="1" t="str">
        <f ca="1">IFERROR(__xludf.DUMMYFUNCTION("""COMPUTED_VALUE"""),"e1_ka04c5153_jetting")</f>
        <v>e1_ka04c5153_jetting</v>
      </c>
      <c r="D304" s="2">
        <f ca="1">IFERROR(__xludf.DUMMYFUNCTION("""COMPUTED_VALUE"""),44732)</f>
        <v>44732</v>
      </c>
      <c r="E304" s="3">
        <f ca="1">IFERROR(__xludf.DUMMYFUNCTION("""COMPUTED_VALUE"""),0.36479166666686)</f>
        <v>0.36479166666686003</v>
      </c>
      <c r="F304" s="1">
        <f ca="1">IFERROR(__xludf.DUMMYFUNCTION("""COMPUTED_VALUE"""),45409)</f>
        <v>45409</v>
      </c>
      <c r="G304" s="1" t="str">
        <f ca="1">IFERROR(__xludf.DUMMYFUNCTION("""COMPUTED_VALUE"""),"13.0121/77.6558")</f>
        <v>13.0121/77.6558</v>
      </c>
      <c r="H304" s="1" t="str">
        <f ca="1">IFERROR(__xludf.DUMMYFUNCTION("""COMPUTED_VALUE"""),"Chansandra")</f>
        <v>Chansandra</v>
      </c>
      <c r="I304" s="1"/>
      <c r="J304" s="1" t="str">
        <f ca="1">IFERROR(__xludf.DUMMYFUNCTION("""COMPUTED_VALUE"""),"0d 00h 00m")</f>
        <v>0d 00h 00m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>
      <c r="A305" s="1">
        <f ca="1">IFERROR(__xludf.DUMMYFUNCTION("""COMPUTED_VALUE"""),101)</f>
        <v>101</v>
      </c>
      <c r="B305" s="1" t="str">
        <f ca="1">IFERROR(__xludf.DUMMYFUNCTION("""COMPUTED_VALUE"""),"E1_KA04C5153_Jetting")</f>
        <v>E1_KA04C5153_Jetting</v>
      </c>
      <c r="C305" s="1" t="str">
        <f ca="1">IFERROR(__xludf.DUMMYFUNCTION("""COMPUTED_VALUE"""),"e1_ka04c5153_jetting")</f>
        <v>e1_ka04c5153_jetting</v>
      </c>
      <c r="D305" s="2">
        <f ca="1">IFERROR(__xludf.DUMMYFUNCTION("""COMPUTED_VALUE"""),44783)</f>
        <v>44783</v>
      </c>
      <c r="E305" s="3">
        <f ca="1">IFERROR(__xludf.DUMMYFUNCTION("""COMPUTED_VALUE"""),0.376134259258833)</f>
        <v>0.37613425925883298</v>
      </c>
      <c r="F305" s="1">
        <f ca="1">IFERROR(__xludf.DUMMYFUNCTION("""COMPUTED_VALUE"""),45429)</f>
        <v>45429</v>
      </c>
      <c r="G305" s="1" t="str">
        <f ca="1">IFERROR(__xludf.DUMMYFUNCTION("""COMPUTED_VALUE"""),"13.0036/77.6577")</f>
        <v>13.0036/77.6577</v>
      </c>
      <c r="H305" s="1" t="str">
        <f ca="1">IFERROR(__xludf.DUMMYFUNCTION("""COMPUTED_VALUE"""),"Benniganahalli")</f>
        <v>Benniganahalli</v>
      </c>
      <c r="I305" s="1"/>
      <c r="J305" s="1" t="str">
        <f ca="1">IFERROR(__xludf.DUMMYFUNCTION("""COMPUTED_VALUE"""),"0d 00h 00m")</f>
        <v>0d 00h 00m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>
      <c r="A306" s="1">
        <f ca="1">IFERROR(__xludf.DUMMYFUNCTION("""COMPUTED_VALUE"""),168)</f>
        <v>168</v>
      </c>
      <c r="B306" s="1" t="str">
        <f ca="1">IFERROR(__xludf.DUMMYFUNCTION("""COMPUTED_VALUE"""),"E1_KA04C5153_Jetting")</f>
        <v>E1_KA04C5153_Jetting</v>
      </c>
      <c r="C306" s="1" t="str">
        <f ca="1">IFERROR(__xludf.DUMMYFUNCTION("""COMPUTED_VALUE"""),"e1_ka04c5153_jetting")</f>
        <v>e1_ka04c5153_jetting</v>
      </c>
      <c r="D306" s="2">
        <f ca="1">IFERROR(__xludf.DUMMYFUNCTION("""COMPUTED_VALUE"""),44830)</f>
        <v>44830</v>
      </c>
      <c r="E306" s="3">
        <f ca="1">IFERROR(__xludf.DUMMYFUNCTION("""COMPUTED_VALUE"""),0.998993055556638)</f>
        <v>0.99899305555663798</v>
      </c>
      <c r="F306" s="1">
        <f ca="1">IFERROR(__xludf.DUMMYFUNCTION("""COMPUTED_VALUE"""),46150)</f>
        <v>46150</v>
      </c>
      <c r="G306" s="1" t="str">
        <f ca="1">IFERROR(__xludf.DUMMYFUNCTION("""COMPUTED_VALUE"""),"13.0902/77.6550")</f>
        <v>13.0902/77.6550</v>
      </c>
      <c r="H306" s="1" t="str">
        <f ca="1">IFERROR(__xludf.DUMMYFUNCTION("""COMPUTED_VALUE"""),"Kannur")</f>
        <v>Kannur</v>
      </c>
      <c r="I306" s="1"/>
      <c r="J306" s="1" t="str">
        <f ca="1">IFERROR(__xludf.DUMMYFUNCTION("""COMPUTED_VALUE"""),"0d 00h 00m")</f>
        <v>0d 00h 00m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>
      <c r="A307" s="1">
        <f ca="1">IFERROR(__xludf.DUMMYFUNCTION("""COMPUTED_VALUE"""),205)</f>
        <v>205</v>
      </c>
      <c r="B307" s="1" t="str">
        <f ca="1">IFERROR(__xludf.DUMMYFUNCTION("""COMPUTED_VALUE"""),"E1_KA04C5153_Jetting")</f>
        <v>E1_KA04C5153_Jetting</v>
      </c>
      <c r="C307" s="1" t="str">
        <f ca="1">IFERROR(__xludf.DUMMYFUNCTION("""COMPUTED_VALUE"""),"e1_ka04c5153_jetting")</f>
        <v>e1_ka04c5153_jetting</v>
      </c>
      <c r="D307" s="2">
        <f ca="1">IFERROR(__xludf.DUMMYFUNCTION("""COMPUTED_VALUE"""),44860)</f>
        <v>44860</v>
      </c>
      <c r="E307" s="3">
        <f ca="1">IFERROR(__xludf.DUMMYFUNCTION("""COMPUTED_VALUE"""),0.999178240741457)</f>
        <v>0.999178240741457</v>
      </c>
      <c r="F307" s="1">
        <f ca="1">IFERROR(__xludf.DUMMYFUNCTION("""COMPUTED_VALUE"""),46736)</f>
        <v>46736</v>
      </c>
      <c r="G307" s="1" t="str">
        <f ca="1">IFERROR(__xludf.DUMMYFUNCTION("""COMPUTED_VALUE"""),"13.0119/77.6558")</f>
        <v>13.0119/77.6558</v>
      </c>
      <c r="H307" s="1" t="str">
        <f ca="1">IFERROR(__xludf.DUMMYFUNCTION("""COMPUTED_VALUE"""),"Chansandra")</f>
        <v>Chansandra</v>
      </c>
      <c r="I307" s="1"/>
      <c r="J307" s="1" t="str">
        <f ca="1">IFERROR(__xludf.DUMMYFUNCTION("""COMPUTED_VALUE"""),"0d 00h 01m")</f>
        <v>0d 00h 01m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>
      <c r="A308" s="1">
        <f ca="1">IFERROR(__xludf.DUMMYFUNCTION("""COMPUTED_VALUE"""),191)</f>
        <v>191</v>
      </c>
      <c r="B308" s="1" t="str">
        <f ca="1">IFERROR(__xludf.DUMMYFUNCTION("""COMPUTED_VALUE"""),"E1_KA04D4862_Jetting")</f>
        <v>E1_KA04D4862_Jetting</v>
      </c>
      <c r="C308" s="1" t="str">
        <f ca="1">IFERROR(__xludf.DUMMYFUNCTION("""COMPUTED_VALUE"""),"e1_ka04d4862_jetting")</f>
        <v>e1_ka04d4862_jetting</v>
      </c>
      <c r="D308" s="2">
        <f ca="1">IFERROR(__xludf.DUMMYFUNCTION("""COMPUTED_VALUE"""),44707)</f>
        <v>44707</v>
      </c>
      <c r="E308" s="3">
        <f ca="1">IFERROR(__xludf.DUMMYFUNCTION("""COMPUTED_VALUE"""),0.999131944445252)</f>
        <v>0.999131944445252</v>
      </c>
      <c r="F308" s="1">
        <f ca="1">IFERROR(__xludf.DUMMYFUNCTION("""COMPUTED_VALUE"""),30121)</f>
        <v>30121</v>
      </c>
      <c r="G308" s="1" t="str">
        <f ca="1">IFERROR(__xludf.DUMMYFUNCTION("""COMPUTED_VALUE"""),"13.0208/77.6498")</f>
        <v>13.0208/77.6498</v>
      </c>
      <c r="H308" s="1" t="str">
        <f ca="1">IFERROR(__xludf.DUMMYFUNCTION("""COMPUTED_VALUE"""),"BÄbusÄhibpÄlya")</f>
        <v>BÄbusÄhibpÄlya</v>
      </c>
      <c r="I308" s="1"/>
      <c r="J308" s="1" t="str">
        <f ca="1">IFERROR(__xludf.DUMMYFUNCTION("""COMPUTED_VALUE"""),"0d 00h 00m")</f>
        <v>0d 00h 00m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>
      <c r="A309" s="1">
        <f ca="1">IFERROR(__xludf.DUMMYFUNCTION("""COMPUTED_VALUE"""),223)</f>
        <v>223</v>
      </c>
      <c r="B309" s="1" t="str">
        <f ca="1">IFERROR(__xludf.DUMMYFUNCTION("""COMPUTED_VALUE"""),"E1_KA04D4862_Jetting")</f>
        <v>E1_KA04D4862_Jetting</v>
      </c>
      <c r="C309" s="1" t="str">
        <f ca="1">IFERROR(__xludf.DUMMYFUNCTION("""COMPUTED_VALUE"""),"e1_ka04d4862_jetting")</f>
        <v>e1_ka04d4862_jetting</v>
      </c>
      <c r="D309" s="2">
        <f ca="1">IFERROR(__xludf.DUMMYFUNCTION("""COMPUTED_VALUE"""),44738)</f>
        <v>44738</v>
      </c>
      <c r="E309" s="3">
        <f ca="1">IFERROR(__xludf.DUMMYFUNCTION("""COMPUTED_VALUE"""),0.999259259260725)</f>
        <v>0.99925925926072501</v>
      </c>
      <c r="F309" s="1">
        <f ca="1">IFERROR(__xludf.DUMMYFUNCTION("""COMPUTED_VALUE"""),30589)</f>
        <v>30589</v>
      </c>
      <c r="G309" s="1" t="str">
        <f ca="1">IFERROR(__xludf.DUMMYFUNCTION("""COMPUTED_VALUE"""),"13.0203/77.6497")</f>
        <v>13.0203/77.6497</v>
      </c>
      <c r="H309" s="1" t="str">
        <f ca="1">IFERROR(__xludf.DUMMYFUNCTION("""COMPUTED_VALUE"""),"Babushibpalya")</f>
        <v>Babushibpalya</v>
      </c>
      <c r="I309" s="1"/>
      <c r="J309" s="1" t="str">
        <f ca="1">IFERROR(__xludf.DUMMYFUNCTION("""COMPUTED_VALUE"""),"0d 00h 00m")</f>
        <v>0d 00h 00m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>
      <c r="A310" s="1">
        <f ca="1">IFERROR(__xludf.DUMMYFUNCTION("""COMPUTED_VALUE"""),204)</f>
        <v>204</v>
      </c>
      <c r="B310" s="1" t="str">
        <f ca="1">IFERROR(__xludf.DUMMYFUNCTION("""COMPUTED_VALUE"""),"E1_KA04D4862_Jetting")</f>
        <v>E1_KA04D4862_Jetting</v>
      </c>
      <c r="C310" s="1" t="str">
        <f ca="1">IFERROR(__xludf.DUMMYFUNCTION("""COMPUTED_VALUE"""),"e1_ka04d4862_jetting")</f>
        <v>e1_ka04d4862_jetting</v>
      </c>
      <c r="D310" s="2">
        <f ca="1">IFERROR(__xludf.DUMMYFUNCTION("""COMPUTED_VALUE"""),44768)</f>
        <v>44768</v>
      </c>
      <c r="E310" s="3">
        <f ca="1">IFERROR(__xludf.DUMMYFUNCTION("""COMPUTED_VALUE"""),0.999143518518394)</f>
        <v>0.999143518518394</v>
      </c>
      <c r="F310" s="1">
        <f ca="1">IFERROR(__xludf.DUMMYFUNCTION("""COMPUTED_VALUE"""),31029)</f>
        <v>31029</v>
      </c>
      <c r="G310" s="1" t="str">
        <f ca="1">IFERROR(__xludf.DUMMYFUNCTION("""COMPUTED_VALUE"""),"13.0207/77.6499")</f>
        <v>13.0207/77.6499</v>
      </c>
      <c r="H310" s="1" t="str">
        <f ca="1">IFERROR(__xludf.DUMMYFUNCTION("""COMPUTED_VALUE"""),"Babushibpalya")</f>
        <v>Babushibpalya</v>
      </c>
      <c r="I310" s="1"/>
      <c r="J310" s="1" t="str">
        <f ca="1">IFERROR(__xludf.DUMMYFUNCTION("""COMPUTED_VALUE"""),"0d 00h 00m")</f>
        <v>0d 00h 00m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>
      <c r="A311" s="1">
        <f ca="1">IFERROR(__xludf.DUMMYFUNCTION("""COMPUTED_VALUE"""),234)</f>
        <v>234</v>
      </c>
      <c r="B311" s="1" t="str">
        <f ca="1">IFERROR(__xludf.DUMMYFUNCTION("""COMPUTED_VALUE"""),"E1_KA04D4862_Jetting")</f>
        <v>E1_KA04D4862_Jetting</v>
      </c>
      <c r="C311" s="1" t="str">
        <f ca="1">IFERROR(__xludf.DUMMYFUNCTION("""COMPUTED_VALUE"""),"e1_ka04d4862_jetting")</f>
        <v>e1_ka04d4862_jetting</v>
      </c>
      <c r="D311" s="2">
        <f ca="1">IFERROR(__xludf.DUMMYFUNCTION("""COMPUTED_VALUE"""),44799)</f>
        <v>44799</v>
      </c>
      <c r="E311" s="3">
        <f ca="1">IFERROR(__xludf.DUMMYFUNCTION("""COMPUTED_VALUE"""),0.999305555556929)</f>
        <v>0.99930555555692901</v>
      </c>
      <c r="F311" s="1">
        <f ca="1">IFERROR(__xludf.DUMMYFUNCTION("""COMPUTED_VALUE"""),31494)</f>
        <v>31494</v>
      </c>
      <c r="G311" s="1" t="str">
        <f ca="1">IFERROR(__xludf.DUMMYFUNCTION("""COMPUTED_VALUE"""),"13.0206/77.6498")</f>
        <v>13.0206/77.6498</v>
      </c>
      <c r="H311" s="1" t="str">
        <f ca="1">IFERROR(__xludf.DUMMYFUNCTION("""COMPUTED_VALUE"""),"Babushibpalya")</f>
        <v>Babushibpalya</v>
      </c>
      <c r="I311" s="1"/>
      <c r="J311" s="1" t="str">
        <f ca="1">IFERROR(__xludf.DUMMYFUNCTION("""COMPUTED_VALUE"""),"0d 00h 00m")</f>
        <v>0d 00h 00m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>
      <c r="A312" s="1">
        <f ca="1">IFERROR(__xludf.DUMMYFUNCTION("""COMPUTED_VALUE"""),217)</f>
        <v>217</v>
      </c>
      <c r="B312" s="1" t="str">
        <f ca="1">IFERROR(__xludf.DUMMYFUNCTION("""COMPUTED_VALUE"""),"E1_KA04D4862_Jetting")</f>
        <v>E1_KA04D4862_Jetting</v>
      </c>
      <c r="C312" s="1" t="str">
        <f ca="1">IFERROR(__xludf.DUMMYFUNCTION("""COMPUTED_VALUE"""),"e1_ka04d4862_jetting")</f>
        <v>e1_ka04d4862_jetting</v>
      </c>
      <c r="D312" s="2">
        <f ca="1">IFERROR(__xludf.DUMMYFUNCTION("""COMPUTED_VALUE"""),44830)</f>
        <v>44830</v>
      </c>
      <c r="E312" s="3">
        <f ca="1">IFERROR(__xludf.DUMMYFUNCTION("""COMPUTED_VALUE"""),0.999224537037662)</f>
        <v>0.99922453703766201</v>
      </c>
      <c r="F312" s="1">
        <f ca="1">IFERROR(__xludf.DUMMYFUNCTION("""COMPUTED_VALUE"""),31913)</f>
        <v>31913</v>
      </c>
      <c r="G312" s="1" t="str">
        <f ca="1">IFERROR(__xludf.DUMMYFUNCTION("""COMPUTED_VALUE"""),"13.0209/77.6495")</f>
        <v>13.0209/77.6495</v>
      </c>
      <c r="H312" s="1" t="str">
        <f ca="1">IFERROR(__xludf.DUMMYFUNCTION("""COMPUTED_VALUE"""),"Babushibpalya")</f>
        <v>Babushibpalya</v>
      </c>
      <c r="I312" s="1"/>
      <c r="J312" s="1" t="str">
        <f ca="1">IFERROR(__xludf.DUMMYFUNCTION("""COMPUTED_VALUE"""),"0d 00h 00m")</f>
        <v>0d 00h 00m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>
      <c r="A313" s="1">
        <f ca="1">IFERROR(__xludf.DUMMYFUNCTION("""COMPUTED_VALUE"""),174)</f>
        <v>174</v>
      </c>
      <c r="B313" s="1" t="str">
        <f ca="1">IFERROR(__xludf.DUMMYFUNCTION("""COMPUTED_VALUE"""),"E1_KA04D4862_Jetting")</f>
        <v>E1_KA04D4862_Jetting</v>
      </c>
      <c r="C313" s="1" t="str">
        <f ca="1">IFERROR(__xludf.DUMMYFUNCTION("""COMPUTED_VALUE"""),"e1_ka04d4862_jetting")</f>
        <v>e1_ka04d4862_jetting</v>
      </c>
      <c r="D313" s="2">
        <f ca="1">IFERROR(__xludf.DUMMYFUNCTION("""COMPUTED_VALUE"""),44860)</f>
        <v>44860</v>
      </c>
      <c r="E313" s="3">
        <f ca="1">IFERROR(__xludf.DUMMYFUNCTION("""COMPUTED_VALUE"""),0.999039351852843)</f>
        <v>0.99903935185284298</v>
      </c>
      <c r="F313" s="1">
        <f ca="1">IFERROR(__xludf.DUMMYFUNCTION("""COMPUTED_VALUE"""),32330)</f>
        <v>32330</v>
      </c>
      <c r="G313" s="1" t="str">
        <f ca="1">IFERROR(__xludf.DUMMYFUNCTION("""COMPUTED_VALUE"""),"13.0207/77.6503")</f>
        <v>13.0207/77.6503</v>
      </c>
      <c r="H313" s="1" t="str">
        <f ca="1">IFERROR(__xludf.DUMMYFUNCTION("""COMPUTED_VALUE"""),"Babushibpalya")</f>
        <v>Babushibpalya</v>
      </c>
      <c r="I313" s="1"/>
      <c r="J313" s="1" t="str">
        <f ca="1">IFERROR(__xludf.DUMMYFUNCTION("""COMPUTED_VALUE"""),"0d 00h 00m")</f>
        <v>0d 00h 00m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>
      <c r="A314" s="1">
        <f ca="1">IFERROR(__xludf.DUMMYFUNCTION("""COMPUTED_VALUE"""),232)</f>
        <v>232</v>
      </c>
      <c r="B314" s="1" t="str">
        <f ca="1">IFERROR(__xludf.DUMMYFUNCTION("""COMPUTED_VALUE"""),"E1_KA04D5122_Tanker")</f>
        <v>E1_KA04D5122_Tanker</v>
      </c>
      <c r="C314" s="1" t="str">
        <f ca="1">IFERROR(__xludf.DUMMYFUNCTION("""COMPUTED_VALUE"""),"e1_ka04d5122_tanker")</f>
        <v>e1_ka04d5122_tanker</v>
      </c>
      <c r="D314" s="2">
        <f ca="1">IFERROR(__xludf.DUMMYFUNCTION("""COMPUTED_VALUE"""),44707)</f>
        <v>44707</v>
      </c>
      <c r="E314" s="3">
        <f ca="1">IFERROR(__xludf.DUMMYFUNCTION("""COMPUTED_VALUE"""),0.999317129630071)</f>
        <v>0.99931712963007102</v>
      </c>
      <c r="F314" s="1">
        <f ca="1">IFERROR(__xludf.DUMMYFUNCTION("""COMPUTED_VALUE"""),26508)</f>
        <v>26508</v>
      </c>
      <c r="G314" s="1" t="str">
        <f ca="1">IFERROR(__xludf.DUMMYFUNCTION("""COMPUTED_VALUE"""),"13.0208/77.6495")</f>
        <v>13.0208/77.6495</v>
      </c>
      <c r="H314" s="1" t="str">
        <f ca="1">IFERROR(__xludf.DUMMYFUNCTION("""COMPUTED_VALUE"""),"BÄbusÄhibpÄlya")</f>
        <v>BÄbusÄhibpÄlya</v>
      </c>
      <c r="I314" s="1"/>
      <c r="J314" s="1" t="str">
        <f ca="1">IFERROR(__xludf.DUMMYFUNCTION("""COMPUTED_VALUE"""),"0d 00h 00m")</f>
        <v>0d 00h 00m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>
      <c r="A315" s="1">
        <f ca="1">IFERROR(__xludf.DUMMYFUNCTION("""COMPUTED_VALUE"""),147)</f>
        <v>147</v>
      </c>
      <c r="B315" s="1" t="str">
        <f ca="1">IFERROR(__xludf.DUMMYFUNCTION("""COMPUTED_VALUE"""),"E1_KA04D5122_Tanker")</f>
        <v>E1_KA04D5122_Tanker</v>
      </c>
      <c r="C315" s="1" t="str">
        <f ca="1">IFERROR(__xludf.DUMMYFUNCTION("""COMPUTED_VALUE"""),"e1_ka04d5122_tanker")</f>
        <v>e1_ka04d5122_tanker</v>
      </c>
      <c r="D315" s="2">
        <f ca="1">IFERROR(__xludf.DUMMYFUNCTION("""COMPUTED_VALUE"""),44738)</f>
        <v>44738</v>
      </c>
      <c r="E315" s="3">
        <f ca="1">IFERROR(__xludf.DUMMYFUNCTION("""COMPUTED_VALUE"""),0.792141203703067)</f>
        <v>0.79214120370306695</v>
      </c>
      <c r="F315" s="1">
        <f ca="1">IFERROR(__xludf.DUMMYFUNCTION("""COMPUTED_VALUE"""),26546)</f>
        <v>26546</v>
      </c>
      <c r="G315" s="1" t="str">
        <f ca="1">IFERROR(__xludf.DUMMYFUNCTION("""COMPUTED_VALUE"""),"13.0207/77.6495")</f>
        <v>13.0207/77.6495</v>
      </c>
      <c r="H315" s="1" t="str">
        <f ca="1">IFERROR(__xludf.DUMMYFUNCTION("""COMPUTED_VALUE"""),"Babushibpalya")</f>
        <v>Babushibpalya</v>
      </c>
      <c r="I315" s="1"/>
      <c r="J315" s="1" t="str">
        <f ca="1">IFERROR(__xludf.DUMMYFUNCTION("""COMPUTED_VALUE"""),"0d 00h 00m")</f>
        <v>0d 00h 00m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>
      <c r="A316" s="1">
        <f ca="1">IFERROR(__xludf.DUMMYFUNCTION("""COMPUTED_VALUE"""),205)</f>
        <v>205</v>
      </c>
      <c r="B316" s="1" t="str">
        <f ca="1">IFERROR(__xludf.DUMMYFUNCTION("""COMPUTED_VALUE"""),"E1_KA04D5122_Tanker")</f>
        <v>E1_KA04D5122_Tanker</v>
      </c>
      <c r="C316" s="1" t="str">
        <f ca="1">IFERROR(__xludf.DUMMYFUNCTION("""COMPUTED_VALUE"""),"e1_ka04d5122_tanker")</f>
        <v>e1_ka04d5122_tanker</v>
      </c>
      <c r="D316" s="2">
        <f ca="1">IFERROR(__xludf.DUMMYFUNCTION("""COMPUTED_VALUE"""),44768)</f>
        <v>44768</v>
      </c>
      <c r="E316" s="3">
        <f ca="1">IFERROR(__xludf.DUMMYFUNCTION("""COMPUTED_VALUE"""),0.999143518518394)</f>
        <v>0.999143518518394</v>
      </c>
      <c r="F316" s="1">
        <f ca="1">IFERROR(__xludf.DUMMYFUNCTION("""COMPUTED_VALUE"""),26589)</f>
        <v>26589</v>
      </c>
      <c r="G316" s="1" t="str">
        <f ca="1">IFERROR(__xludf.DUMMYFUNCTION("""COMPUTED_VALUE"""),"13.0208/77.6494")</f>
        <v>13.0208/77.6494</v>
      </c>
      <c r="H316" s="1" t="str">
        <f ca="1">IFERROR(__xludf.DUMMYFUNCTION("""COMPUTED_VALUE"""),"Babushibpalya")</f>
        <v>Babushibpalya</v>
      </c>
      <c r="I316" s="1"/>
      <c r="J316" s="1" t="str">
        <f ca="1">IFERROR(__xludf.DUMMYFUNCTION("""COMPUTED_VALUE"""),"0d 00h 00m")</f>
        <v>0d 00h 00m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>
      <c r="A317" s="1">
        <f ca="1">IFERROR(__xludf.DUMMYFUNCTION("""COMPUTED_VALUE"""),112)</f>
        <v>112</v>
      </c>
      <c r="B317" s="1" t="str">
        <f ca="1">IFERROR(__xludf.DUMMYFUNCTION("""COMPUTED_VALUE"""),"E1_KA04D5122_Tanker")</f>
        <v>E1_KA04D5122_Tanker</v>
      </c>
      <c r="C317" s="1" t="str">
        <f ca="1">IFERROR(__xludf.DUMMYFUNCTION("""COMPUTED_VALUE"""),"e1_ka04d5122_tanker")</f>
        <v>e1_ka04d5122_tanker</v>
      </c>
      <c r="D317" s="2">
        <f ca="1">IFERROR(__xludf.DUMMYFUNCTION("""COMPUTED_VALUE"""),44786)</f>
        <v>44786</v>
      </c>
      <c r="E317" s="3">
        <f ca="1">IFERROR(__xludf.DUMMYFUNCTION("""COMPUTED_VALUE"""),0.360104166666133)</f>
        <v>0.36010416666613299</v>
      </c>
      <c r="F317" s="1">
        <f ca="1">IFERROR(__xludf.DUMMYFUNCTION("""COMPUTED_VALUE"""),26640)</f>
        <v>26640</v>
      </c>
      <c r="G317" s="1" t="str">
        <f ca="1">IFERROR(__xludf.DUMMYFUNCTION("""COMPUTED_VALUE"""),"13.0208/77.6493")</f>
        <v>13.0208/77.6493</v>
      </c>
      <c r="H317" s="1" t="str">
        <f ca="1">IFERROR(__xludf.DUMMYFUNCTION("""COMPUTED_VALUE"""),"Babushibpalya")</f>
        <v>Babushibpalya</v>
      </c>
      <c r="I317" s="1"/>
      <c r="J317" s="1" t="str">
        <f ca="1">IFERROR(__xludf.DUMMYFUNCTION("""COMPUTED_VALUE"""),"0d 00h 00m")</f>
        <v>0d 00h 00m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>
      <c r="A318" s="1">
        <f ca="1">IFERROR(__xludf.DUMMYFUNCTION("""COMPUTED_VALUE"""),73)</f>
        <v>73</v>
      </c>
      <c r="B318" s="1" t="str">
        <f ca="1">IFERROR(__xludf.DUMMYFUNCTION("""COMPUTED_VALUE"""),"E1_KA04D5122_Tanker")</f>
        <v>E1_KA04D5122_Tanker</v>
      </c>
      <c r="C318" s="1" t="str">
        <f ca="1">IFERROR(__xludf.DUMMYFUNCTION("""COMPUTED_VALUE"""),"e1_ka04d5122_tanker")</f>
        <v>e1_ka04d5122_tanker</v>
      </c>
      <c r="D318" s="2">
        <f ca="1">IFERROR(__xludf.DUMMYFUNCTION("""COMPUTED_VALUE"""),44786)</f>
        <v>44786</v>
      </c>
      <c r="E318" s="3">
        <f ca="1">IFERROR(__xludf.DUMMYFUNCTION("""COMPUTED_VALUE"""),0.360104166666133)</f>
        <v>0.36010416666613299</v>
      </c>
      <c r="F318" s="1">
        <f ca="1">IFERROR(__xludf.DUMMYFUNCTION("""COMPUTED_VALUE"""),26640)</f>
        <v>26640</v>
      </c>
      <c r="G318" s="1" t="str">
        <f ca="1">IFERROR(__xludf.DUMMYFUNCTION("""COMPUTED_VALUE"""),"13.0208/77.6493")</f>
        <v>13.0208/77.6493</v>
      </c>
      <c r="H318" s="1" t="str">
        <f ca="1">IFERROR(__xludf.DUMMYFUNCTION("""COMPUTED_VALUE"""),"Babushibpalya")</f>
        <v>Babushibpalya</v>
      </c>
      <c r="I318" s="1"/>
      <c r="J318" s="1" t="str">
        <f ca="1">IFERROR(__xludf.DUMMYFUNCTION("""COMPUTED_VALUE"""),"0d 00h 00m")</f>
        <v>0d 00h 00m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>
      <c r="A319" s="1">
        <f ca="1">IFERROR(__xludf.DUMMYFUNCTION("""COMPUTED_VALUE"""),164)</f>
        <v>164</v>
      </c>
      <c r="B319" s="1" t="str">
        <f ca="1">IFERROR(__xludf.DUMMYFUNCTION("""COMPUTED_VALUE"""),"E1_KA04D5122_Tanker")</f>
        <v>E1_KA04D5122_Tanker</v>
      </c>
      <c r="C319" s="1" t="str">
        <f ca="1">IFERROR(__xludf.DUMMYFUNCTION("""COMPUTED_VALUE"""),"e1_ka04d5122_tanker")</f>
        <v>e1_ka04d5122_tanker</v>
      </c>
      <c r="D319" s="2">
        <f ca="1">IFERROR(__xludf.DUMMYFUNCTION("""COMPUTED_VALUE"""),44860)</f>
        <v>44860</v>
      </c>
      <c r="E319" s="3">
        <f ca="1">IFERROR(__xludf.DUMMYFUNCTION("""COMPUTED_VALUE"""),0.99900462962978)</f>
        <v>0.99900462962977998</v>
      </c>
      <c r="F319" s="1">
        <f ca="1">IFERROR(__xludf.DUMMYFUNCTION("""COMPUTED_VALUE"""),26694)</f>
        <v>26694</v>
      </c>
      <c r="G319" s="1" t="str">
        <f ca="1">IFERROR(__xludf.DUMMYFUNCTION("""COMPUTED_VALUE"""),"13.0211/77.6496")</f>
        <v>13.0211/77.6496</v>
      </c>
      <c r="H319" s="1" t="str">
        <f ca="1">IFERROR(__xludf.DUMMYFUNCTION("""COMPUTED_VALUE"""),"Babushibpalya")</f>
        <v>Babushibpalya</v>
      </c>
      <c r="I319" s="1"/>
      <c r="J319" s="1" t="str">
        <f ca="1">IFERROR(__xludf.DUMMYFUNCTION("""COMPUTED_VALUE"""),"0d 00h 00m")</f>
        <v>0d 00h 00m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>
      <c r="A320" s="1">
        <f ca="1">IFERROR(__xludf.DUMMYFUNCTION("""COMPUTED_VALUE"""),148)</f>
        <v>148</v>
      </c>
      <c r="B320" s="1" t="str">
        <f ca="1">IFERROR(__xludf.DUMMYFUNCTION("""COMPUTED_VALUE"""),"E1_KA04D5122_TANKER")</f>
        <v>E1_KA04D5122_TANKER</v>
      </c>
      <c r="C320" s="1" t="str">
        <f ca="1">IFERROR(__xludf.DUMMYFUNCTION("""COMPUTED_VALUE"""),"e1_ka04d5122_tanker")</f>
        <v>e1_ka04d5122_tanker</v>
      </c>
      <c r="D320" s="2">
        <f ca="1">IFERROR(__xludf.DUMMYFUNCTION("""COMPUTED_VALUE"""),44769)</f>
        <v>44769</v>
      </c>
      <c r="E320" s="3">
        <f ca="1">IFERROR(__xludf.DUMMYFUNCTION("""COMPUTED_VALUE"""),0.998993055556638)</f>
        <v>0.99899305555663798</v>
      </c>
      <c r="F320" s="1">
        <f ca="1">IFERROR(__xludf.DUMMYFUNCTION("""COMPUTED_VALUE"""),26589)</f>
        <v>26589</v>
      </c>
      <c r="G320" s="1" t="str">
        <f ca="1">IFERROR(__xludf.DUMMYFUNCTION("""COMPUTED_VALUE"""),"13.0208/77.6495")</f>
        <v>13.0208/77.6495</v>
      </c>
      <c r="H320" s="1" t="str">
        <f ca="1">IFERROR(__xludf.DUMMYFUNCTION("""COMPUTED_VALUE"""),"Babushibpalya")</f>
        <v>Babushibpalya</v>
      </c>
      <c r="I320" s="1"/>
      <c r="J320" s="1" t="str">
        <f ca="1">IFERROR(__xludf.DUMMYFUNCTION("""COMPUTED_VALUE"""),"0d 00h 00m")</f>
        <v>0d 00h 00m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>
      <c r="A321" s="1">
        <f ca="1">IFERROR(__xludf.DUMMYFUNCTION("""COMPUTED_VALUE"""),149)</f>
        <v>149</v>
      </c>
      <c r="B321" s="1" t="str">
        <f ca="1">IFERROR(__xludf.DUMMYFUNCTION("""COMPUTED_VALUE"""),"E1_KA04D5122_TANKER")</f>
        <v>E1_KA04D5122_TANKER</v>
      </c>
      <c r="C321" s="1" t="str">
        <f ca="1">IFERROR(__xludf.DUMMYFUNCTION("""COMPUTED_VALUE"""),"e1_ka04d5122_tanker")</f>
        <v>e1_ka04d5122_tanker</v>
      </c>
      <c r="D321" s="2">
        <f ca="1">IFERROR(__xludf.DUMMYFUNCTION("""COMPUTED_VALUE"""),44860)</f>
        <v>44860</v>
      </c>
      <c r="E321" s="3">
        <f ca="1">IFERROR(__xludf.DUMMYFUNCTION("""COMPUTED_VALUE"""),0.99900462962978)</f>
        <v>0.99900462962977998</v>
      </c>
      <c r="F321" s="1">
        <f ca="1">IFERROR(__xludf.DUMMYFUNCTION("""COMPUTED_VALUE"""),26694)</f>
        <v>26694</v>
      </c>
      <c r="G321" s="1" t="str">
        <f ca="1">IFERROR(__xludf.DUMMYFUNCTION("""COMPUTED_VALUE"""),"13.0211/77.6496")</f>
        <v>13.0211/77.6496</v>
      </c>
      <c r="H321" s="1" t="str">
        <f ca="1">IFERROR(__xludf.DUMMYFUNCTION("""COMPUTED_VALUE"""),"Babushibpalya")</f>
        <v>Babushibpalya</v>
      </c>
      <c r="I321" s="1"/>
      <c r="J321" s="1" t="str">
        <f ca="1">IFERROR(__xludf.DUMMYFUNCTION("""COMPUTED_VALUE"""),"0d 00h 00m")</f>
        <v>0d 00h 00m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>
      <c r="A322" s="1">
        <f ca="1">IFERROR(__xludf.DUMMYFUNCTION("""COMPUTED_VALUE"""),157)</f>
        <v>157</v>
      </c>
      <c r="B322" s="1" t="str">
        <f ca="1">IFERROR(__xludf.DUMMYFUNCTION("""COMPUTED_VALUE"""),"E1_KA04D5122_TANKER")</f>
        <v>E1_KA04D5122_TANKER</v>
      </c>
      <c r="C322" s="1" t="str">
        <f ca="1">IFERROR(__xludf.DUMMYFUNCTION("""COMPUTED_VALUE"""),"e1_ka04d5122_tanker")</f>
        <v>e1_ka04d5122_tanker</v>
      </c>
      <c r="D322" s="2">
        <f ca="1">IFERROR(__xludf.DUMMYFUNCTION("""COMPUTED_VALUE"""),44952)</f>
        <v>44952</v>
      </c>
      <c r="E322" s="3">
        <f ca="1">IFERROR(__xludf.DUMMYFUNCTION("""COMPUTED_VALUE"""),0.999155092591536)</f>
        <v>0.99915509259153601</v>
      </c>
      <c r="F322" s="1">
        <f ca="1">IFERROR(__xludf.DUMMYFUNCTION("""COMPUTED_VALUE"""),26868)</f>
        <v>26868</v>
      </c>
      <c r="G322" s="1" t="str">
        <f ca="1">IFERROR(__xludf.DUMMYFUNCTION("""COMPUTED_VALUE"""),"13.0208/77.6497")</f>
        <v>13.0208/77.6497</v>
      </c>
      <c r="H322" s="1" t="str">
        <f ca="1">IFERROR(__xludf.DUMMYFUNCTION("""COMPUTED_VALUE"""),"Babushibpalya")</f>
        <v>Babushibpalya</v>
      </c>
      <c r="I322" s="1"/>
      <c r="J322" s="1" t="str">
        <f ca="1">IFERROR(__xludf.DUMMYFUNCTION("""COMPUTED_VALUE"""),"0d 00h 00m")</f>
        <v>0d 00h 00m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>
      <c r="A323" s="1">
        <f ca="1">IFERROR(__xludf.DUMMYFUNCTION("""COMPUTED_VALUE"""),165)</f>
        <v>165</v>
      </c>
      <c r="B323" s="1" t="str">
        <f ca="1">IFERROR(__xludf.DUMMYFUNCTION("""COMPUTED_VALUE"""),"E1_KA04D5122_TANKER")</f>
        <v>E1_KA04D5122_TANKER</v>
      </c>
      <c r="C323" s="1" t="str">
        <f ca="1">IFERROR(__xludf.DUMMYFUNCTION("""COMPUTED_VALUE"""),"e1_ka04d5122_tanker")</f>
        <v>e1_ka04d5122_tanker</v>
      </c>
      <c r="D323" s="2">
        <f ca="1">IFERROR(__xludf.DUMMYFUNCTION("""COMPUTED_VALUE"""),45042)</f>
        <v>45042</v>
      </c>
      <c r="E323" s="3">
        <f ca="1">IFERROR(__xludf.DUMMYFUNCTION("""COMPUTED_VALUE"""),0.999317129630071)</f>
        <v>0.99931712963007102</v>
      </c>
      <c r="F323" s="1">
        <f ca="1">IFERROR(__xludf.DUMMYFUNCTION("""COMPUTED_VALUE"""),27515)</f>
        <v>27515</v>
      </c>
      <c r="G323" s="1" t="str">
        <f ca="1">IFERROR(__xludf.DUMMYFUNCTION("""COMPUTED_VALUE"""),"13.0208/77.6497")</f>
        <v>13.0208/77.6497</v>
      </c>
      <c r="H323" s="1" t="str">
        <f ca="1">IFERROR(__xludf.DUMMYFUNCTION("""COMPUTED_VALUE"""),"Babushibpalya")</f>
        <v>Babushibpalya</v>
      </c>
      <c r="I323" s="1"/>
      <c r="J323" s="1" t="str">
        <f ca="1">IFERROR(__xludf.DUMMYFUNCTION("""COMPUTED_VALUE"""),"0d 00h 00m")</f>
        <v>0d 00h 00m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>
      <c r="A324" s="1">
        <f ca="1">IFERROR(__xludf.DUMMYFUNCTION("""COMPUTED_VALUE"""),155)</f>
        <v>155</v>
      </c>
      <c r="B324" s="1" t="str">
        <f ca="1">IFERROR(__xludf.DUMMYFUNCTION("""COMPUTED_VALUE"""),"E1_KA04D5122_TANKER")</f>
        <v>E1_KA04D5122_TANKER</v>
      </c>
      <c r="C324" s="1" t="str">
        <f ca="1">IFERROR(__xludf.DUMMYFUNCTION("""COMPUTED_VALUE"""),"e1_ka04d5122_tanker")</f>
        <v>e1_ka04d5122_tanker</v>
      </c>
      <c r="D324" s="2">
        <f ca="1">IFERROR(__xludf.DUMMYFUNCTION("""COMPUTED_VALUE"""),45134)</f>
        <v>45134</v>
      </c>
      <c r="E324" s="3">
        <f ca="1">IFERROR(__xludf.DUMMYFUNCTION("""COMPUTED_VALUE"""),0.999074074072268)</f>
        <v>0.999074074072268</v>
      </c>
      <c r="F324" s="1">
        <f ca="1">IFERROR(__xludf.DUMMYFUNCTION("""COMPUTED_VALUE"""),28198)</f>
        <v>28198</v>
      </c>
      <c r="G324" s="1" t="str">
        <f ca="1">IFERROR(__xludf.DUMMYFUNCTION("""COMPUTED_VALUE"""),"13.0209/77.6497")</f>
        <v>13.0209/77.6497</v>
      </c>
      <c r="H324" s="1" t="str">
        <f ca="1">IFERROR(__xludf.DUMMYFUNCTION("""COMPUTED_VALUE"""),"Babushibpalya")</f>
        <v>Babushibpalya</v>
      </c>
      <c r="I324" s="1"/>
      <c r="J324" s="1" t="str">
        <f ca="1">IFERROR(__xludf.DUMMYFUNCTION("""COMPUTED_VALUE"""),"0d 00h 00m")</f>
        <v>0d 00h 00m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>
      <c r="A325" s="1">
        <f ca="1">IFERROR(__xludf.DUMMYFUNCTION("""COMPUTED_VALUE"""),169)</f>
        <v>169</v>
      </c>
      <c r="B325" s="1" t="str">
        <f ca="1">IFERROR(__xludf.DUMMYFUNCTION("""COMPUTED_VALUE"""),"E1_KA04D5122_TANKER")</f>
        <v>E1_KA04D5122_TANKER</v>
      </c>
      <c r="C325" s="1" t="str">
        <f ca="1">IFERROR(__xludf.DUMMYFUNCTION("""COMPUTED_VALUE"""),"e1_ka04d5122_tanker")</f>
        <v>e1_ka04d5122_tanker</v>
      </c>
      <c r="D325" s="2">
        <f ca="1">IFERROR(__xludf.DUMMYFUNCTION("""COMPUTED_VALUE"""),45226)</f>
        <v>45226</v>
      </c>
      <c r="E325" s="3">
        <f ca="1">IFERROR(__xludf.DUMMYFUNCTION("""COMPUTED_VALUE"""),0.99921296296452)</f>
        <v>0.99921296296452</v>
      </c>
      <c r="F325" s="1">
        <f ca="1">IFERROR(__xludf.DUMMYFUNCTION("""COMPUTED_VALUE"""),28834)</f>
        <v>28834</v>
      </c>
      <c r="G325" s="1" t="str">
        <f ca="1">IFERROR(__xludf.DUMMYFUNCTION("""COMPUTED_VALUE"""),"13.0209/77.6497")</f>
        <v>13.0209/77.6497</v>
      </c>
      <c r="H325" s="1" t="str">
        <f ca="1">IFERROR(__xludf.DUMMYFUNCTION("""COMPUTED_VALUE"""),"Babushibpalya")</f>
        <v>Babushibpalya</v>
      </c>
      <c r="I325" s="1"/>
      <c r="J325" s="1" t="str">
        <f ca="1">IFERROR(__xludf.DUMMYFUNCTION("""COMPUTED_VALUE"""),"0d 00h 00m")</f>
        <v>0d 00h 00m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>
      <c r="A326" s="1">
        <f ca="1">IFERROR(__xludf.DUMMYFUNCTION("""COMPUTED_VALUE"""),162)</f>
        <v>162</v>
      </c>
      <c r="B326" s="1" t="str">
        <f ca="1">IFERROR(__xludf.DUMMYFUNCTION("""COMPUTED_VALUE"""),"E1_KA04D5122_TANKER")</f>
        <v>E1_KA04D5122_TANKER</v>
      </c>
      <c r="C326" s="1" t="str">
        <f ca="1">IFERROR(__xludf.DUMMYFUNCTION("""COMPUTED_VALUE"""),"e1_ka04d5122_tanker")</f>
        <v>e1_ka04d5122_tanker</v>
      </c>
      <c r="D326" s="2">
        <f ca="1">IFERROR(__xludf.DUMMYFUNCTION("""COMPUTED_VALUE"""),45315)</f>
        <v>45315</v>
      </c>
      <c r="E326" s="3">
        <f ca="1">IFERROR(__xludf.DUMMYFUNCTION("""COMPUTED_VALUE"""),0.786898148147884)</f>
        <v>0.78689814814788395</v>
      </c>
      <c r="F326" s="1">
        <f ca="1">IFERROR(__xludf.DUMMYFUNCTION("""COMPUTED_VALUE"""),29632)</f>
        <v>29632</v>
      </c>
      <c r="G326" s="1" t="str">
        <f ca="1">IFERROR(__xludf.DUMMYFUNCTION("""COMPUTED_VALUE"""),"13.0209/77.6496")</f>
        <v>13.0209/77.6496</v>
      </c>
      <c r="H326" s="1" t="str">
        <f ca="1">IFERROR(__xludf.DUMMYFUNCTION("""COMPUTED_VALUE"""),"BÄbusÄhibpÄlya")</f>
        <v>BÄbusÄhibpÄlya</v>
      </c>
      <c r="I326" s="1"/>
      <c r="J326" s="1" t="str">
        <f ca="1">IFERROR(__xludf.DUMMYFUNCTION("""COMPUTED_VALUE"""),"0d 00h 00m")</f>
        <v>0d 00h 00m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>
      <c r="A327" s="1">
        <f ca="1">IFERROR(__xludf.DUMMYFUNCTION("""COMPUTED_VALUE"""),124)</f>
        <v>124</v>
      </c>
      <c r="B327" s="1" t="str">
        <f ca="1">IFERROR(__xludf.DUMMYFUNCTION("""COMPUTED_VALUE"""),"E1_KA04D5294_Tanker")</f>
        <v>E1_KA04D5294_Tanker</v>
      </c>
      <c r="C327" s="1" t="str">
        <f ca="1">IFERROR(__xludf.DUMMYFUNCTION("""COMPUTED_VALUE"""),"e1_ka04d5294_tanker")</f>
        <v>e1_ka04d5294_tanker</v>
      </c>
      <c r="D327" s="2">
        <f ca="1">IFERROR(__xludf.DUMMYFUNCTION("""COMPUTED_VALUE"""),44707)</f>
        <v>44707</v>
      </c>
      <c r="E327" s="3">
        <f ca="1">IFERROR(__xludf.DUMMYFUNCTION("""COMPUTED_VALUE"""),0.498333333332993)</f>
        <v>0.49833333333299301</v>
      </c>
      <c r="F327" s="1">
        <f ca="1">IFERROR(__xludf.DUMMYFUNCTION("""COMPUTED_VALUE"""),10053)</f>
        <v>10053</v>
      </c>
      <c r="G327" s="1" t="str">
        <f ca="1">IFERROR(__xludf.DUMMYFUNCTION("""COMPUTED_VALUE"""),"13.0938/77.5899")</f>
        <v>13.0938/77.5899</v>
      </c>
      <c r="H327" s="1" t="str">
        <f ca="1">IFERROR(__xludf.DUMMYFUNCTION("""COMPUTED_VALUE"""),"Shaneeswar Mandir, Allala Sandra")</f>
        <v>Shaneeswar Mandir, Allala Sandra</v>
      </c>
      <c r="I327" s="1"/>
      <c r="J327" s="1" t="str">
        <f ca="1">IFERROR(__xludf.DUMMYFUNCTION("""COMPUTED_VALUE"""),"0d 00h 00m")</f>
        <v>0d 00h 00m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>
      <c r="A328" s="1">
        <f ca="1">IFERROR(__xludf.DUMMYFUNCTION("""COMPUTED_VALUE"""),112)</f>
        <v>112</v>
      </c>
      <c r="B328" s="1" t="str">
        <f ca="1">IFERROR(__xludf.DUMMYFUNCTION("""COMPUTED_VALUE"""),"E1_KA04D5294_Tanker")</f>
        <v>E1_KA04D5294_Tanker</v>
      </c>
      <c r="C328" s="1" t="str">
        <f ca="1">IFERROR(__xludf.DUMMYFUNCTION("""COMPUTED_VALUE"""),"e1_ka04d5294_tanker")</f>
        <v>e1_ka04d5294_tanker</v>
      </c>
      <c r="D328" s="2">
        <f ca="1">IFERROR(__xludf.DUMMYFUNCTION("""COMPUTED_VALUE"""),44736)</f>
        <v>44736</v>
      </c>
      <c r="E328" s="3">
        <f ca="1">IFERROR(__xludf.DUMMYFUNCTION("""COMPUTED_VALUE"""),0.66556712962847)</f>
        <v>0.66556712962846998</v>
      </c>
      <c r="F328" s="1">
        <f ca="1">IFERROR(__xludf.DUMMYFUNCTION("""COMPUTED_VALUE"""),10359)</f>
        <v>10359</v>
      </c>
      <c r="G328" s="1" t="str">
        <f ca="1">IFERROR(__xludf.DUMMYFUNCTION("""COMPUTED_VALUE"""),"13.0938/77.5899")</f>
        <v>13.0938/77.5899</v>
      </c>
      <c r="H328" s="1" t="str">
        <f ca="1">IFERROR(__xludf.DUMMYFUNCTION("""COMPUTED_VALUE"""),"Shaneeswar Mandir Allala Sandra")</f>
        <v>Shaneeswar Mandir Allala Sandra</v>
      </c>
      <c r="I328" s="1"/>
      <c r="J328" s="1" t="str">
        <f ca="1">IFERROR(__xludf.DUMMYFUNCTION("""COMPUTED_VALUE"""),"0d 00h 00m")</f>
        <v>0d 00h 00m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>
      <c r="A329" s="1">
        <f ca="1">IFERROR(__xludf.DUMMYFUNCTION("""COMPUTED_VALUE"""),132)</f>
        <v>132</v>
      </c>
      <c r="B329" s="1" t="str">
        <f ca="1">IFERROR(__xludf.DUMMYFUNCTION("""COMPUTED_VALUE"""),"E1_KA04D5294_Tanker")</f>
        <v>E1_KA04D5294_Tanker</v>
      </c>
      <c r="C329" s="1" t="str">
        <f ca="1">IFERROR(__xludf.DUMMYFUNCTION("""COMPUTED_VALUE"""),"e1_ka04d5294_tanker")</f>
        <v>e1_ka04d5294_tanker</v>
      </c>
      <c r="D329" s="2">
        <f ca="1">IFERROR(__xludf.DUMMYFUNCTION("""COMPUTED_VALUE"""),44768)</f>
        <v>44768</v>
      </c>
      <c r="E329" s="3">
        <f ca="1">IFERROR(__xludf.DUMMYFUNCTION("""COMPUTED_VALUE"""),0.456805555557366)</f>
        <v>0.45680555555736602</v>
      </c>
      <c r="F329" s="1">
        <f ca="1">IFERROR(__xludf.DUMMYFUNCTION("""COMPUTED_VALUE"""),10473)</f>
        <v>10473</v>
      </c>
      <c r="G329" s="1" t="str">
        <f ca="1">IFERROR(__xludf.DUMMYFUNCTION("""COMPUTED_VALUE"""),"13.0938/77.5899")</f>
        <v>13.0938/77.5899</v>
      </c>
      <c r="H329" s="1" t="str">
        <f ca="1">IFERROR(__xludf.DUMMYFUNCTION("""COMPUTED_VALUE"""),"Shaneeswar Mandir Allala Sandra")</f>
        <v>Shaneeswar Mandir Allala Sandra</v>
      </c>
      <c r="I329" s="1"/>
      <c r="J329" s="1" t="str">
        <f ca="1">IFERROR(__xludf.DUMMYFUNCTION("""COMPUTED_VALUE"""),"0d 00h 00m")</f>
        <v>0d 00h 00m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>
      <c r="A330" s="1">
        <f ca="1">IFERROR(__xludf.DUMMYFUNCTION("""COMPUTED_VALUE"""),146)</f>
        <v>146</v>
      </c>
      <c r="B330" s="1" t="str">
        <f ca="1">IFERROR(__xludf.DUMMYFUNCTION("""COMPUTED_VALUE"""),"E1_KA04D5294_Tanker")</f>
        <v>E1_KA04D5294_Tanker</v>
      </c>
      <c r="C330" s="1" t="str">
        <f ca="1">IFERROR(__xludf.DUMMYFUNCTION("""COMPUTED_VALUE"""),"e1_ka04d5294_tanker")</f>
        <v>e1_ka04d5294_tanker</v>
      </c>
      <c r="D330" s="2">
        <f ca="1">IFERROR(__xludf.DUMMYFUNCTION("""COMPUTED_VALUE"""),44799)</f>
        <v>44799</v>
      </c>
      <c r="E330" s="3">
        <f ca="1">IFERROR(__xludf.DUMMYFUNCTION("""COMPUTED_VALUE"""),0.423206018516793)</f>
        <v>0.42320601851679301</v>
      </c>
      <c r="F330" s="1">
        <f ca="1">IFERROR(__xludf.DUMMYFUNCTION("""COMPUTED_VALUE"""),10583)</f>
        <v>10583</v>
      </c>
      <c r="G330" s="1" t="str">
        <f ca="1">IFERROR(__xludf.DUMMYFUNCTION("""COMPUTED_VALUE"""),"13.0703/77.5895")</f>
        <v>13.0703/77.5895</v>
      </c>
      <c r="H330" s="1" t="str">
        <f ca="1">IFERROR(__xludf.DUMMYFUNCTION("""COMPUTED_VALUE"""),"Satya Comforts Serviced Apartments")</f>
        <v>Satya Comforts Serviced Apartments</v>
      </c>
      <c r="I330" s="1"/>
      <c r="J330" s="1" t="str">
        <f ca="1">IFERROR(__xludf.DUMMYFUNCTION("""COMPUTED_VALUE"""),"0d 00h 00m")</f>
        <v>0d 00h 00m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>
      <c r="A331" s="1">
        <f ca="1">IFERROR(__xludf.DUMMYFUNCTION("""COMPUTED_VALUE"""),120)</f>
        <v>120</v>
      </c>
      <c r="B331" s="1" t="str">
        <f ca="1">IFERROR(__xludf.DUMMYFUNCTION("""COMPUTED_VALUE"""),"E1_KA04D5294_Tanker")</f>
        <v>E1_KA04D5294_Tanker</v>
      </c>
      <c r="C331" s="1" t="str">
        <f ca="1">IFERROR(__xludf.DUMMYFUNCTION("""COMPUTED_VALUE"""),"e1_ka04d5294_tanker")</f>
        <v>e1_ka04d5294_tanker</v>
      </c>
      <c r="D331" s="2">
        <f ca="1">IFERROR(__xludf.DUMMYFUNCTION("""COMPUTED_VALUE"""),44826)</f>
        <v>44826</v>
      </c>
      <c r="E331" s="3">
        <f ca="1">IFERROR(__xludf.DUMMYFUNCTION("""COMPUTED_VALUE"""),0.598726851851097)</f>
        <v>0.59872685185109698</v>
      </c>
      <c r="F331" s="1">
        <f ca="1">IFERROR(__xludf.DUMMYFUNCTION("""COMPUTED_VALUE"""),10747)</f>
        <v>10747</v>
      </c>
      <c r="G331" s="1" t="str">
        <f ca="1">IFERROR(__xludf.DUMMYFUNCTION("""COMPUTED_VALUE"""),"13.0938/77.5899")</f>
        <v>13.0938/77.5899</v>
      </c>
      <c r="H331" s="1" t="str">
        <f ca="1">IFERROR(__xludf.DUMMYFUNCTION("""COMPUTED_VALUE"""),"Shaneeswar Mandir Allala Sandra")</f>
        <v>Shaneeswar Mandir Allala Sandra</v>
      </c>
      <c r="I331" s="1"/>
      <c r="J331" s="1" t="str">
        <f ca="1">IFERROR(__xludf.DUMMYFUNCTION("""COMPUTED_VALUE"""),"0d 00h 00m")</f>
        <v>0d 00h 00m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>
      <c r="A332" s="1">
        <f ca="1">IFERROR(__xludf.DUMMYFUNCTION("""COMPUTED_VALUE"""),78)</f>
        <v>78</v>
      </c>
      <c r="B332" s="1" t="str">
        <f ca="1">IFERROR(__xludf.DUMMYFUNCTION("""COMPUTED_VALUE"""),"E1_KA04D5294_Tanker")</f>
        <v>E1_KA04D5294_Tanker</v>
      </c>
      <c r="C332" s="1" t="str">
        <f ca="1">IFERROR(__xludf.DUMMYFUNCTION("""COMPUTED_VALUE"""),"e1_ka04d5294_tanker")</f>
        <v>e1_ka04d5294_tanker</v>
      </c>
      <c r="D332" s="2">
        <f ca="1">IFERROR(__xludf.DUMMYFUNCTION("""COMPUTED_VALUE"""),44839)</f>
        <v>44839</v>
      </c>
      <c r="E332" s="3">
        <f ca="1">IFERROR(__xludf.DUMMYFUNCTION("""COMPUTED_VALUE"""),0.36208333333343)</f>
        <v>0.36208333333343001</v>
      </c>
      <c r="F332" s="1">
        <f ca="1">IFERROR(__xludf.DUMMYFUNCTION("""COMPUTED_VALUE"""),10747)</f>
        <v>10747</v>
      </c>
      <c r="G332" s="1" t="str">
        <f ca="1">IFERROR(__xludf.DUMMYFUNCTION("""COMPUTED_VALUE"""),"13.0938/77.5899")</f>
        <v>13.0938/77.5899</v>
      </c>
      <c r="H332" s="1" t="str">
        <f ca="1">IFERROR(__xludf.DUMMYFUNCTION("""COMPUTED_VALUE"""),"Shaneeswar Mandir Allala Sandra")</f>
        <v>Shaneeswar Mandir Allala Sandra</v>
      </c>
      <c r="I332" s="1"/>
      <c r="J332" s="1" t="str">
        <f ca="1">IFERROR(__xludf.DUMMYFUNCTION("""COMPUTED_VALUE"""),"0d 00h 00m")</f>
        <v>0d 00h 00m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>
      <c r="A333" s="1">
        <f ca="1">IFERROR(__xludf.DUMMYFUNCTION("""COMPUTED_VALUE"""),9)</f>
        <v>9</v>
      </c>
      <c r="B333" s="1" t="str">
        <f ca="1">IFERROR(__xludf.DUMMYFUNCTION("""COMPUTED_VALUE"""),"E21_KA02AC4521_JETTING")</f>
        <v>E21_KA02AC4521_JETTING</v>
      </c>
      <c r="C333" s="1" t="str">
        <f ca="1">IFERROR(__xludf.DUMMYFUNCTION("""COMPUTED_VALUE"""),"e21_ka02ac4521_jetting")</f>
        <v>e21_ka02ac4521_jetting</v>
      </c>
      <c r="D333" s="2">
        <f ca="1">IFERROR(__xludf.DUMMYFUNCTION("""COMPUTED_VALUE"""),41640)</f>
        <v>41640</v>
      </c>
      <c r="E333" s="3">
        <f ca="1">IFERROR(__xludf.DUMMYFUNCTION("""COMPUTED_VALUE"""),0.229502314814453)</f>
        <v>0.22950231481445299</v>
      </c>
      <c r="F333" s="1">
        <f ca="1">IFERROR(__xludf.DUMMYFUNCTION("""COMPUTED_VALUE"""),40815)</f>
        <v>40815</v>
      </c>
      <c r="G333" s="1"/>
      <c r="H333" s="1"/>
      <c r="I333" s="1"/>
      <c r="J333" s="1" t="str">
        <f ca="1">IFERROR(__xludf.DUMMYFUNCTION("""COMPUTED_VALUE"""),"0d 00h 00m")</f>
        <v>0d 00h 00m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>
      <c r="A334" s="1">
        <f ca="1">IFERROR(__xludf.DUMMYFUNCTION("""COMPUTED_VALUE"""),9)</f>
        <v>9</v>
      </c>
      <c r="B334" s="1" t="str">
        <f ca="1">IFERROR(__xludf.DUMMYFUNCTION("""COMPUTED_VALUE"""),"E21_KA02AC4521_JETTING")</f>
        <v>E21_KA02AC4521_JETTING</v>
      </c>
      <c r="C334" s="1" t="str">
        <f ca="1">IFERROR(__xludf.DUMMYFUNCTION("""COMPUTED_VALUE"""),"e21_ka02ac4521_jetting")</f>
        <v>e21_ka02ac4521_jetting</v>
      </c>
      <c r="D334" s="2">
        <f ca="1">IFERROR(__xludf.DUMMYFUNCTION("""COMPUTED_VALUE"""),41640)</f>
        <v>41640</v>
      </c>
      <c r="E334" s="3">
        <f ca="1">IFERROR(__xludf.DUMMYFUNCTION("""COMPUTED_VALUE"""),0.229502314814453)</f>
        <v>0.22950231481445299</v>
      </c>
      <c r="F334" s="1">
        <f ca="1">IFERROR(__xludf.DUMMYFUNCTION("""COMPUTED_VALUE"""),40815)</f>
        <v>40815</v>
      </c>
      <c r="G334" s="1"/>
      <c r="H334" s="1"/>
      <c r="I334" s="1"/>
      <c r="J334" s="1" t="str">
        <f ca="1">IFERROR(__xludf.DUMMYFUNCTION("""COMPUTED_VALUE"""),"0d 00h 00m")</f>
        <v>0d 00h 00m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>
      <c r="A335" s="1">
        <f ca="1">IFERROR(__xludf.DUMMYFUNCTION("""COMPUTED_VALUE"""),9)</f>
        <v>9</v>
      </c>
      <c r="B335" s="1" t="str">
        <f ca="1">IFERROR(__xludf.DUMMYFUNCTION("""COMPUTED_VALUE"""),"E21_KA02AC4521_JETTING")</f>
        <v>E21_KA02AC4521_JETTING</v>
      </c>
      <c r="C335" s="1" t="str">
        <f ca="1">IFERROR(__xludf.DUMMYFUNCTION("""COMPUTED_VALUE"""),"e21_ka02ac4521_jetting")</f>
        <v>e21_ka02ac4521_jetting</v>
      </c>
      <c r="D335" s="2">
        <f ca="1">IFERROR(__xludf.DUMMYFUNCTION("""COMPUTED_VALUE"""),41640)</f>
        <v>41640</v>
      </c>
      <c r="E335" s="3">
        <f ca="1">IFERROR(__xludf.DUMMYFUNCTION("""COMPUTED_VALUE"""),0.229502314814453)</f>
        <v>0.22950231481445299</v>
      </c>
      <c r="F335" s="1">
        <f ca="1">IFERROR(__xludf.DUMMYFUNCTION("""COMPUTED_VALUE"""),40815)</f>
        <v>40815</v>
      </c>
      <c r="G335" s="1"/>
      <c r="H335" s="1"/>
      <c r="I335" s="1"/>
      <c r="J335" s="1" t="str">
        <f ca="1">IFERROR(__xludf.DUMMYFUNCTION("""COMPUTED_VALUE"""),"0d 00h 00m")</f>
        <v>0d 00h 00m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>
      <c r="A336" s="1">
        <f ca="1">IFERROR(__xludf.DUMMYFUNCTION("""COMPUTED_VALUE"""),9)</f>
        <v>9</v>
      </c>
      <c r="B336" s="1" t="str">
        <f ca="1">IFERROR(__xludf.DUMMYFUNCTION("""COMPUTED_VALUE"""),"E21_KA02AC4521_JETTING")</f>
        <v>E21_KA02AC4521_JETTING</v>
      </c>
      <c r="C336" s="1" t="str">
        <f ca="1">IFERROR(__xludf.DUMMYFUNCTION("""COMPUTED_VALUE"""),"e21_ka02ac4521_jetting")</f>
        <v>e21_ka02ac4521_jetting</v>
      </c>
      <c r="D336" s="2">
        <f ca="1">IFERROR(__xludf.DUMMYFUNCTION("""COMPUTED_VALUE"""),41640)</f>
        <v>41640</v>
      </c>
      <c r="E336" s="3">
        <f ca="1">IFERROR(__xludf.DUMMYFUNCTION("""COMPUTED_VALUE"""),0.229502314814453)</f>
        <v>0.22950231481445299</v>
      </c>
      <c r="F336" s="1">
        <f ca="1">IFERROR(__xludf.DUMMYFUNCTION("""COMPUTED_VALUE"""),40815)</f>
        <v>40815</v>
      </c>
      <c r="G336" s="1"/>
      <c r="H336" s="1"/>
      <c r="I336" s="1"/>
      <c r="J336" s="1" t="str">
        <f ca="1">IFERROR(__xludf.DUMMYFUNCTION("""COMPUTED_VALUE"""),"0d 00h 00m")</f>
        <v>0d 00h 00m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>
      <c r="A337" s="1">
        <f ca="1">IFERROR(__xludf.DUMMYFUNCTION("""COMPUTED_VALUE"""),9)</f>
        <v>9</v>
      </c>
      <c r="B337" s="1" t="str">
        <f ca="1">IFERROR(__xludf.DUMMYFUNCTION("""COMPUTED_VALUE"""),"E21_KA02AC4521_JETTING")</f>
        <v>E21_KA02AC4521_JETTING</v>
      </c>
      <c r="C337" s="1" t="str">
        <f ca="1">IFERROR(__xludf.DUMMYFUNCTION("""COMPUTED_VALUE"""),"e21_ka02ac4521_jetting")</f>
        <v>e21_ka02ac4521_jetting</v>
      </c>
      <c r="D337" s="2">
        <f ca="1">IFERROR(__xludf.DUMMYFUNCTION("""COMPUTED_VALUE"""),41640)</f>
        <v>41640</v>
      </c>
      <c r="E337" s="3">
        <f ca="1">IFERROR(__xludf.DUMMYFUNCTION("""COMPUTED_VALUE"""),0.229502314814453)</f>
        <v>0.22950231481445299</v>
      </c>
      <c r="F337" s="1">
        <f ca="1">IFERROR(__xludf.DUMMYFUNCTION("""COMPUTED_VALUE"""),40815)</f>
        <v>40815</v>
      </c>
      <c r="G337" s="1"/>
      <c r="H337" s="1"/>
      <c r="I337" s="1"/>
      <c r="J337" s="1" t="str">
        <f ca="1">IFERROR(__xludf.DUMMYFUNCTION("""COMPUTED_VALUE"""),"0d 00h 00m")</f>
        <v>0d 00h 00m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>
      <c r="A338" s="1">
        <f ca="1">IFERROR(__xludf.DUMMYFUNCTION("""COMPUTED_VALUE"""),9)</f>
        <v>9</v>
      </c>
      <c r="B338" s="1" t="str">
        <f ca="1">IFERROR(__xludf.DUMMYFUNCTION("""COMPUTED_VALUE"""),"E21_KA02AC4521_JETTING")</f>
        <v>E21_KA02AC4521_JETTING</v>
      </c>
      <c r="C338" s="1" t="str">
        <f ca="1">IFERROR(__xludf.DUMMYFUNCTION("""COMPUTED_VALUE"""),"e21_ka02ac4521_jetting")</f>
        <v>e21_ka02ac4521_jetting</v>
      </c>
      <c r="D338" s="2">
        <f ca="1">IFERROR(__xludf.DUMMYFUNCTION("""COMPUTED_VALUE"""),41640)</f>
        <v>41640</v>
      </c>
      <c r="E338" s="3">
        <f ca="1">IFERROR(__xludf.DUMMYFUNCTION("""COMPUTED_VALUE"""),0.229502314814453)</f>
        <v>0.22950231481445299</v>
      </c>
      <c r="F338" s="1">
        <f ca="1">IFERROR(__xludf.DUMMYFUNCTION("""COMPUTED_VALUE"""),40815)</f>
        <v>40815</v>
      </c>
      <c r="G338" s="1"/>
      <c r="H338" s="1"/>
      <c r="I338" s="1"/>
      <c r="J338" s="1" t="str">
        <f ca="1">IFERROR(__xludf.DUMMYFUNCTION("""COMPUTED_VALUE"""),"0d 00h 00m")</f>
        <v>0d 00h 00m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>
      <c r="A339" s="1">
        <f ca="1">IFERROR(__xludf.DUMMYFUNCTION("""COMPUTED_VALUE"""),9)</f>
        <v>9</v>
      </c>
      <c r="B339" s="1" t="str">
        <f ca="1">IFERROR(__xludf.DUMMYFUNCTION("""COMPUTED_VALUE"""),"E21_KA02AC4521_JETTING")</f>
        <v>E21_KA02AC4521_JETTING</v>
      </c>
      <c r="C339" s="1" t="str">
        <f ca="1">IFERROR(__xludf.DUMMYFUNCTION("""COMPUTED_VALUE"""),"e21_ka02ac4521_jetting")</f>
        <v>e21_ka02ac4521_jetting</v>
      </c>
      <c r="D339" s="2">
        <f ca="1">IFERROR(__xludf.DUMMYFUNCTION("""COMPUTED_VALUE"""),41640)</f>
        <v>41640</v>
      </c>
      <c r="E339" s="3">
        <f ca="1">IFERROR(__xludf.DUMMYFUNCTION("""COMPUTED_VALUE"""),0.229502314814453)</f>
        <v>0.22950231481445299</v>
      </c>
      <c r="F339" s="1">
        <f ca="1">IFERROR(__xludf.DUMMYFUNCTION("""COMPUTED_VALUE"""),40815)</f>
        <v>40815</v>
      </c>
      <c r="G339" s="1"/>
      <c r="H339" s="1"/>
      <c r="I339" s="1"/>
      <c r="J339" s="1" t="str">
        <f ca="1">IFERROR(__xludf.DUMMYFUNCTION("""COMPUTED_VALUE"""),"0d 00h 00m")</f>
        <v>0d 00h 00m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>
      <c r="A340" s="1">
        <f ca="1">IFERROR(__xludf.DUMMYFUNCTION("""COMPUTED_VALUE"""),31)</f>
        <v>31</v>
      </c>
      <c r="B340" s="1" t="str">
        <f ca="1">IFERROR(__xludf.DUMMYFUNCTION("""COMPUTED_VALUE"""),"E21_KA03C5060_TANKER")</f>
        <v>E21_KA03C5060_TANKER</v>
      </c>
      <c r="C340" s="1" t="str">
        <f ca="1">IFERROR(__xludf.DUMMYFUNCTION("""COMPUTED_VALUE"""),"e21_ka03c5060_tanker")</f>
        <v>e21_ka03c5060_tanker</v>
      </c>
      <c r="D340" s="2">
        <f ca="1">IFERROR(__xludf.DUMMYFUNCTION("""COMPUTED_VALUE"""),41640)</f>
        <v>41640</v>
      </c>
      <c r="E340" s="3">
        <f ca="1">IFERROR(__xludf.DUMMYFUNCTION("""COMPUTED_VALUE"""),0.230428240742185)</f>
        <v>0.23042824074218499</v>
      </c>
      <c r="F340" s="1">
        <f ca="1">IFERROR(__xludf.DUMMYFUNCTION("""COMPUTED_VALUE"""),54665)</f>
        <v>54665</v>
      </c>
      <c r="G340" s="1"/>
      <c r="H340" s="1"/>
      <c r="I340" s="1"/>
      <c r="J340" s="1" t="str">
        <f ca="1">IFERROR(__xludf.DUMMYFUNCTION("""COMPUTED_VALUE"""),"0d 00h 00m")</f>
        <v>0d 00h 00m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>
      <c r="A341" s="1">
        <f ca="1">IFERROR(__xludf.DUMMYFUNCTION("""COMPUTED_VALUE"""),31)</f>
        <v>31</v>
      </c>
      <c r="B341" s="1" t="str">
        <f ca="1">IFERROR(__xludf.DUMMYFUNCTION("""COMPUTED_VALUE"""),"E21_KA03C5060_TANKER")</f>
        <v>E21_KA03C5060_TANKER</v>
      </c>
      <c r="C341" s="1" t="str">
        <f ca="1">IFERROR(__xludf.DUMMYFUNCTION("""COMPUTED_VALUE"""),"e21_ka03c5060_tanker")</f>
        <v>e21_ka03c5060_tanker</v>
      </c>
      <c r="D341" s="2">
        <f ca="1">IFERROR(__xludf.DUMMYFUNCTION("""COMPUTED_VALUE"""),41640)</f>
        <v>41640</v>
      </c>
      <c r="E341" s="3">
        <f ca="1">IFERROR(__xludf.DUMMYFUNCTION("""COMPUTED_VALUE"""),0.230428240742185)</f>
        <v>0.23042824074218499</v>
      </c>
      <c r="F341" s="1">
        <f ca="1">IFERROR(__xludf.DUMMYFUNCTION("""COMPUTED_VALUE"""),54665)</f>
        <v>54665</v>
      </c>
      <c r="G341" s="1"/>
      <c r="H341" s="1"/>
      <c r="I341" s="1"/>
      <c r="J341" s="1" t="str">
        <f ca="1">IFERROR(__xludf.DUMMYFUNCTION("""COMPUTED_VALUE"""),"0d 00h 00m")</f>
        <v>0d 00h 00m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>
      <c r="A342" s="1">
        <f ca="1">IFERROR(__xludf.DUMMYFUNCTION("""COMPUTED_VALUE"""),31)</f>
        <v>31</v>
      </c>
      <c r="B342" s="1" t="str">
        <f ca="1">IFERROR(__xludf.DUMMYFUNCTION("""COMPUTED_VALUE"""),"E21_KA03C5060_TANKER")</f>
        <v>E21_KA03C5060_TANKER</v>
      </c>
      <c r="C342" s="1" t="str">
        <f ca="1">IFERROR(__xludf.DUMMYFUNCTION("""COMPUTED_VALUE"""),"e21_ka03c5060_tanker")</f>
        <v>e21_ka03c5060_tanker</v>
      </c>
      <c r="D342" s="2">
        <f ca="1">IFERROR(__xludf.DUMMYFUNCTION("""COMPUTED_VALUE"""),41640)</f>
        <v>41640</v>
      </c>
      <c r="E342" s="3">
        <f ca="1">IFERROR(__xludf.DUMMYFUNCTION("""COMPUTED_VALUE"""),0.230428240742185)</f>
        <v>0.23042824074218499</v>
      </c>
      <c r="F342" s="1">
        <f ca="1">IFERROR(__xludf.DUMMYFUNCTION("""COMPUTED_VALUE"""),54665)</f>
        <v>54665</v>
      </c>
      <c r="G342" s="1"/>
      <c r="H342" s="1"/>
      <c r="I342" s="1"/>
      <c r="J342" s="1" t="str">
        <f ca="1">IFERROR(__xludf.DUMMYFUNCTION("""COMPUTED_VALUE"""),"0d 00h 00m")</f>
        <v>0d 00h 00m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>
      <c r="A343" s="1">
        <f ca="1">IFERROR(__xludf.DUMMYFUNCTION("""COMPUTED_VALUE"""),31)</f>
        <v>31</v>
      </c>
      <c r="B343" s="1" t="str">
        <f ca="1">IFERROR(__xludf.DUMMYFUNCTION("""COMPUTED_VALUE"""),"E21_KA03C5060_TANKER")</f>
        <v>E21_KA03C5060_TANKER</v>
      </c>
      <c r="C343" s="1" t="str">
        <f ca="1">IFERROR(__xludf.DUMMYFUNCTION("""COMPUTED_VALUE"""),"e21_ka03c5060_tanker")</f>
        <v>e21_ka03c5060_tanker</v>
      </c>
      <c r="D343" s="2">
        <f ca="1">IFERROR(__xludf.DUMMYFUNCTION("""COMPUTED_VALUE"""),41640)</f>
        <v>41640</v>
      </c>
      <c r="E343" s="3">
        <f ca="1">IFERROR(__xludf.DUMMYFUNCTION("""COMPUTED_VALUE"""),0.230428240742185)</f>
        <v>0.23042824074218499</v>
      </c>
      <c r="F343" s="1">
        <f ca="1">IFERROR(__xludf.DUMMYFUNCTION("""COMPUTED_VALUE"""),54665)</f>
        <v>54665</v>
      </c>
      <c r="G343" s="1"/>
      <c r="H343" s="1"/>
      <c r="I343" s="1"/>
      <c r="J343" s="1" t="str">
        <f ca="1">IFERROR(__xludf.DUMMYFUNCTION("""COMPUTED_VALUE"""),"0d 00h 00m")</f>
        <v>0d 00h 00m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>
      <c r="A344" s="1">
        <f ca="1">IFERROR(__xludf.DUMMYFUNCTION("""COMPUTED_VALUE"""),31)</f>
        <v>31</v>
      </c>
      <c r="B344" s="1" t="str">
        <f ca="1">IFERROR(__xludf.DUMMYFUNCTION("""COMPUTED_VALUE"""),"E21_KA03C5060_TANKER")</f>
        <v>E21_KA03C5060_TANKER</v>
      </c>
      <c r="C344" s="1" t="str">
        <f ca="1">IFERROR(__xludf.DUMMYFUNCTION("""COMPUTED_VALUE"""),"e21_ka03c5060_tanker")</f>
        <v>e21_ka03c5060_tanker</v>
      </c>
      <c r="D344" s="2">
        <f ca="1">IFERROR(__xludf.DUMMYFUNCTION("""COMPUTED_VALUE"""),41640)</f>
        <v>41640</v>
      </c>
      <c r="E344" s="3">
        <f ca="1">IFERROR(__xludf.DUMMYFUNCTION("""COMPUTED_VALUE"""),0.230428240742185)</f>
        <v>0.23042824074218499</v>
      </c>
      <c r="F344" s="1">
        <f ca="1">IFERROR(__xludf.DUMMYFUNCTION("""COMPUTED_VALUE"""),54665)</f>
        <v>54665</v>
      </c>
      <c r="G344" s="1"/>
      <c r="H344" s="1"/>
      <c r="I344" s="1"/>
      <c r="J344" s="1" t="str">
        <f ca="1">IFERROR(__xludf.DUMMYFUNCTION("""COMPUTED_VALUE"""),"0d 00h 00m")</f>
        <v>0d 00h 00m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>
      <c r="A345" s="1">
        <f ca="1">IFERROR(__xludf.DUMMYFUNCTION("""COMPUTED_VALUE"""),31)</f>
        <v>31</v>
      </c>
      <c r="B345" s="1" t="str">
        <f ca="1">IFERROR(__xludf.DUMMYFUNCTION("""COMPUTED_VALUE"""),"E21_KA03C5060_TANKER")</f>
        <v>E21_KA03C5060_TANKER</v>
      </c>
      <c r="C345" s="1" t="str">
        <f ca="1">IFERROR(__xludf.DUMMYFUNCTION("""COMPUTED_VALUE"""),"e21_ka03c5060_tanker")</f>
        <v>e21_ka03c5060_tanker</v>
      </c>
      <c r="D345" s="2">
        <f ca="1">IFERROR(__xludf.DUMMYFUNCTION("""COMPUTED_VALUE"""),41640)</f>
        <v>41640</v>
      </c>
      <c r="E345" s="3">
        <f ca="1">IFERROR(__xludf.DUMMYFUNCTION("""COMPUTED_VALUE"""),0.230428240742185)</f>
        <v>0.23042824074218499</v>
      </c>
      <c r="F345" s="1">
        <f ca="1">IFERROR(__xludf.DUMMYFUNCTION("""COMPUTED_VALUE"""),54665)</f>
        <v>54665</v>
      </c>
      <c r="G345" s="1"/>
      <c r="H345" s="1"/>
      <c r="I345" s="1"/>
      <c r="J345" s="1" t="str">
        <f ca="1">IFERROR(__xludf.DUMMYFUNCTION("""COMPUTED_VALUE"""),"0d 00h 00m")</f>
        <v>0d 00h 00m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>
      <c r="A346" s="1">
        <f ca="1">IFERROR(__xludf.DUMMYFUNCTION("""COMPUTED_VALUE"""),31)</f>
        <v>31</v>
      </c>
      <c r="B346" s="1" t="str">
        <f ca="1">IFERROR(__xludf.DUMMYFUNCTION("""COMPUTED_VALUE"""),"E21_KA03C5060_TANKER")</f>
        <v>E21_KA03C5060_TANKER</v>
      </c>
      <c r="C346" s="1" t="str">
        <f ca="1">IFERROR(__xludf.DUMMYFUNCTION("""COMPUTED_VALUE"""),"e21_ka03c5060_tanker")</f>
        <v>e21_ka03c5060_tanker</v>
      </c>
      <c r="D346" s="2">
        <f ca="1">IFERROR(__xludf.DUMMYFUNCTION("""COMPUTED_VALUE"""),41640)</f>
        <v>41640</v>
      </c>
      <c r="E346" s="3">
        <f ca="1">IFERROR(__xludf.DUMMYFUNCTION("""COMPUTED_VALUE"""),0.230428240742185)</f>
        <v>0.23042824074218499</v>
      </c>
      <c r="F346" s="1">
        <f ca="1">IFERROR(__xludf.DUMMYFUNCTION("""COMPUTED_VALUE"""),54665)</f>
        <v>54665</v>
      </c>
      <c r="G346" s="1"/>
      <c r="H346" s="1"/>
      <c r="I346" s="1"/>
      <c r="J346" s="1" t="str">
        <f ca="1">IFERROR(__xludf.DUMMYFUNCTION("""COMPUTED_VALUE"""),"0d 00h 00m")</f>
        <v>0d 00h 00m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>
      <c r="A347" s="1">
        <f ca="1">IFERROR(__xludf.DUMMYFUNCTION("""COMPUTED_VALUE"""),37)</f>
        <v>37</v>
      </c>
      <c r="B347" s="1" t="str">
        <f ca="1">IFERROR(__xludf.DUMMYFUNCTION("""COMPUTED_VALUE"""),"E21_KA04D4862_JETTING")</f>
        <v>E21_KA04D4862_JETTING</v>
      </c>
      <c r="C347" s="1" t="str">
        <f ca="1">IFERROR(__xludf.DUMMYFUNCTION("""COMPUTED_VALUE"""),"e21_ka04d4862_jetting")</f>
        <v>e21_ka04d4862_jetting</v>
      </c>
      <c r="D347" s="2">
        <f ca="1">IFERROR(__xludf.DUMMYFUNCTION("""COMPUTED_VALUE"""),41640)</f>
        <v>41640</v>
      </c>
      <c r="E347" s="3">
        <f ca="1">IFERROR(__xludf.DUMMYFUNCTION("""COMPUTED_VALUE"""),0.231840277778246)</f>
        <v>0.23184027777824601</v>
      </c>
      <c r="F347" s="1">
        <f ca="1">IFERROR(__xludf.DUMMYFUNCTION("""COMPUTED_VALUE"""),23030)</f>
        <v>23030</v>
      </c>
      <c r="G347" s="1"/>
      <c r="H347" s="1"/>
      <c r="I347" s="1"/>
      <c r="J347" s="1" t="str">
        <f ca="1">IFERROR(__xludf.DUMMYFUNCTION("""COMPUTED_VALUE"""),"0d 00h 00m")</f>
        <v>0d 00h 00m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>
      <c r="A348" s="1">
        <f ca="1">IFERROR(__xludf.DUMMYFUNCTION("""COMPUTED_VALUE"""),37)</f>
        <v>37</v>
      </c>
      <c r="B348" s="1" t="str">
        <f ca="1">IFERROR(__xludf.DUMMYFUNCTION("""COMPUTED_VALUE"""),"E21_KA04D4862_JETTING")</f>
        <v>E21_KA04D4862_JETTING</v>
      </c>
      <c r="C348" s="1" t="str">
        <f ca="1">IFERROR(__xludf.DUMMYFUNCTION("""COMPUTED_VALUE"""),"e21_ka04d4862_jetting")</f>
        <v>e21_ka04d4862_jetting</v>
      </c>
      <c r="D348" s="2">
        <f ca="1">IFERROR(__xludf.DUMMYFUNCTION("""COMPUTED_VALUE"""),41640)</f>
        <v>41640</v>
      </c>
      <c r="E348" s="3">
        <f ca="1">IFERROR(__xludf.DUMMYFUNCTION("""COMPUTED_VALUE"""),0.231840277778246)</f>
        <v>0.23184027777824601</v>
      </c>
      <c r="F348" s="1">
        <f ca="1">IFERROR(__xludf.DUMMYFUNCTION("""COMPUTED_VALUE"""),23030)</f>
        <v>23030</v>
      </c>
      <c r="G348" s="1"/>
      <c r="H348" s="1"/>
      <c r="I348" s="1"/>
      <c r="J348" s="1" t="str">
        <f ca="1">IFERROR(__xludf.DUMMYFUNCTION("""COMPUTED_VALUE"""),"0d 00h 00m")</f>
        <v>0d 00h 00m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>
      <c r="A349" s="1">
        <f ca="1">IFERROR(__xludf.DUMMYFUNCTION("""COMPUTED_VALUE"""),37)</f>
        <v>37</v>
      </c>
      <c r="B349" s="1" t="str">
        <f ca="1">IFERROR(__xludf.DUMMYFUNCTION("""COMPUTED_VALUE"""),"E21_KA04D4862_JETTING")</f>
        <v>E21_KA04D4862_JETTING</v>
      </c>
      <c r="C349" s="1" t="str">
        <f ca="1">IFERROR(__xludf.DUMMYFUNCTION("""COMPUTED_VALUE"""),"e21_ka04d4862_jetting")</f>
        <v>e21_ka04d4862_jetting</v>
      </c>
      <c r="D349" s="2">
        <f ca="1">IFERROR(__xludf.DUMMYFUNCTION("""COMPUTED_VALUE"""),41640)</f>
        <v>41640</v>
      </c>
      <c r="E349" s="3">
        <f ca="1">IFERROR(__xludf.DUMMYFUNCTION("""COMPUTED_VALUE"""),0.231840277778246)</f>
        <v>0.23184027777824601</v>
      </c>
      <c r="F349" s="1">
        <f ca="1">IFERROR(__xludf.DUMMYFUNCTION("""COMPUTED_VALUE"""),23030)</f>
        <v>23030</v>
      </c>
      <c r="G349" s="1"/>
      <c r="H349" s="1"/>
      <c r="I349" s="1"/>
      <c r="J349" s="1" t="str">
        <f ca="1">IFERROR(__xludf.DUMMYFUNCTION("""COMPUTED_VALUE"""),"0d 00h 00m")</f>
        <v>0d 00h 00m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>
      <c r="A350" s="1">
        <f ca="1">IFERROR(__xludf.DUMMYFUNCTION("""COMPUTED_VALUE"""),37)</f>
        <v>37</v>
      </c>
      <c r="B350" s="1" t="str">
        <f ca="1">IFERROR(__xludf.DUMMYFUNCTION("""COMPUTED_VALUE"""),"E21_KA04D4862_JETTING")</f>
        <v>E21_KA04D4862_JETTING</v>
      </c>
      <c r="C350" s="1" t="str">
        <f ca="1">IFERROR(__xludf.DUMMYFUNCTION("""COMPUTED_VALUE"""),"e21_ka04d4862_jetting")</f>
        <v>e21_ka04d4862_jetting</v>
      </c>
      <c r="D350" s="2">
        <f ca="1">IFERROR(__xludf.DUMMYFUNCTION("""COMPUTED_VALUE"""),41640)</f>
        <v>41640</v>
      </c>
      <c r="E350" s="3">
        <f ca="1">IFERROR(__xludf.DUMMYFUNCTION("""COMPUTED_VALUE"""),0.231840277778246)</f>
        <v>0.23184027777824601</v>
      </c>
      <c r="F350" s="1">
        <f ca="1">IFERROR(__xludf.DUMMYFUNCTION("""COMPUTED_VALUE"""),23030)</f>
        <v>23030</v>
      </c>
      <c r="G350" s="1"/>
      <c r="H350" s="1"/>
      <c r="I350" s="1"/>
      <c r="J350" s="1" t="str">
        <f ca="1">IFERROR(__xludf.DUMMYFUNCTION("""COMPUTED_VALUE"""),"0d 00h 00m")</f>
        <v>0d 00h 00m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>
      <c r="A351" s="1">
        <f ca="1">IFERROR(__xludf.DUMMYFUNCTION("""COMPUTED_VALUE"""),37)</f>
        <v>37</v>
      </c>
      <c r="B351" s="1" t="str">
        <f ca="1">IFERROR(__xludf.DUMMYFUNCTION("""COMPUTED_VALUE"""),"E21_KA04D4862_JETTING")</f>
        <v>E21_KA04D4862_JETTING</v>
      </c>
      <c r="C351" s="1" t="str">
        <f ca="1">IFERROR(__xludf.DUMMYFUNCTION("""COMPUTED_VALUE"""),"e21_ka04d4862_jetting")</f>
        <v>e21_ka04d4862_jetting</v>
      </c>
      <c r="D351" s="2">
        <f ca="1">IFERROR(__xludf.DUMMYFUNCTION("""COMPUTED_VALUE"""),41640)</f>
        <v>41640</v>
      </c>
      <c r="E351" s="3">
        <f ca="1">IFERROR(__xludf.DUMMYFUNCTION("""COMPUTED_VALUE"""),0.231840277778246)</f>
        <v>0.23184027777824601</v>
      </c>
      <c r="F351" s="1">
        <f ca="1">IFERROR(__xludf.DUMMYFUNCTION("""COMPUTED_VALUE"""),23030)</f>
        <v>23030</v>
      </c>
      <c r="G351" s="1"/>
      <c r="H351" s="1"/>
      <c r="I351" s="1"/>
      <c r="J351" s="1" t="str">
        <f ca="1">IFERROR(__xludf.DUMMYFUNCTION("""COMPUTED_VALUE"""),"0d 00h 00m")</f>
        <v>0d 00h 00m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>
      <c r="A352" s="1">
        <f ca="1">IFERROR(__xludf.DUMMYFUNCTION("""COMPUTED_VALUE"""),37)</f>
        <v>37</v>
      </c>
      <c r="B352" s="1" t="str">
        <f ca="1">IFERROR(__xludf.DUMMYFUNCTION("""COMPUTED_VALUE"""),"E21_KA04D4862_JETTING")</f>
        <v>E21_KA04D4862_JETTING</v>
      </c>
      <c r="C352" s="1" t="str">
        <f ca="1">IFERROR(__xludf.DUMMYFUNCTION("""COMPUTED_VALUE"""),"e21_ka04d4862_jetting")</f>
        <v>e21_ka04d4862_jetting</v>
      </c>
      <c r="D352" s="2">
        <f ca="1">IFERROR(__xludf.DUMMYFUNCTION("""COMPUTED_VALUE"""),41640)</f>
        <v>41640</v>
      </c>
      <c r="E352" s="3">
        <f ca="1">IFERROR(__xludf.DUMMYFUNCTION("""COMPUTED_VALUE"""),0.231840277778246)</f>
        <v>0.23184027777824601</v>
      </c>
      <c r="F352" s="1">
        <f ca="1">IFERROR(__xludf.DUMMYFUNCTION("""COMPUTED_VALUE"""),23030)</f>
        <v>23030</v>
      </c>
      <c r="G352" s="1"/>
      <c r="H352" s="1"/>
      <c r="I352" s="1"/>
      <c r="J352" s="1" t="str">
        <f ca="1">IFERROR(__xludf.DUMMYFUNCTION("""COMPUTED_VALUE"""),"0d 00h 00m")</f>
        <v>0d 00h 00m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>
      <c r="A353" s="1">
        <f ca="1">IFERROR(__xludf.DUMMYFUNCTION("""COMPUTED_VALUE"""),37)</f>
        <v>37</v>
      </c>
      <c r="B353" s="1" t="str">
        <f ca="1">IFERROR(__xludf.DUMMYFUNCTION("""COMPUTED_VALUE"""),"E21_KA04D4862_JETTING")</f>
        <v>E21_KA04D4862_JETTING</v>
      </c>
      <c r="C353" s="1" t="str">
        <f ca="1">IFERROR(__xludf.DUMMYFUNCTION("""COMPUTED_VALUE"""),"e21_ka04d4862_jetting")</f>
        <v>e21_ka04d4862_jetting</v>
      </c>
      <c r="D353" s="2">
        <f ca="1">IFERROR(__xludf.DUMMYFUNCTION("""COMPUTED_VALUE"""),41640)</f>
        <v>41640</v>
      </c>
      <c r="E353" s="3">
        <f ca="1">IFERROR(__xludf.DUMMYFUNCTION("""COMPUTED_VALUE"""),0.231840277778246)</f>
        <v>0.23184027777824601</v>
      </c>
      <c r="F353" s="1">
        <f ca="1">IFERROR(__xludf.DUMMYFUNCTION("""COMPUTED_VALUE"""),23030)</f>
        <v>23030</v>
      </c>
      <c r="G353" s="1"/>
      <c r="H353" s="1"/>
      <c r="I353" s="1"/>
      <c r="J353" s="1" t="str">
        <f ca="1">IFERROR(__xludf.DUMMYFUNCTION("""COMPUTED_VALUE"""),"0d 00h 00m")</f>
        <v>0d 00h 00m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>
      <c r="A354" s="1">
        <f ca="1">IFERROR(__xludf.DUMMYFUNCTION("""COMPUTED_VALUE"""),26)</f>
        <v>26</v>
      </c>
      <c r="B354" s="1" t="str">
        <f ca="1">IFERROR(__xludf.DUMMYFUNCTION("""COMPUTED_VALUE"""),"E22_KA04C5153_JETTING")</f>
        <v>E22_KA04C5153_JETTING</v>
      </c>
      <c r="C354" s="1" t="str">
        <f ca="1">IFERROR(__xludf.DUMMYFUNCTION("""COMPUTED_VALUE"""),"e22_ka04c5153_jetting")</f>
        <v>e22_ka04c5153_jetting</v>
      </c>
      <c r="D354" s="2">
        <f ca="1">IFERROR(__xludf.DUMMYFUNCTION("""COMPUTED_VALUE"""),41640)</f>
        <v>41640</v>
      </c>
      <c r="E354" s="3">
        <f ca="1">IFERROR(__xludf.DUMMYFUNCTION("""COMPUTED_VALUE"""),0.230127314815035)</f>
        <v>0.23012731481503501</v>
      </c>
      <c r="F354" s="1">
        <f ca="1">IFERROR(__xludf.DUMMYFUNCTION("""COMPUTED_VALUE"""),55251)</f>
        <v>55251</v>
      </c>
      <c r="G354" s="1"/>
      <c r="H354" s="1"/>
      <c r="I354" s="1"/>
      <c r="J354" s="1" t="str">
        <f ca="1">IFERROR(__xludf.DUMMYFUNCTION("""COMPUTED_VALUE"""),"0d 00h 00m")</f>
        <v>0d 00h 00m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>
      <c r="A355" s="1">
        <f ca="1">IFERROR(__xludf.DUMMYFUNCTION("""COMPUTED_VALUE"""),26)</f>
        <v>26</v>
      </c>
      <c r="B355" s="1" t="str">
        <f ca="1">IFERROR(__xludf.DUMMYFUNCTION("""COMPUTED_VALUE"""),"E22_KA04C5153_JETTING")</f>
        <v>E22_KA04C5153_JETTING</v>
      </c>
      <c r="C355" s="1" t="str">
        <f ca="1">IFERROR(__xludf.DUMMYFUNCTION("""COMPUTED_VALUE"""),"e22_ka04c5153_jetting")</f>
        <v>e22_ka04c5153_jetting</v>
      </c>
      <c r="D355" s="2">
        <f ca="1">IFERROR(__xludf.DUMMYFUNCTION("""COMPUTED_VALUE"""),41640)</f>
        <v>41640</v>
      </c>
      <c r="E355" s="3">
        <f ca="1">IFERROR(__xludf.DUMMYFUNCTION("""COMPUTED_VALUE"""),0.230127314815035)</f>
        <v>0.23012731481503501</v>
      </c>
      <c r="F355" s="1">
        <f ca="1">IFERROR(__xludf.DUMMYFUNCTION("""COMPUTED_VALUE"""),55251)</f>
        <v>55251</v>
      </c>
      <c r="G355" s="1"/>
      <c r="H355" s="1"/>
      <c r="I355" s="1"/>
      <c r="J355" s="1" t="str">
        <f ca="1">IFERROR(__xludf.DUMMYFUNCTION("""COMPUTED_VALUE"""),"0d 00h 00m")</f>
        <v>0d 00h 00m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>
      <c r="A356" s="1">
        <f ca="1">IFERROR(__xludf.DUMMYFUNCTION("""COMPUTED_VALUE"""),26)</f>
        <v>26</v>
      </c>
      <c r="B356" s="1" t="str">
        <f ca="1">IFERROR(__xludf.DUMMYFUNCTION("""COMPUTED_VALUE"""),"E22_KA04C5153_JETTING")</f>
        <v>E22_KA04C5153_JETTING</v>
      </c>
      <c r="C356" s="1" t="str">
        <f ca="1">IFERROR(__xludf.DUMMYFUNCTION("""COMPUTED_VALUE"""),"e22_ka04c5153_jetting")</f>
        <v>e22_ka04c5153_jetting</v>
      </c>
      <c r="D356" s="2">
        <f ca="1">IFERROR(__xludf.DUMMYFUNCTION("""COMPUTED_VALUE"""),41640)</f>
        <v>41640</v>
      </c>
      <c r="E356" s="3">
        <f ca="1">IFERROR(__xludf.DUMMYFUNCTION("""COMPUTED_VALUE"""),0.230127314815035)</f>
        <v>0.23012731481503501</v>
      </c>
      <c r="F356" s="1">
        <f ca="1">IFERROR(__xludf.DUMMYFUNCTION("""COMPUTED_VALUE"""),55251)</f>
        <v>55251</v>
      </c>
      <c r="G356" s="1"/>
      <c r="H356" s="1"/>
      <c r="I356" s="1"/>
      <c r="J356" s="1" t="str">
        <f ca="1">IFERROR(__xludf.DUMMYFUNCTION("""COMPUTED_VALUE"""),"0d 00h 00m")</f>
        <v>0d 00h 00m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>
      <c r="A357" s="1">
        <f ca="1">IFERROR(__xludf.DUMMYFUNCTION("""COMPUTED_VALUE"""),26)</f>
        <v>26</v>
      </c>
      <c r="B357" s="1" t="str">
        <f ca="1">IFERROR(__xludf.DUMMYFUNCTION("""COMPUTED_VALUE"""),"E22_KA04C5153_JETTING")</f>
        <v>E22_KA04C5153_JETTING</v>
      </c>
      <c r="C357" s="1" t="str">
        <f ca="1">IFERROR(__xludf.DUMMYFUNCTION("""COMPUTED_VALUE"""),"e22_ka04c5153_jetting")</f>
        <v>e22_ka04c5153_jetting</v>
      </c>
      <c r="D357" s="2">
        <f ca="1">IFERROR(__xludf.DUMMYFUNCTION("""COMPUTED_VALUE"""),41640)</f>
        <v>41640</v>
      </c>
      <c r="E357" s="3">
        <f ca="1">IFERROR(__xludf.DUMMYFUNCTION("""COMPUTED_VALUE"""),0.230127314815035)</f>
        <v>0.23012731481503501</v>
      </c>
      <c r="F357" s="1">
        <f ca="1">IFERROR(__xludf.DUMMYFUNCTION("""COMPUTED_VALUE"""),55251)</f>
        <v>55251</v>
      </c>
      <c r="G357" s="1"/>
      <c r="H357" s="1"/>
      <c r="I357" s="1"/>
      <c r="J357" s="1" t="str">
        <f ca="1">IFERROR(__xludf.DUMMYFUNCTION("""COMPUTED_VALUE"""),"0d 00h 00m")</f>
        <v>0d 00h 00m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>
      <c r="A358" s="1">
        <f ca="1">IFERROR(__xludf.DUMMYFUNCTION("""COMPUTED_VALUE"""),26)</f>
        <v>26</v>
      </c>
      <c r="B358" s="1" t="str">
        <f ca="1">IFERROR(__xludf.DUMMYFUNCTION("""COMPUTED_VALUE"""),"E22_KA04C5153_JETTING")</f>
        <v>E22_KA04C5153_JETTING</v>
      </c>
      <c r="C358" s="1" t="str">
        <f ca="1">IFERROR(__xludf.DUMMYFUNCTION("""COMPUTED_VALUE"""),"e22_ka04c5153_jetting")</f>
        <v>e22_ka04c5153_jetting</v>
      </c>
      <c r="D358" s="2">
        <f ca="1">IFERROR(__xludf.DUMMYFUNCTION("""COMPUTED_VALUE"""),41640)</f>
        <v>41640</v>
      </c>
      <c r="E358" s="3">
        <f ca="1">IFERROR(__xludf.DUMMYFUNCTION("""COMPUTED_VALUE"""),0.230127314815035)</f>
        <v>0.23012731481503501</v>
      </c>
      <c r="F358" s="1">
        <f ca="1">IFERROR(__xludf.DUMMYFUNCTION("""COMPUTED_VALUE"""),55251)</f>
        <v>55251</v>
      </c>
      <c r="G358" s="1"/>
      <c r="H358" s="1"/>
      <c r="I358" s="1"/>
      <c r="J358" s="1" t="str">
        <f ca="1">IFERROR(__xludf.DUMMYFUNCTION("""COMPUTED_VALUE"""),"0d 00h 00m")</f>
        <v>0d 00h 00m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>
      <c r="A359" s="1">
        <f ca="1">IFERROR(__xludf.DUMMYFUNCTION("""COMPUTED_VALUE"""),26)</f>
        <v>26</v>
      </c>
      <c r="B359" s="1" t="str">
        <f ca="1">IFERROR(__xludf.DUMMYFUNCTION("""COMPUTED_VALUE"""),"E22_KA04C5153_JETTING")</f>
        <v>E22_KA04C5153_JETTING</v>
      </c>
      <c r="C359" s="1" t="str">
        <f ca="1">IFERROR(__xludf.DUMMYFUNCTION("""COMPUTED_VALUE"""),"e22_ka04c5153_jetting")</f>
        <v>e22_ka04c5153_jetting</v>
      </c>
      <c r="D359" s="2">
        <f ca="1">IFERROR(__xludf.DUMMYFUNCTION("""COMPUTED_VALUE"""),41640)</f>
        <v>41640</v>
      </c>
      <c r="E359" s="3">
        <f ca="1">IFERROR(__xludf.DUMMYFUNCTION("""COMPUTED_VALUE"""),0.230127314815035)</f>
        <v>0.23012731481503501</v>
      </c>
      <c r="F359" s="1">
        <f ca="1">IFERROR(__xludf.DUMMYFUNCTION("""COMPUTED_VALUE"""),55251)</f>
        <v>55251</v>
      </c>
      <c r="G359" s="1"/>
      <c r="H359" s="1"/>
      <c r="I359" s="1"/>
      <c r="J359" s="1" t="str">
        <f ca="1">IFERROR(__xludf.DUMMYFUNCTION("""COMPUTED_VALUE"""),"0d 00h 00m")</f>
        <v>0d 00h 00m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>
      <c r="A360" s="1">
        <f ca="1">IFERROR(__xludf.DUMMYFUNCTION("""COMPUTED_VALUE"""),26)</f>
        <v>26</v>
      </c>
      <c r="B360" s="1" t="str">
        <f ca="1">IFERROR(__xludf.DUMMYFUNCTION("""COMPUTED_VALUE"""),"E22_KA04C5153_JETTING")</f>
        <v>E22_KA04C5153_JETTING</v>
      </c>
      <c r="C360" s="1" t="str">
        <f ca="1">IFERROR(__xludf.DUMMYFUNCTION("""COMPUTED_VALUE"""),"e22_ka04c5153_jetting")</f>
        <v>e22_ka04c5153_jetting</v>
      </c>
      <c r="D360" s="2">
        <f ca="1">IFERROR(__xludf.DUMMYFUNCTION("""COMPUTED_VALUE"""),41640)</f>
        <v>41640</v>
      </c>
      <c r="E360" s="3">
        <f ca="1">IFERROR(__xludf.DUMMYFUNCTION("""COMPUTED_VALUE"""),0.230127314815035)</f>
        <v>0.23012731481503501</v>
      </c>
      <c r="F360" s="1">
        <f ca="1">IFERROR(__xludf.DUMMYFUNCTION("""COMPUTED_VALUE"""),55251)</f>
        <v>55251</v>
      </c>
      <c r="G360" s="1"/>
      <c r="H360" s="1"/>
      <c r="I360" s="1"/>
      <c r="J360" s="1" t="str">
        <f ca="1">IFERROR(__xludf.DUMMYFUNCTION("""COMPUTED_VALUE"""),"0d 00h 00m")</f>
        <v>0d 00h 00m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>
      <c r="A361" s="1">
        <f ca="1">IFERROR(__xludf.DUMMYFUNCTION("""COMPUTED_VALUE"""),39)</f>
        <v>39</v>
      </c>
      <c r="B361" s="1" t="str">
        <f ca="1">IFERROR(__xludf.DUMMYFUNCTION("""COMPUTED_VALUE"""),"E23_KA04C3716_JETTING")</f>
        <v>E23_KA04C3716_JETTING</v>
      </c>
      <c r="C361" s="1" t="str">
        <f ca="1">IFERROR(__xludf.DUMMYFUNCTION("""COMPUTED_VALUE"""),"e23_ka04c3716_jetting")</f>
        <v>e23_ka04c3716_jetting</v>
      </c>
      <c r="D361" s="2">
        <f ca="1">IFERROR(__xludf.DUMMYFUNCTION("""COMPUTED_VALUE"""),41640)</f>
        <v>41640</v>
      </c>
      <c r="E361" s="3">
        <f ca="1">IFERROR(__xludf.DUMMYFUNCTION("""COMPUTED_VALUE"""),0.23268518518671)</f>
        <v>0.23268518518671</v>
      </c>
      <c r="F361" s="1">
        <f ca="1">IFERROR(__xludf.DUMMYFUNCTION("""COMPUTED_VALUE"""),12560)</f>
        <v>12560</v>
      </c>
      <c r="G361" s="1"/>
      <c r="H361" s="1"/>
      <c r="I361" s="1"/>
      <c r="J361" s="1" t="str">
        <f ca="1">IFERROR(__xludf.DUMMYFUNCTION("""COMPUTED_VALUE"""),"0d 00h 00m")</f>
        <v>0d 00h 00m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>
      <c r="A362" s="1">
        <f ca="1">IFERROR(__xludf.DUMMYFUNCTION("""COMPUTED_VALUE"""),39)</f>
        <v>39</v>
      </c>
      <c r="B362" s="1" t="str">
        <f ca="1">IFERROR(__xludf.DUMMYFUNCTION("""COMPUTED_VALUE"""),"E23_KA04C3716_JETTING")</f>
        <v>E23_KA04C3716_JETTING</v>
      </c>
      <c r="C362" s="1" t="str">
        <f ca="1">IFERROR(__xludf.DUMMYFUNCTION("""COMPUTED_VALUE"""),"e23_ka04c3716_jetting")</f>
        <v>e23_ka04c3716_jetting</v>
      </c>
      <c r="D362" s="2">
        <f ca="1">IFERROR(__xludf.DUMMYFUNCTION("""COMPUTED_VALUE"""),41640)</f>
        <v>41640</v>
      </c>
      <c r="E362" s="3">
        <f ca="1">IFERROR(__xludf.DUMMYFUNCTION("""COMPUTED_VALUE"""),0.23268518518671)</f>
        <v>0.23268518518671</v>
      </c>
      <c r="F362" s="1">
        <f ca="1">IFERROR(__xludf.DUMMYFUNCTION("""COMPUTED_VALUE"""),12560)</f>
        <v>12560</v>
      </c>
      <c r="G362" s="1"/>
      <c r="H362" s="1"/>
      <c r="I362" s="1"/>
      <c r="J362" s="1" t="str">
        <f ca="1">IFERROR(__xludf.DUMMYFUNCTION("""COMPUTED_VALUE"""),"0d 00h 00m")</f>
        <v>0d 00h 00m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>
      <c r="A363" s="1">
        <f ca="1">IFERROR(__xludf.DUMMYFUNCTION("""COMPUTED_VALUE"""),39)</f>
        <v>39</v>
      </c>
      <c r="B363" s="1" t="str">
        <f ca="1">IFERROR(__xludf.DUMMYFUNCTION("""COMPUTED_VALUE"""),"E23_KA04C3716_JETTING")</f>
        <v>E23_KA04C3716_JETTING</v>
      </c>
      <c r="C363" s="1" t="str">
        <f ca="1">IFERROR(__xludf.DUMMYFUNCTION("""COMPUTED_VALUE"""),"e23_ka04c3716_jetting")</f>
        <v>e23_ka04c3716_jetting</v>
      </c>
      <c r="D363" s="2">
        <f ca="1">IFERROR(__xludf.DUMMYFUNCTION("""COMPUTED_VALUE"""),41640)</f>
        <v>41640</v>
      </c>
      <c r="E363" s="3">
        <f ca="1">IFERROR(__xludf.DUMMYFUNCTION("""COMPUTED_VALUE"""),0.23268518518671)</f>
        <v>0.23268518518671</v>
      </c>
      <c r="F363" s="1">
        <f ca="1">IFERROR(__xludf.DUMMYFUNCTION("""COMPUTED_VALUE"""),12560)</f>
        <v>12560</v>
      </c>
      <c r="G363" s="1"/>
      <c r="H363" s="1"/>
      <c r="I363" s="1"/>
      <c r="J363" s="1" t="str">
        <f ca="1">IFERROR(__xludf.DUMMYFUNCTION("""COMPUTED_VALUE"""),"0d 00h 00m")</f>
        <v>0d 00h 00m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>
      <c r="A364" s="1">
        <f ca="1">IFERROR(__xludf.DUMMYFUNCTION("""COMPUTED_VALUE"""),39)</f>
        <v>39</v>
      </c>
      <c r="B364" s="1" t="str">
        <f ca="1">IFERROR(__xludf.DUMMYFUNCTION("""COMPUTED_VALUE"""),"E23_KA04C3716_JETTING")</f>
        <v>E23_KA04C3716_JETTING</v>
      </c>
      <c r="C364" s="1" t="str">
        <f ca="1">IFERROR(__xludf.DUMMYFUNCTION("""COMPUTED_VALUE"""),"e23_ka04c3716_jetting")</f>
        <v>e23_ka04c3716_jetting</v>
      </c>
      <c r="D364" s="2">
        <f ca="1">IFERROR(__xludf.DUMMYFUNCTION("""COMPUTED_VALUE"""),41640)</f>
        <v>41640</v>
      </c>
      <c r="E364" s="3">
        <f ca="1">IFERROR(__xludf.DUMMYFUNCTION("""COMPUTED_VALUE"""),0.23268518518671)</f>
        <v>0.23268518518671</v>
      </c>
      <c r="F364" s="1">
        <f ca="1">IFERROR(__xludf.DUMMYFUNCTION("""COMPUTED_VALUE"""),12560)</f>
        <v>12560</v>
      </c>
      <c r="G364" s="1"/>
      <c r="H364" s="1"/>
      <c r="I364" s="1"/>
      <c r="J364" s="1" t="str">
        <f ca="1">IFERROR(__xludf.DUMMYFUNCTION("""COMPUTED_VALUE"""),"0d 00h 00m")</f>
        <v>0d 00h 00m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>
      <c r="A365" s="1">
        <f ca="1">IFERROR(__xludf.DUMMYFUNCTION("""COMPUTED_VALUE"""),39)</f>
        <v>39</v>
      </c>
      <c r="B365" s="1" t="str">
        <f ca="1">IFERROR(__xludf.DUMMYFUNCTION("""COMPUTED_VALUE"""),"E23_KA04C3716_JETTING")</f>
        <v>E23_KA04C3716_JETTING</v>
      </c>
      <c r="C365" s="1" t="str">
        <f ca="1">IFERROR(__xludf.DUMMYFUNCTION("""COMPUTED_VALUE"""),"e23_ka04c3716_jetting")</f>
        <v>e23_ka04c3716_jetting</v>
      </c>
      <c r="D365" s="2">
        <f ca="1">IFERROR(__xludf.DUMMYFUNCTION("""COMPUTED_VALUE"""),41640)</f>
        <v>41640</v>
      </c>
      <c r="E365" s="3">
        <f ca="1">IFERROR(__xludf.DUMMYFUNCTION("""COMPUTED_VALUE"""),0.23268518518671)</f>
        <v>0.23268518518671</v>
      </c>
      <c r="F365" s="1">
        <f ca="1">IFERROR(__xludf.DUMMYFUNCTION("""COMPUTED_VALUE"""),12560)</f>
        <v>12560</v>
      </c>
      <c r="G365" s="1"/>
      <c r="H365" s="1"/>
      <c r="I365" s="1"/>
      <c r="J365" s="1" t="str">
        <f ca="1">IFERROR(__xludf.DUMMYFUNCTION("""COMPUTED_VALUE"""),"0d 00h 00m")</f>
        <v>0d 00h 00m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>
      <c r="A366" s="1">
        <f ca="1">IFERROR(__xludf.DUMMYFUNCTION("""COMPUTED_VALUE"""),39)</f>
        <v>39</v>
      </c>
      <c r="B366" s="1" t="str">
        <f ca="1">IFERROR(__xludf.DUMMYFUNCTION("""COMPUTED_VALUE"""),"E23_KA04C3716_JETTING")</f>
        <v>E23_KA04C3716_JETTING</v>
      </c>
      <c r="C366" s="1" t="str">
        <f ca="1">IFERROR(__xludf.DUMMYFUNCTION("""COMPUTED_VALUE"""),"e23_ka04c3716_jetting")</f>
        <v>e23_ka04c3716_jetting</v>
      </c>
      <c r="D366" s="2">
        <f ca="1">IFERROR(__xludf.DUMMYFUNCTION("""COMPUTED_VALUE"""),41640)</f>
        <v>41640</v>
      </c>
      <c r="E366" s="3">
        <f ca="1">IFERROR(__xludf.DUMMYFUNCTION("""COMPUTED_VALUE"""),0.23268518518671)</f>
        <v>0.23268518518671</v>
      </c>
      <c r="F366" s="1">
        <f ca="1">IFERROR(__xludf.DUMMYFUNCTION("""COMPUTED_VALUE"""),12560)</f>
        <v>12560</v>
      </c>
      <c r="G366" s="1"/>
      <c r="H366" s="1"/>
      <c r="I366" s="1"/>
      <c r="J366" s="1" t="str">
        <f ca="1">IFERROR(__xludf.DUMMYFUNCTION("""COMPUTED_VALUE"""),"0d 00h 00m")</f>
        <v>0d 00h 00m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>
      <c r="A367" s="1">
        <f ca="1">IFERROR(__xludf.DUMMYFUNCTION("""COMPUTED_VALUE"""),39)</f>
        <v>39</v>
      </c>
      <c r="B367" s="1" t="str">
        <f ca="1">IFERROR(__xludf.DUMMYFUNCTION("""COMPUTED_VALUE"""),"E23_KA04C3716_JETTING")</f>
        <v>E23_KA04C3716_JETTING</v>
      </c>
      <c r="C367" s="1" t="str">
        <f ca="1">IFERROR(__xludf.DUMMYFUNCTION("""COMPUTED_VALUE"""),"e23_ka04c3716_jetting")</f>
        <v>e23_ka04c3716_jetting</v>
      </c>
      <c r="D367" s="2">
        <f ca="1">IFERROR(__xludf.DUMMYFUNCTION("""COMPUTED_VALUE"""),41640)</f>
        <v>41640</v>
      </c>
      <c r="E367" s="3">
        <f ca="1">IFERROR(__xludf.DUMMYFUNCTION("""COMPUTED_VALUE"""),0.23268518518671)</f>
        <v>0.23268518518671</v>
      </c>
      <c r="F367" s="1">
        <f ca="1">IFERROR(__xludf.DUMMYFUNCTION("""COMPUTED_VALUE"""),12560)</f>
        <v>12560</v>
      </c>
      <c r="G367" s="1"/>
      <c r="H367" s="1"/>
      <c r="I367" s="1"/>
      <c r="J367" s="1" t="str">
        <f ca="1">IFERROR(__xludf.DUMMYFUNCTION("""COMPUTED_VALUE"""),"0d 00h 00m")</f>
        <v>0d 00h 00m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>
      <c r="A368" s="1">
        <f ca="1">IFERROR(__xludf.DUMMYFUNCTION("""COMPUTED_VALUE"""),117)</f>
        <v>117</v>
      </c>
      <c r="B368" s="1" t="str">
        <f ca="1">IFERROR(__xludf.DUMMYFUNCTION("""COMPUTED_VALUE"""),"E24_KA03C5056_TANKER")</f>
        <v>E24_KA03C5056_TANKER</v>
      </c>
      <c r="C368" s="1" t="str">
        <f ca="1">IFERROR(__xludf.DUMMYFUNCTION("""COMPUTED_VALUE"""),"e24_ka03c5056_tanker")</f>
        <v>e24_ka03c5056_tanker</v>
      </c>
      <c r="D368" s="2">
        <f ca="1">IFERROR(__xludf.DUMMYFUNCTION("""COMPUTED_VALUE"""),44019)</f>
        <v>44019</v>
      </c>
      <c r="E368" s="3">
        <f ca="1">IFERROR(__xludf.DUMMYFUNCTION("""COMPUTED_VALUE"""),0.616030092591245)</f>
        <v>0.61603009259124497</v>
      </c>
      <c r="F368" s="1">
        <f ca="1">IFERROR(__xludf.DUMMYFUNCTION("""COMPUTED_VALUE"""),18982)</f>
        <v>18982</v>
      </c>
      <c r="G368" s="1" t="str">
        <f ca="1">IFERROR(__xludf.DUMMYFUNCTION("""COMPUTED_VALUE"""),"13.0129/77.7054")</f>
        <v>13.0129/77.7054</v>
      </c>
      <c r="H368" s="1" t="str">
        <f ca="1">IFERROR(__xludf.DUMMYFUNCTION("""COMPUTED_VALUE"""),"Shigehalli")</f>
        <v>Shigehalli</v>
      </c>
      <c r="I368" s="1"/>
      <c r="J368" s="1" t="str">
        <f ca="1">IFERROR(__xludf.DUMMYFUNCTION("""COMPUTED_VALUE"""),"1351d 20h 37m")</f>
        <v>1351d 20h 37m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>
      <c r="A369" s="1">
        <f ca="1">IFERROR(__xludf.DUMMYFUNCTION("""COMPUTED_VALUE"""),117)</f>
        <v>117</v>
      </c>
      <c r="B369" s="1" t="str">
        <f ca="1">IFERROR(__xludf.DUMMYFUNCTION("""COMPUTED_VALUE"""),"E24_KA03C5056_TANKER")</f>
        <v>E24_KA03C5056_TANKER</v>
      </c>
      <c r="C369" s="1" t="str">
        <f ca="1">IFERROR(__xludf.DUMMYFUNCTION("""COMPUTED_VALUE"""),"e24_ka03c5056_tanker")</f>
        <v>e24_ka03c5056_tanker</v>
      </c>
      <c r="D369" s="2">
        <f ca="1">IFERROR(__xludf.DUMMYFUNCTION("""COMPUTED_VALUE"""),44019)</f>
        <v>44019</v>
      </c>
      <c r="E369" s="3">
        <f ca="1">IFERROR(__xludf.DUMMYFUNCTION("""COMPUTED_VALUE"""),0.616030092591245)</f>
        <v>0.61603009259124497</v>
      </c>
      <c r="F369" s="1">
        <f ca="1">IFERROR(__xludf.DUMMYFUNCTION("""COMPUTED_VALUE"""),18982)</f>
        <v>18982</v>
      </c>
      <c r="G369" s="1" t="str">
        <f ca="1">IFERROR(__xludf.DUMMYFUNCTION("""COMPUTED_VALUE"""),"13.0129/77.7054")</f>
        <v>13.0129/77.7054</v>
      </c>
      <c r="H369" s="1" t="str">
        <f ca="1">IFERROR(__xludf.DUMMYFUNCTION("""COMPUTED_VALUE"""),"Shigehalli")</f>
        <v>Shigehalli</v>
      </c>
      <c r="I369" s="1"/>
      <c r="J369" s="1" t="str">
        <f ca="1">IFERROR(__xludf.DUMMYFUNCTION("""COMPUTED_VALUE"""),"1351d 20h 38m")</f>
        <v>1351d 20h 38m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>
      <c r="A370" s="1">
        <f ca="1">IFERROR(__xludf.DUMMYFUNCTION("""COMPUTED_VALUE"""),114)</f>
        <v>114</v>
      </c>
      <c r="B370" s="1" t="str">
        <f ca="1">IFERROR(__xludf.DUMMYFUNCTION("""COMPUTED_VALUE"""),"E24_KA03C5056_TANKER")</f>
        <v>E24_KA03C5056_TANKER</v>
      </c>
      <c r="C370" s="1" t="str">
        <f ca="1">IFERROR(__xludf.DUMMYFUNCTION("""COMPUTED_VALUE"""),"e24_ka03c5056_tanker")</f>
        <v>e24_ka03c5056_tanker</v>
      </c>
      <c r="D370" s="2">
        <f ca="1">IFERROR(__xludf.DUMMYFUNCTION("""COMPUTED_VALUE"""),44019)</f>
        <v>44019</v>
      </c>
      <c r="E370" s="3">
        <f ca="1">IFERROR(__xludf.DUMMYFUNCTION("""COMPUTED_VALUE"""),0.616030092591245)</f>
        <v>0.61603009259124497</v>
      </c>
      <c r="F370" s="1">
        <f ca="1">IFERROR(__xludf.DUMMYFUNCTION("""COMPUTED_VALUE"""),18982)</f>
        <v>18982</v>
      </c>
      <c r="G370" s="1" t="str">
        <f ca="1">IFERROR(__xludf.DUMMYFUNCTION("""COMPUTED_VALUE"""),"13.0129/77.7054")</f>
        <v>13.0129/77.7054</v>
      </c>
      <c r="H370" s="1" t="str">
        <f ca="1">IFERROR(__xludf.DUMMYFUNCTION("""COMPUTED_VALUE"""),"Shigehalli")</f>
        <v>Shigehalli</v>
      </c>
      <c r="I370" s="1"/>
      <c r="J370" s="1" t="str">
        <f ca="1">IFERROR(__xludf.DUMMYFUNCTION("""COMPUTED_VALUE"""),"1351d 20h 41m")</f>
        <v>1351d 20h 41m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>
      <c r="A371" s="1">
        <f ca="1">IFERROR(__xludf.DUMMYFUNCTION("""COMPUTED_VALUE"""),114)</f>
        <v>114</v>
      </c>
      <c r="B371" s="1" t="str">
        <f ca="1">IFERROR(__xludf.DUMMYFUNCTION("""COMPUTED_VALUE"""),"E24_KA03C5056_TANKER")</f>
        <v>E24_KA03C5056_TANKER</v>
      </c>
      <c r="C371" s="1" t="str">
        <f ca="1">IFERROR(__xludf.DUMMYFUNCTION("""COMPUTED_VALUE"""),"e24_ka03c5056_tanker")</f>
        <v>e24_ka03c5056_tanker</v>
      </c>
      <c r="D371" s="2">
        <f ca="1">IFERROR(__xludf.DUMMYFUNCTION("""COMPUTED_VALUE"""),44019)</f>
        <v>44019</v>
      </c>
      <c r="E371" s="3">
        <f ca="1">IFERROR(__xludf.DUMMYFUNCTION("""COMPUTED_VALUE"""),0.616030092591245)</f>
        <v>0.61603009259124497</v>
      </c>
      <c r="F371" s="1">
        <f ca="1">IFERROR(__xludf.DUMMYFUNCTION("""COMPUTED_VALUE"""),18982)</f>
        <v>18982</v>
      </c>
      <c r="G371" s="1" t="str">
        <f ca="1">IFERROR(__xludf.DUMMYFUNCTION("""COMPUTED_VALUE"""),"13.0129/77.7054")</f>
        <v>13.0129/77.7054</v>
      </c>
      <c r="H371" s="1" t="str">
        <f ca="1">IFERROR(__xludf.DUMMYFUNCTION("""COMPUTED_VALUE"""),"Shigehalli")</f>
        <v>Shigehalli</v>
      </c>
      <c r="I371" s="1"/>
      <c r="J371" s="1" t="str">
        <f ca="1">IFERROR(__xludf.DUMMYFUNCTION("""COMPUTED_VALUE"""),"1351d 20h 42m")</f>
        <v>1351d 20h 42m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>
      <c r="A372" s="1">
        <f ca="1">IFERROR(__xludf.DUMMYFUNCTION("""COMPUTED_VALUE"""),114)</f>
        <v>114</v>
      </c>
      <c r="B372" s="1" t="str">
        <f ca="1">IFERROR(__xludf.DUMMYFUNCTION("""COMPUTED_VALUE"""),"E24_KA03C5056_TANKER")</f>
        <v>E24_KA03C5056_TANKER</v>
      </c>
      <c r="C372" s="1" t="str">
        <f ca="1">IFERROR(__xludf.DUMMYFUNCTION("""COMPUTED_VALUE"""),"e24_ka03c5056_tanker")</f>
        <v>e24_ka03c5056_tanker</v>
      </c>
      <c r="D372" s="2">
        <f ca="1">IFERROR(__xludf.DUMMYFUNCTION("""COMPUTED_VALUE"""),44019)</f>
        <v>44019</v>
      </c>
      <c r="E372" s="3">
        <f ca="1">IFERROR(__xludf.DUMMYFUNCTION("""COMPUTED_VALUE"""),0.616030092591245)</f>
        <v>0.61603009259124497</v>
      </c>
      <c r="F372" s="1">
        <f ca="1">IFERROR(__xludf.DUMMYFUNCTION("""COMPUTED_VALUE"""),18982)</f>
        <v>18982</v>
      </c>
      <c r="G372" s="1" t="str">
        <f ca="1">IFERROR(__xludf.DUMMYFUNCTION("""COMPUTED_VALUE"""),"13.0129/77.7054")</f>
        <v>13.0129/77.7054</v>
      </c>
      <c r="H372" s="1" t="str">
        <f ca="1">IFERROR(__xludf.DUMMYFUNCTION("""COMPUTED_VALUE"""),"Shigehalli")</f>
        <v>Shigehalli</v>
      </c>
      <c r="I372" s="1"/>
      <c r="J372" s="1" t="str">
        <f ca="1">IFERROR(__xludf.DUMMYFUNCTION("""COMPUTED_VALUE"""),"1351d 20h 43m")</f>
        <v>1351d 20h 43m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>
      <c r="A373" s="1">
        <f ca="1">IFERROR(__xludf.DUMMYFUNCTION("""COMPUTED_VALUE"""),114)</f>
        <v>114</v>
      </c>
      <c r="B373" s="1" t="str">
        <f ca="1">IFERROR(__xludf.DUMMYFUNCTION("""COMPUTED_VALUE"""),"E24_KA03C5056_TANKER")</f>
        <v>E24_KA03C5056_TANKER</v>
      </c>
      <c r="C373" s="1" t="str">
        <f ca="1">IFERROR(__xludf.DUMMYFUNCTION("""COMPUTED_VALUE"""),"e24_ka03c5056_tanker")</f>
        <v>e24_ka03c5056_tanker</v>
      </c>
      <c r="D373" s="2">
        <f ca="1">IFERROR(__xludf.DUMMYFUNCTION("""COMPUTED_VALUE"""),44019)</f>
        <v>44019</v>
      </c>
      <c r="E373" s="3">
        <f ca="1">IFERROR(__xludf.DUMMYFUNCTION("""COMPUTED_VALUE"""),0.616030092591245)</f>
        <v>0.61603009259124497</v>
      </c>
      <c r="F373" s="1">
        <f ca="1">IFERROR(__xludf.DUMMYFUNCTION("""COMPUTED_VALUE"""),18982)</f>
        <v>18982</v>
      </c>
      <c r="G373" s="1" t="str">
        <f ca="1">IFERROR(__xludf.DUMMYFUNCTION("""COMPUTED_VALUE"""),"13.0129/77.7054")</f>
        <v>13.0129/77.7054</v>
      </c>
      <c r="H373" s="1" t="str">
        <f ca="1">IFERROR(__xludf.DUMMYFUNCTION("""COMPUTED_VALUE"""),"Shigehalli")</f>
        <v>Shigehalli</v>
      </c>
      <c r="I373" s="1"/>
      <c r="J373" s="1" t="str">
        <f ca="1">IFERROR(__xludf.DUMMYFUNCTION("""COMPUTED_VALUE"""),"1351d 20h 44m")</f>
        <v>1351d 20h 44m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>
      <c r="A374" s="1">
        <f ca="1">IFERROR(__xludf.DUMMYFUNCTION("""COMPUTED_VALUE"""),114)</f>
        <v>114</v>
      </c>
      <c r="B374" s="1" t="str">
        <f ca="1">IFERROR(__xludf.DUMMYFUNCTION("""COMPUTED_VALUE"""),"E24_KA03C5056_TANKER")</f>
        <v>E24_KA03C5056_TANKER</v>
      </c>
      <c r="C374" s="1" t="str">
        <f ca="1">IFERROR(__xludf.DUMMYFUNCTION("""COMPUTED_VALUE"""),"e24_ka03c5056_tanker")</f>
        <v>e24_ka03c5056_tanker</v>
      </c>
      <c r="D374" s="2">
        <f ca="1">IFERROR(__xludf.DUMMYFUNCTION("""COMPUTED_VALUE"""),44019)</f>
        <v>44019</v>
      </c>
      <c r="E374" s="3">
        <f ca="1">IFERROR(__xludf.DUMMYFUNCTION("""COMPUTED_VALUE"""),0.616030092591245)</f>
        <v>0.61603009259124497</v>
      </c>
      <c r="F374" s="1">
        <f ca="1">IFERROR(__xludf.DUMMYFUNCTION("""COMPUTED_VALUE"""),18982)</f>
        <v>18982</v>
      </c>
      <c r="G374" s="1" t="str">
        <f ca="1">IFERROR(__xludf.DUMMYFUNCTION("""COMPUTED_VALUE"""),"13.0129/77.7054")</f>
        <v>13.0129/77.7054</v>
      </c>
      <c r="H374" s="1" t="str">
        <f ca="1">IFERROR(__xludf.DUMMYFUNCTION("""COMPUTED_VALUE"""),"Shigehalli")</f>
        <v>Shigehalli</v>
      </c>
      <c r="I374" s="1"/>
      <c r="J374" s="1" t="str">
        <f ca="1">IFERROR(__xludf.DUMMYFUNCTION("""COMPUTED_VALUE"""),"1351d 20h 45m")</f>
        <v>1351d 20h 45m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>
      <c r="A375" s="1">
        <f ca="1">IFERROR(__xludf.DUMMYFUNCTION("""COMPUTED_VALUE"""),85)</f>
        <v>85</v>
      </c>
      <c r="B375" s="1" t="str">
        <f ca="1">IFERROR(__xludf.DUMMYFUNCTION("""COMPUTED_VALUE"""),"E24_KA04C5159_JETTING")</f>
        <v>E24_KA04C5159_JETTING</v>
      </c>
      <c r="C375" s="1" t="str">
        <f ca="1">IFERROR(__xludf.DUMMYFUNCTION("""COMPUTED_VALUE"""),"e24_ka04c5159_jetting")</f>
        <v>e24_ka04c5159_jetting</v>
      </c>
      <c r="D375" s="2">
        <f ca="1">IFERROR(__xludf.DUMMYFUNCTION("""COMPUTED_VALUE"""),41640)</f>
        <v>41640</v>
      </c>
      <c r="E375" s="3">
        <f ca="1">IFERROR(__xludf.DUMMYFUNCTION("""COMPUTED_VALUE"""),0.683715277777082)</f>
        <v>0.68371527777708196</v>
      </c>
      <c r="F375" s="1">
        <f ca="1">IFERROR(__xludf.DUMMYFUNCTION("""COMPUTED_VALUE"""),70036)</f>
        <v>70036</v>
      </c>
      <c r="G375" s="1" t="str">
        <f ca="1">IFERROR(__xludf.DUMMYFUNCTION("""COMPUTED_VALUE"""),"13.0045/77.6674")</f>
        <v>13.0045/77.6674</v>
      </c>
      <c r="H375" s="1" t="str">
        <f ca="1">IFERROR(__xludf.DUMMYFUNCTION("""COMPUTED_VALUE"""),"Kottur")</f>
        <v>Kottur</v>
      </c>
      <c r="I375" s="1"/>
      <c r="J375" s="1" t="str">
        <f ca="1">IFERROR(__xludf.DUMMYFUNCTION("""COMPUTED_VALUE"""),"0d 00h 00m")</f>
        <v>0d 00h 00m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>
      <c r="A376" s="1">
        <f ca="1">IFERROR(__xludf.DUMMYFUNCTION("""COMPUTED_VALUE"""),85)</f>
        <v>85</v>
      </c>
      <c r="B376" s="1" t="str">
        <f ca="1">IFERROR(__xludf.DUMMYFUNCTION("""COMPUTED_VALUE"""),"E24_KA04C5159_JETTING")</f>
        <v>E24_KA04C5159_JETTING</v>
      </c>
      <c r="C376" s="1" t="str">
        <f ca="1">IFERROR(__xludf.DUMMYFUNCTION("""COMPUTED_VALUE"""),"e24_ka04c5159_jetting")</f>
        <v>e24_ka04c5159_jetting</v>
      </c>
      <c r="D376" s="2">
        <f ca="1">IFERROR(__xludf.DUMMYFUNCTION("""COMPUTED_VALUE"""),41640)</f>
        <v>41640</v>
      </c>
      <c r="E376" s="3">
        <f ca="1">IFERROR(__xludf.DUMMYFUNCTION("""COMPUTED_VALUE"""),0.683715277777082)</f>
        <v>0.68371527777708196</v>
      </c>
      <c r="F376" s="1">
        <f ca="1">IFERROR(__xludf.DUMMYFUNCTION("""COMPUTED_VALUE"""),70036)</f>
        <v>70036</v>
      </c>
      <c r="G376" s="1" t="str">
        <f ca="1">IFERROR(__xludf.DUMMYFUNCTION("""COMPUTED_VALUE"""),"13.0045/77.6674")</f>
        <v>13.0045/77.6674</v>
      </c>
      <c r="H376" s="1" t="str">
        <f ca="1">IFERROR(__xludf.DUMMYFUNCTION("""COMPUTED_VALUE"""),"Kottur")</f>
        <v>Kottur</v>
      </c>
      <c r="I376" s="1"/>
      <c r="J376" s="1" t="str">
        <f ca="1">IFERROR(__xludf.DUMMYFUNCTION("""COMPUTED_VALUE"""),"0d 00h 00m")</f>
        <v>0d 00h 00m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>
      <c r="A377" s="1">
        <f ca="1">IFERROR(__xludf.DUMMYFUNCTION("""COMPUTED_VALUE"""),82)</f>
        <v>82</v>
      </c>
      <c r="B377" s="1" t="str">
        <f ca="1">IFERROR(__xludf.DUMMYFUNCTION("""COMPUTED_VALUE"""),"E24_KA04C5159_JETTING")</f>
        <v>E24_KA04C5159_JETTING</v>
      </c>
      <c r="C377" s="1" t="str">
        <f ca="1">IFERROR(__xludf.DUMMYFUNCTION("""COMPUTED_VALUE"""),"e24_ka04c5159_jetting")</f>
        <v>e24_ka04c5159_jetting</v>
      </c>
      <c r="D377" s="2">
        <f ca="1">IFERROR(__xludf.DUMMYFUNCTION("""COMPUTED_VALUE"""),41640)</f>
        <v>41640</v>
      </c>
      <c r="E377" s="3">
        <f ca="1">IFERROR(__xludf.DUMMYFUNCTION("""COMPUTED_VALUE"""),0.683715277777082)</f>
        <v>0.68371527777708196</v>
      </c>
      <c r="F377" s="1">
        <f ca="1">IFERROR(__xludf.DUMMYFUNCTION("""COMPUTED_VALUE"""),70036)</f>
        <v>70036</v>
      </c>
      <c r="G377" s="1" t="str">
        <f ca="1">IFERROR(__xludf.DUMMYFUNCTION("""COMPUTED_VALUE"""),"13.0045/77.6674")</f>
        <v>13.0045/77.6674</v>
      </c>
      <c r="H377" s="1" t="str">
        <f ca="1">IFERROR(__xludf.DUMMYFUNCTION("""COMPUTED_VALUE"""),"Kottur")</f>
        <v>Kottur</v>
      </c>
      <c r="I377" s="1"/>
      <c r="J377" s="1" t="str">
        <f ca="1">IFERROR(__xludf.DUMMYFUNCTION("""COMPUTED_VALUE"""),"0d 00h 00m")</f>
        <v>0d 00h 00m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>
      <c r="A378" s="1">
        <f ca="1">IFERROR(__xludf.DUMMYFUNCTION("""COMPUTED_VALUE"""),82)</f>
        <v>82</v>
      </c>
      <c r="B378" s="1" t="str">
        <f ca="1">IFERROR(__xludf.DUMMYFUNCTION("""COMPUTED_VALUE"""),"E24_KA04C5159_JETTING")</f>
        <v>E24_KA04C5159_JETTING</v>
      </c>
      <c r="C378" s="1" t="str">
        <f ca="1">IFERROR(__xludf.DUMMYFUNCTION("""COMPUTED_VALUE"""),"e24_ka04c5159_jetting")</f>
        <v>e24_ka04c5159_jetting</v>
      </c>
      <c r="D378" s="2">
        <f ca="1">IFERROR(__xludf.DUMMYFUNCTION("""COMPUTED_VALUE"""),41640)</f>
        <v>41640</v>
      </c>
      <c r="E378" s="3">
        <f ca="1">IFERROR(__xludf.DUMMYFUNCTION("""COMPUTED_VALUE"""),0.683715277777082)</f>
        <v>0.68371527777708196</v>
      </c>
      <c r="F378" s="1">
        <f ca="1">IFERROR(__xludf.DUMMYFUNCTION("""COMPUTED_VALUE"""),70036)</f>
        <v>70036</v>
      </c>
      <c r="G378" s="1" t="str">
        <f ca="1">IFERROR(__xludf.DUMMYFUNCTION("""COMPUTED_VALUE"""),"13.0045/77.6674")</f>
        <v>13.0045/77.6674</v>
      </c>
      <c r="H378" s="1" t="str">
        <f ca="1">IFERROR(__xludf.DUMMYFUNCTION("""COMPUTED_VALUE"""),"Kottur")</f>
        <v>Kottur</v>
      </c>
      <c r="I378" s="1"/>
      <c r="J378" s="1" t="str">
        <f ca="1">IFERROR(__xludf.DUMMYFUNCTION("""COMPUTED_VALUE"""),"0d 00h 00m")</f>
        <v>0d 00h 00m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>
      <c r="A379" s="1">
        <f ca="1">IFERROR(__xludf.DUMMYFUNCTION("""COMPUTED_VALUE"""),82)</f>
        <v>82</v>
      </c>
      <c r="B379" s="1" t="str">
        <f ca="1">IFERROR(__xludf.DUMMYFUNCTION("""COMPUTED_VALUE"""),"E24_KA04C5159_JETTING")</f>
        <v>E24_KA04C5159_JETTING</v>
      </c>
      <c r="C379" s="1" t="str">
        <f ca="1">IFERROR(__xludf.DUMMYFUNCTION("""COMPUTED_VALUE"""),"e24_ka04c5159_jetting")</f>
        <v>e24_ka04c5159_jetting</v>
      </c>
      <c r="D379" s="2">
        <f ca="1">IFERROR(__xludf.DUMMYFUNCTION("""COMPUTED_VALUE"""),41640)</f>
        <v>41640</v>
      </c>
      <c r="E379" s="3">
        <f ca="1">IFERROR(__xludf.DUMMYFUNCTION("""COMPUTED_VALUE"""),0.683715277777082)</f>
        <v>0.68371527777708196</v>
      </c>
      <c r="F379" s="1">
        <f ca="1">IFERROR(__xludf.DUMMYFUNCTION("""COMPUTED_VALUE"""),70036)</f>
        <v>70036</v>
      </c>
      <c r="G379" s="1" t="str">
        <f ca="1">IFERROR(__xludf.DUMMYFUNCTION("""COMPUTED_VALUE"""),"13.0045/77.6674")</f>
        <v>13.0045/77.6674</v>
      </c>
      <c r="H379" s="1" t="str">
        <f ca="1">IFERROR(__xludf.DUMMYFUNCTION("""COMPUTED_VALUE"""),"Kottur")</f>
        <v>Kottur</v>
      </c>
      <c r="I379" s="1"/>
      <c r="J379" s="1" t="str">
        <f ca="1">IFERROR(__xludf.DUMMYFUNCTION("""COMPUTED_VALUE"""),"0d 00h 00m")</f>
        <v>0d 00h 00m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>
      <c r="A380" s="1">
        <f ca="1">IFERROR(__xludf.DUMMYFUNCTION("""COMPUTED_VALUE"""),82)</f>
        <v>82</v>
      </c>
      <c r="B380" s="1" t="str">
        <f ca="1">IFERROR(__xludf.DUMMYFUNCTION("""COMPUTED_VALUE"""),"E24_KA04C5159_JETTING")</f>
        <v>E24_KA04C5159_JETTING</v>
      </c>
      <c r="C380" s="1" t="str">
        <f ca="1">IFERROR(__xludf.DUMMYFUNCTION("""COMPUTED_VALUE"""),"e24_ka04c5159_jetting")</f>
        <v>e24_ka04c5159_jetting</v>
      </c>
      <c r="D380" s="2">
        <f ca="1">IFERROR(__xludf.DUMMYFUNCTION("""COMPUTED_VALUE"""),41640)</f>
        <v>41640</v>
      </c>
      <c r="E380" s="3">
        <f ca="1">IFERROR(__xludf.DUMMYFUNCTION("""COMPUTED_VALUE"""),0.683715277777082)</f>
        <v>0.68371527777708196</v>
      </c>
      <c r="F380" s="1">
        <f ca="1">IFERROR(__xludf.DUMMYFUNCTION("""COMPUTED_VALUE"""),70036)</f>
        <v>70036</v>
      </c>
      <c r="G380" s="1" t="str">
        <f ca="1">IFERROR(__xludf.DUMMYFUNCTION("""COMPUTED_VALUE"""),"13.0045/77.6674")</f>
        <v>13.0045/77.6674</v>
      </c>
      <c r="H380" s="1" t="str">
        <f ca="1">IFERROR(__xludf.DUMMYFUNCTION("""COMPUTED_VALUE"""),"Kottur")</f>
        <v>Kottur</v>
      </c>
      <c r="I380" s="1"/>
      <c r="J380" s="1" t="str">
        <f ca="1">IFERROR(__xludf.DUMMYFUNCTION("""COMPUTED_VALUE"""),"0d 00h 00m")</f>
        <v>0d 00h 00m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>
      <c r="A381" s="1">
        <f ca="1">IFERROR(__xludf.DUMMYFUNCTION("""COMPUTED_VALUE"""),82)</f>
        <v>82</v>
      </c>
      <c r="B381" s="1" t="str">
        <f ca="1">IFERROR(__xludf.DUMMYFUNCTION("""COMPUTED_VALUE"""),"E24_KA04C5159_JETTING")</f>
        <v>E24_KA04C5159_JETTING</v>
      </c>
      <c r="C381" s="1" t="str">
        <f ca="1">IFERROR(__xludf.DUMMYFUNCTION("""COMPUTED_VALUE"""),"e24_ka04c5159_jetting")</f>
        <v>e24_ka04c5159_jetting</v>
      </c>
      <c r="D381" s="2">
        <f ca="1">IFERROR(__xludf.DUMMYFUNCTION("""COMPUTED_VALUE"""),41640)</f>
        <v>41640</v>
      </c>
      <c r="E381" s="3">
        <f ca="1">IFERROR(__xludf.DUMMYFUNCTION("""COMPUTED_VALUE"""),0.683715277777082)</f>
        <v>0.68371527777708196</v>
      </c>
      <c r="F381" s="1">
        <f ca="1">IFERROR(__xludf.DUMMYFUNCTION("""COMPUTED_VALUE"""),70036)</f>
        <v>70036</v>
      </c>
      <c r="G381" s="1" t="str">
        <f ca="1">IFERROR(__xludf.DUMMYFUNCTION("""COMPUTED_VALUE"""),"13.0045/77.6674")</f>
        <v>13.0045/77.6674</v>
      </c>
      <c r="H381" s="1" t="str">
        <f ca="1">IFERROR(__xludf.DUMMYFUNCTION("""COMPUTED_VALUE"""),"KottÅ«r")</f>
        <v>KottÅ«r</v>
      </c>
      <c r="I381" s="1"/>
      <c r="J381" s="1" t="str">
        <f ca="1">IFERROR(__xludf.DUMMYFUNCTION("""COMPUTED_VALUE"""),"0d 00h 00m")</f>
        <v>0d 00h 00m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>
      <c r="A382" s="1">
        <f ca="1">IFERROR(__xludf.DUMMYFUNCTION("""COMPUTED_VALUE"""),96)</f>
        <v>96</v>
      </c>
      <c r="B382" s="1" t="str">
        <f ca="1">IFERROR(__xludf.DUMMYFUNCTION("""COMPUTED_VALUE"""),"E24_KA04D4157_JETTING")</f>
        <v>E24_KA04D4157_JETTING</v>
      </c>
      <c r="C382" s="1" t="str">
        <f ca="1">IFERROR(__xludf.DUMMYFUNCTION("""COMPUTED_VALUE"""),"e24_ka04d4157_jetting")</f>
        <v>e24_ka04d4157_jetting</v>
      </c>
      <c r="D382" s="2">
        <f ca="1">IFERROR(__xludf.DUMMYFUNCTION("""COMPUTED_VALUE"""),41640)</f>
        <v>41640</v>
      </c>
      <c r="E382" s="3">
        <f ca="1">IFERROR(__xludf.DUMMYFUNCTION("""COMPUTED_VALUE"""),0.773831018519558)</f>
        <v>0.77383101851955804</v>
      </c>
      <c r="F382" s="1">
        <f ca="1">IFERROR(__xludf.DUMMYFUNCTION("""COMPUTED_VALUE"""),55508)</f>
        <v>55508</v>
      </c>
      <c r="G382" s="1" t="str">
        <f ca="1">IFERROR(__xludf.DUMMYFUNCTION("""COMPUTED_VALUE"""),"13.0007/77.6650")</f>
        <v>13.0007/77.6650</v>
      </c>
      <c r="H382" s="1" t="str">
        <f ca="1">IFERROR(__xludf.DUMMYFUNCTION("""COMPUTED_VALUE"""),"Hotel Evoma")</f>
        <v>Hotel Evoma</v>
      </c>
      <c r="I382" s="1"/>
      <c r="J382" s="1" t="str">
        <f ca="1">IFERROR(__xludf.DUMMYFUNCTION("""COMPUTED_VALUE"""),"0d 00h 00m")</f>
        <v>0d 00h 00m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>
      <c r="A383" s="1">
        <f ca="1">IFERROR(__xludf.DUMMYFUNCTION("""COMPUTED_VALUE"""),96)</f>
        <v>96</v>
      </c>
      <c r="B383" s="1" t="str">
        <f ca="1">IFERROR(__xludf.DUMMYFUNCTION("""COMPUTED_VALUE"""),"E24_KA04D4157_JETTING")</f>
        <v>E24_KA04D4157_JETTING</v>
      </c>
      <c r="C383" s="1" t="str">
        <f ca="1">IFERROR(__xludf.DUMMYFUNCTION("""COMPUTED_VALUE"""),"e24_ka04d4157_jetting")</f>
        <v>e24_ka04d4157_jetting</v>
      </c>
      <c r="D383" s="2">
        <f ca="1">IFERROR(__xludf.DUMMYFUNCTION("""COMPUTED_VALUE"""),41640)</f>
        <v>41640</v>
      </c>
      <c r="E383" s="3">
        <f ca="1">IFERROR(__xludf.DUMMYFUNCTION("""COMPUTED_VALUE"""),0.773831018519558)</f>
        <v>0.77383101851955804</v>
      </c>
      <c r="F383" s="1">
        <f ca="1">IFERROR(__xludf.DUMMYFUNCTION("""COMPUTED_VALUE"""),55508)</f>
        <v>55508</v>
      </c>
      <c r="G383" s="1" t="str">
        <f ca="1">IFERROR(__xludf.DUMMYFUNCTION("""COMPUTED_VALUE"""),"13.0007/77.6650")</f>
        <v>13.0007/77.6650</v>
      </c>
      <c r="H383" s="1" t="str">
        <f ca="1">IFERROR(__xludf.DUMMYFUNCTION("""COMPUTED_VALUE"""),"Hotel Evoma")</f>
        <v>Hotel Evoma</v>
      </c>
      <c r="I383" s="1"/>
      <c r="J383" s="1" t="str">
        <f ca="1">IFERROR(__xludf.DUMMYFUNCTION("""COMPUTED_VALUE"""),"0d 00h 00m")</f>
        <v>0d 00h 00m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>
      <c r="A384" s="1">
        <f ca="1">IFERROR(__xludf.DUMMYFUNCTION("""COMPUTED_VALUE"""),93)</f>
        <v>93</v>
      </c>
      <c r="B384" s="1" t="str">
        <f ca="1">IFERROR(__xludf.DUMMYFUNCTION("""COMPUTED_VALUE"""),"E24_KA04D4157_JETTING")</f>
        <v>E24_KA04D4157_JETTING</v>
      </c>
      <c r="C384" s="1" t="str">
        <f ca="1">IFERROR(__xludf.DUMMYFUNCTION("""COMPUTED_VALUE"""),"e24_ka04d4157_jetting")</f>
        <v>e24_ka04d4157_jetting</v>
      </c>
      <c r="D384" s="2">
        <f ca="1">IFERROR(__xludf.DUMMYFUNCTION("""COMPUTED_VALUE"""),41640)</f>
        <v>41640</v>
      </c>
      <c r="E384" s="3">
        <f ca="1">IFERROR(__xludf.DUMMYFUNCTION("""COMPUTED_VALUE"""),0.773831018519558)</f>
        <v>0.77383101851955804</v>
      </c>
      <c r="F384" s="1">
        <f ca="1">IFERROR(__xludf.DUMMYFUNCTION("""COMPUTED_VALUE"""),55508)</f>
        <v>55508</v>
      </c>
      <c r="G384" s="1" t="str">
        <f ca="1">IFERROR(__xludf.DUMMYFUNCTION("""COMPUTED_VALUE"""),"13.0007/77.6650")</f>
        <v>13.0007/77.6650</v>
      </c>
      <c r="H384" s="1" t="str">
        <f ca="1">IFERROR(__xludf.DUMMYFUNCTION("""COMPUTED_VALUE"""),"Hotel Evoma")</f>
        <v>Hotel Evoma</v>
      </c>
      <c r="I384" s="1"/>
      <c r="J384" s="1" t="str">
        <f ca="1">IFERROR(__xludf.DUMMYFUNCTION("""COMPUTED_VALUE"""),"0d 00h 00m")</f>
        <v>0d 00h 00m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>
      <c r="A385" s="1">
        <f ca="1">IFERROR(__xludf.DUMMYFUNCTION("""COMPUTED_VALUE"""),93)</f>
        <v>93</v>
      </c>
      <c r="B385" s="1" t="str">
        <f ca="1">IFERROR(__xludf.DUMMYFUNCTION("""COMPUTED_VALUE"""),"E24_KA04D4157_JETTING")</f>
        <v>E24_KA04D4157_JETTING</v>
      </c>
      <c r="C385" s="1" t="str">
        <f ca="1">IFERROR(__xludf.DUMMYFUNCTION("""COMPUTED_VALUE"""),"e24_ka04d4157_jetting")</f>
        <v>e24_ka04d4157_jetting</v>
      </c>
      <c r="D385" s="2">
        <f ca="1">IFERROR(__xludf.DUMMYFUNCTION("""COMPUTED_VALUE"""),41640)</f>
        <v>41640</v>
      </c>
      <c r="E385" s="3">
        <f ca="1">IFERROR(__xludf.DUMMYFUNCTION("""COMPUTED_VALUE"""),0.773831018519558)</f>
        <v>0.77383101851955804</v>
      </c>
      <c r="F385" s="1">
        <f ca="1">IFERROR(__xludf.DUMMYFUNCTION("""COMPUTED_VALUE"""),55508)</f>
        <v>55508</v>
      </c>
      <c r="G385" s="1" t="str">
        <f ca="1">IFERROR(__xludf.DUMMYFUNCTION("""COMPUTED_VALUE"""),"13.0007/77.6650")</f>
        <v>13.0007/77.6650</v>
      </c>
      <c r="H385" s="1" t="str">
        <f ca="1">IFERROR(__xludf.DUMMYFUNCTION("""COMPUTED_VALUE"""),"Hotel Evoma")</f>
        <v>Hotel Evoma</v>
      </c>
      <c r="I385" s="1"/>
      <c r="J385" s="1" t="str">
        <f ca="1">IFERROR(__xludf.DUMMYFUNCTION("""COMPUTED_VALUE"""),"0d 00h 00m")</f>
        <v>0d 00h 00m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>
      <c r="A386" s="1">
        <f ca="1">IFERROR(__xludf.DUMMYFUNCTION("""COMPUTED_VALUE"""),93)</f>
        <v>93</v>
      </c>
      <c r="B386" s="1" t="str">
        <f ca="1">IFERROR(__xludf.DUMMYFUNCTION("""COMPUTED_VALUE"""),"E24_KA04D4157_JETTING")</f>
        <v>E24_KA04D4157_JETTING</v>
      </c>
      <c r="C386" s="1" t="str">
        <f ca="1">IFERROR(__xludf.DUMMYFUNCTION("""COMPUTED_VALUE"""),"e24_ka04d4157_jetting")</f>
        <v>e24_ka04d4157_jetting</v>
      </c>
      <c r="D386" s="2">
        <f ca="1">IFERROR(__xludf.DUMMYFUNCTION("""COMPUTED_VALUE"""),41640)</f>
        <v>41640</v>
      </c>
      <c r="E386" s="3">
        <f ca="1">IFERROR(__xludf.DUMMYFUNCTION("""COMPUTED_VALUE"""),0.773831018519558)</f>
        <v>0.77383101851955804</v>
      </c>
      <c r="F386" s="1">
        <f ca="1">IFERROR(__xludf.DUMMYFUNCTION("""COMPUTED_VALUE"""),55508)</f>
        <v>55508</v>
      </c>
      <c r="G386" s="1" t="str">
        <f ca="1">IFERROR(__xludf.DUMMYFUNCTION("""COMPUTED_VALUE"""),"13.0007/77.6650")</f>
        <v>13.0007/77.6650</v>
      </c>
      <c r="H386" s="1" t="str">
        <f ca="1">IFERROR(__xludf.DUMMYFUNCTION("""COMPUTED_VALUE"""),"Hotel Evoma")</f>
        <v>Hotel Evoma</v>
      </c>
      <c r="I386" s="1"/>
      <c r="J386" s="1" t="str">
        <f ca="1">IFERROR(__xludf.DUMMYFUNCTION("""COMPUTED_VALUE"""),"0d 00h 00m")</f>
        <v>0d 00h 00m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>
      <c r="A387" s="1">
        <f ca="1">IFERROR(__xludf.DUMMYFUNCTION("""COMPUTED_VALUE"""),93)</f>
        <v>93</v>
      </c>
      <c r="B387" s="1" t="str">
        <f ca="1">IFERROR(__xludf.DUMMYFUNCTION("""COMPUTED_VALUE"""),"E24_KA04D4157_JETTING")</f>
        <v>E24_KA04D4157_JETTING</v>
      </c>
      <c r="C387" s="1" t="str">
        <f ca="1">IFERROR(__xludf.DUMMYFUNCTION("""COMPUTED_VALUE"""),"e24_ka04d4157_jetting")</f>
        <v>e24_ka04d4157_jetting</v>
      </c>
      <c r="D387" s="2">
        <f ca="1">IFERROR(__xludf.DUMMYFUNCTION("""COMPUTED_VALUE"""),41640)</f>
        <v>41640</v>
      </c>
      <c r="E387" s="3">
        <f ca="1">IFERROR(__xludf.DUMMYFUNCTION("""COMPUTED_VALUE"""),0.773831018519558)</f>
        <v>0.77383101851955804</v>
      </c>
      <c r="F387" s="1">
        <f ca="1">IFERROR(__xludf.DUMMYFUNCTION("""COMPUTED_VALUE"""),55508)</f>
        <v>55508</v>
      </c>
      <c r="G387" s="1" t="str">
        <f ca="1">IFERROR(__xludf.DUMMYFUNCTION("""COMPUTED_VALUE"""),"13.0007/77.6650")</f>
        <v>13.0007/77.6650</v>
      </c>
      <c r="H387" s="1" t="str">
        <f ca="1">IFERROR(__xludf.DUMMYFUNCTION("""COMPUTED_VALUE"""),"Hotel Evoma")</f>
        <v>Hotel Evoma</v>
      </c>
      <c r="I387" s="1"/>
      <c r="J387" s="1" t="str">
        <f ca="1">IFERROR(__xludf.DUMMYFUNCTION("""COMPUTED_VALUE"""),"0d 00h 00m")</f>
        <v>0d 00h 00m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>
      <c r="A388" s="1">
        <f ca="1">IFERROR(__xludf.DUMMYFUNCTION("""COMPUTED_VALUE"""),93)</f>
        <v>93</v>
      </c>
      <c r="B388" s="1" t="str">
        <f ca="1">IFERROR(__xludf.DUMMYFUNCTION("""COMPUTED_VALUE"""),"E24_KA04D4157_JETTING")</f>
        <v>E24_KA04D4157_JETTING</v>
      </c>
      <c r="C388" s="1" t="str">
        <f ca="1">IFERROR(__xludf.DUMMYFUNCTION("""COMPUTED_VALUE"""),"e24_ka04d4157_jetting")</f>
        <v>e24_ka04d4157_jetting</v>
      </c>
      <c r="D388" s="2">
        <f ca="1">IFERROR(__xludf.DUMMYFUNCTION("""COMPUTED_VALUE"""),41640)</f>
        <v>41640</v>
      </c>
      <c r="E388" s="3">
        <f ca="1">IFERROR(__xludf.DUMMYFUNCTION("""COMPUTED_VALUE"""),0.773831018519558)</f>
        <v>0.77383101851955804</v>
      </c>
      <c r="F388" s="1">
        <f ca="1">IFERROR(__xludf.DUMMYFUNCTION("""COMPUTED_VALUE"""),55508)</f>
        <v>55508</v>
      </c>
      <c r="G388" s="1" t="str">
        <f ca="1">IFERROR(__xludf.DUMMYFUNCTION("""COMPUTED_VALUE"""),"13.0007/77.6650")</f>
        <v>13.0007/77.6650</v>
      </c>
      <c r="H388" s="1" t="str">
        <f ca="1">IFERROR(__xludf.DUMMYFUNCTION("""COMPUTED_VALUE"""),"Hotel Evoma")</f>
        <v>Hotel Evoma</v>
      </c>
      <c r="I388" s="1"/>
      <c r="J388" s="1" t="str">
        <f ca="1">IFERROR(__xludf.DUMMYFUNCTION("""COMPUTED_VALUE"""),"0d 00h 00m")</f>
        <v>0d 00h 00m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>
      <c r="A389" s="1">
        <f ca="1">IFERROR(__xludf.DUMMYFUNCTION("""COMPUTED_VALUE"""),75)</f>
        <v>75</v>
      </c>
      <c r="B389" s="1" t="str">
        <f ca="1">IFERROR(__xludf.DUMMYFUNCTION("""COMPUTED_VALUE"""),"E24_KA04D5127_TANKER")</f>
        <v>E24_KA04D5127_TANKER</v>
      </c>
      <c r="C389" s="1" t="str">
        <f ca="1">IFERROR(__xludf.DUMMYFUNCTION("""COMPUTED_VALUE"""),"e24_ka04d5127_tanker")</f>
        <v>e24_ka04d5127_tanker</v>
      </c>
      <c r="D389" s="2">
        <f ca="1">IFERROR(__xludf.DUMMYFUNCTION("""COMPUTED_VALUE"""),41640)</f>
        <v>41640</v>
      </c>
      <c r="E389" s="3">
        <f ca="1">IFERROR(__xludf.DUMMYFUNCTION("""COMPUTED_VALUE"""),0.645648148147302)</f>
        <v>0.64564814814730198</v>
      </c>
      <c r="F389" s="1">
        <f ca="1">IFERROR(__xludf.DUMMYFUNCTION("""COMPUTED_VALUE"""),24176)</f>
        <v>24176</v>
      </c>
      <c r="G389" s="1" t="str">
        <f ca="1">IFERROR(__xludf.DUMMYFUNCTION("""COMPUTED_VALUE"""),"13.0112/77.6673")</f>
        <v>13.0112/77.6673</v>
      </c>
      <c r="H389" s="1" t="str">
        <f ca="1">IFERROR(__xludf.DUMMYFUNCTION("""COMPUTED_VALUE"""),"Yerranapallya")</f>
        <v>Yerranapallya</v>
      </c>
      <c r="I389" s="1"/>
      <c r="J389" s="1" t="str">
        <f ca="1">IFERROR(__xludf.DUMMYFUNCTION("""COMPUTED_VALUE"""),"0d 00h 27m")</f>
        <v>0d 00h 27m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>
      <c r="A390" s="1">
        <f ca="1">IFERROR(__xludf.DUMMYFUNCTION("""COMPUTED_VALUE"""),75)</f>
        <v>75</v>
      </c>
      <c r="B390" s="1" t="str">
        <f ca="1">IFERROR(__xludf.DUMMYFUNCTION("""COMPUTED_VALUE"""),"E24_KA04D5127_TANKER")</f>
        <v>E24_KA04D5127_TANKER</v>
      </c>
      <c r="C390" s="1" t="str">
        <f ca="1">IFERROR(__xludf.DUMMYFUNCTION("""COMPUTED_VALUE"""),"e24_ka04d5127_tanker")</f>
        <v>e24_ka04d5127_tanker</v>
      </c>
      <c r="D390" s="2">
        <f ca="1">IFERROR(__xludf.DUMMYFUNCTION("""COMPUTED_VALUE"""),41640)</f>
        <v>41640</v>
      </c>
      <c r="E390" s="3">
        <f ca="1">IFERROR(__xludf.DUMMYFUNCTION("""COMPUTED_VALUE"""),0.645648148147302)</f>
        <v>0.64564814814730198</v>
      </c>
      <c r="F390" s="1">
        <f ca="1">IFERROR(__xludf.DUMMYFUNCTION("""COMPUTED_VALUE"""),24176)</f>
        <v>24176</v>
      </c>
      <c r="G390" s="1" t="str">
        <f ca="1">IFERROR(__xludf.DUMMYFUNCTION("""COMPUTED_VALUE"""),"13.0112/77.6673")</f>
        <v>13.0112/77.6673</v>
      </c>
      <c r="H390" s="1" t="str">
        <f ca="1">IFERROR(__xludf.DUMMYFUNCTION("""COMPUTED_VALUE"""),"Yerranapallya")</f>
        <v>Yerranapallya</v>
      </c>
      <c r="I390" s="1"/>
      <c r="J390" s="1" t="str">
        <f ca="1">IFERROR(__xludf.DUMMYFUNCTION("""COMPUTED_VALUE"""),"0d 00h 28m")</f>
        <v>0d 00h 28m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>
      <c r="A391" s="1">
        <f ca="1">IFERROR(__xludf.DUMMYFUNCTION("""COMPUTED_VALUE"""),73)</f>
        <v>73</v>
      </c>
      <c r="B391" s="1" t="str">
        <f ca="1">IFERROR(__xludf.DUMMYFUNCTION("""COMPUTED_VALUE"""),"E24_KA04D5127_TANKER")</f>
        <v>E24_KA04D5127_TANKER</v>
      </c>
      <c r="C391" s="1" t="str">
        <f ca="1">IFERROR(__xludf.DUMMYFUNCTION("""COMPUTED_VALUE"""),"e24_ka04d5127_tanker")</f>
        <v>e24_ka04d5127_tanker</v>
      </c>
      <c r="D391" s="2">
        <f ca="1">IFERROR(__xludf.DUMMYFUNCTION("""COMPUTED_VALUE"""),41640)</f>
        <v>41640</v>
      </c>
      <c r="E391" s="3">
        <f ca="1">IFERROR(__xludf.DUMMYFUNCTION("""COMPUTED_VALUE"""),0.645648148147302)</f>
        <v>0.64564814814730198</v>
      </c>
      <c r="F391" s="1">
        <f ca="1">IFERROR(__xludf.DUMMYFUNCTION("""COMPUTED_VALUE"""),24176)</f>
        <v>24176</v>
      </c>
      <c r="G391" s="1" t="str">
        <f ca="1">IFERROR(__xludf.DUMMYFUNCTION("""COMPUTED_VALUE"""),"13.0112/77.6673")</f>
        <v>13.0112/77.6673</v>
      </c>
      <c r="H391" s="1" t="str">
        <f ca="1">IFERROR(__xludf.DUMMYFUNCTION("""COMPUTED_VALUE"""),"Yerranapallya")</f>
        <v>Yerranapallya</v>
      </c>
      <c r="I391" s="1"/>
      <c r="J391" s="1" t="str">
        <f ca="1">IFERROR(__xludf.DUMMYFUNCTION("""COMPUTED_VALUE"""),"0d 00h 31m")</f>
        <v>0d 00h 31m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>
      <c r="A392" s="1">
        <f ca="1">IFERROR(__xludf.DUMMYFUNCTION("""COMPUTED_VALUE"""),73)</f>
        <v>73</v>
      </c>
      <c r="B392" s="1" t="str">
        <f ca="1">IFERROR(__xludf.DUMMYFUNCTION("""COMPUTED_VALUE"""),"E24_KA04D5127_TANKER")</f>
        <v>E24_KA04D5127_TANKER</v>
      </c>
      <c r="C392" s="1" t="str">
        <f ca="1">IFERROR(__xludf.DUMMYFUNCTION("""COMPUTED_VALUE"""),"e24_ka04d5127_tanker")</f>
        <v>e24_ka04d5127_tanker</v>
      </c>
      <c r="D392" s="2">
        <f ca="1">IFERROR(__xludf.DUMMYFUNCTION("""COMPUTED_VALUE"""),41640)</f>
        <v>41640</v>
      </c>
      <c r="E392" s="3">
        <f ca="1">IFERROR(__xludf.DUMMYFUNCTION("""COMPUTED_VALUE"""),0.645648148147302)</f>
        <v>0.64564814814730198</v>
      </c>
      <c r="F392" s="1">
        <f ca="1">IFERROR(__xludf.DUMMYFUNCTION("""COMPUTED_VALUE"""),24176)</f>
        <v>24176</v>
      </c>
      <c r="G392" s="1" t="str">
        <f ca="1">IFERROR(__xludf.DUMMYFUNCTION("""COMPUTED_VALUE"""),"13.0112/77.6673")</f>
        <v>13.0112/77.6673</v>
      </c>
      <c r="H392" s="1" t="str">
        <f ca="1">IFERROR(__xludf.DUMMYFUNCTION("""COMPUTED_VALUE"""),"Yerranapallya")</f>
        <v>Yerranapallya</v>
      </c>
      <c r="I392" s="1"/>
      <c r="J392" s="1" t="str">
        <f ca="1">IFERROR(__xludf.DUMMYFUNCTION("""COMPUTED_VALUE"""),"0d 00h 32m")</f>
        <v>0d 00h 32m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>
      <c r="A393" s="1">
        <f ca="1">IFERROR(__xludf.DUMMYFUNCTION("""COMPUTED_VALUE"""),73)</f>
        <v>73</v>
      </c>
      <c r="B393" s="1" t="str">
        <f ca="1">IFERROR(__xludf.DUMMYFUNCTION("""COMPUTED_VALUE"""),"E24_KA04D5127_TANKER")</f>
        <v>E24_KA04D5127_TANKER</v>
      </c>
      <c r="C393" s="1" t="str">
        <f ca="1">IFERROR(__xludf.DUMMYFUNCTION("""COMPUTED_VALUE"""),"e24_ka04d5127_tanker")</f>
        <v>e24_ka04d5127_tanker</v>
      </c>
      <c r="D393" s="2">
        <f ca="1">IFERROR(__xludf.DUMMYFUNCTION("""COMPUTED_VALUE"""),41640)</f>
        <v>41640</v>
      </c>
      <c r="E393" s="3">
        <f ca="1">IFERROR(__xludf.DUMMYFUNCTION("""COMPUTED_VALUE"""),0.645648148147302)</f>
        <v>0.64564814814730198</v>
      </c>
      <c r="F393" s="1">
        <f ca="1">IFERROR(__xludf.DUMMYFUNCTION("""COMPUTED_VALUE"""),24176)</f>
        <v>24176</v>
      </c>
      <c r="G393" s="1" t="str">
        <f ca="1">IFERROR(__xludf.DUMMYFUNCTION("""COMPUTED_VALUE"""),"13.0112/77.6673")</f>
        <v>13.0112/77.6673</v>
      </c>
      <c r="H393" s="1" t="str">
        <f ca="1">IFERROR(__xludf.DUMMYFUNCTION("""COMPUTED_VALUE"""),"Yerranapallya")</f>
        <v>Yerranapallya</v>
      </c>
      <c r="I393" s="1"/>
      <c r="J393" s="1" t="str">
        <f ca="1">IFERROR(__xludf.DUMMYFUNCTION("""COMPUTED_VALUE"""),"0d 00h 33m")</f>
        <v>0d 00h 33m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>
      <c r="A394" s="1">
        <f ca="1">IFERROR(__xludf.DUMMYFUNCTION("""COMPUTED_VALUE"""),73)</f>
        <v>73</v>
      </c>
      <c r="B394" s="1" t="str">
        <f ca="1">IFERROR(__xludf.DUMMYFUNCTION("""COMPUTED_VALUE"""),"E24_KA04D5127_TANKER")</f>
        <v>E24_KA04D5127_TANKER</v>
      </c>
      <c r="C394" s="1" t="str">
        <f ca="1">IFERROR(__xludf.DUMMYFUNCTION("""COMPUTED_VALUE"""),"e24_ka04d5127_tanker")</f>
        <v>e24_ka04d5127_tanker</v>
      </c>
      <c r="D394" s="2">
        <f ca="1">IFERROR(__xludf.DUMMYFUNCTION("""COMPUTED_VALUE"""),41640)</f>
        <v>41640</v>
      </c>
      <c r="E394" s="3">
        <f ca="1">IFERROR(__xludf.DUMMYFUNCTION("""COMPUTED_VALUE"""),0.645648148147302)</f>
        <v>0.64564814814730198</v>
      </c>
      <c r="F394" s="1">
        <f ca="1">IFERROR(__xludf.DUMMYFUNCTION("""COMPUTED_VALUE"""),24176)</f>
        <v>24176</v>
      </c>
      <c r="G394" s="1" t="str">
        <f ca="1">IFERROR(__xludf.DUMMYFUNCTION("""COMPUTED_VALUE"""),"13.0112/77.6673")</f>
        <v>13.0112/77.6673</v>
      </c>
      <c r="H394" s="1" t="str">
        <f ca="1">IFERROR(__xludf.DUMMYFUNCTION("""COMPUTED_VALUE"""),"Yerranapallya")</f>
        <v>Yerranapallya</v>
      </c>
      <c r="I394" s="1"/>
      <c r="J394" s="1" t="str">
        <f ca="1">IFERROR(__xludf.DUMMYFUNCTION("""COMPUTED_VALUE"""),"0d 00h 34m")</f>
        <v>0d 00h 34m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>
      <c r="A395" s="1">
        <f ca="1">IFERROR(__xludf.DUMMYFUNCTION("""COMPUTED_VALUE"""),73)</f>
        <v>73</v>
      </c>
      <c r="B395" s="1" t="str">
        <f ca="1">IFERROR(__xludf.DUMMYFUNCTION("""COMPUTED_VALUE"""),"E24_KA04D5127_TANKER")</f>
        <v>E24_KA04D5127_TANKER</v>
      </c>
      <c r="C395" s="1" t="str">
        <f ca="1">IFERROR(__xludf.DUMMYFUNCTION("""COMPUTED_VALUE"""),"e24_ka04d5127_tanker")</f>
        <v>e24_ka04d5127_tanker</v>
      </c>
      <c r="D395" s="2">
        <f ca="1">IFERROR(__xludf.DUMMYFUNCTION("""COMPUTED_VALUE"""),41640)</f>
        <v>41640</v>
      </c>
      <c r="E395" s="3">
        <f ca="1">IFERROR(__xludf.DUMMYFUNCTION("""COMPUTED_VALUE"""),0.645648148147302)</f>
        <v>0.64564814814730198</v>
      </c>
      <c r="F395" s="1">
        <f ca="1">IFERROR(__xludf.DUMMYFUNCTION("""COMPUTED_VALUE"""),24176)</f>
        <v>24176</v>
      </c>
      <c r="G395" s="1" t="str">
        <f ca="1">IFERROR(__xludf.DUMMYFUNCTION("""COMPUTED_VALUE"""),"13.0112/77.6673")</f>
        <v>13.0112/77.6673</v>
      </c>
      <c r="H395" s="1" t="str">
        <f ca="1">IFERROR(__xludf.DUMMYFUNCTION("""COMPUTED_VALUE"""),"YerranapÄlya")</f>
        <v>YerranapÄlya</v>
      </c>
      <c r="I395" s="1"/>
      <c r="J395" s="1" t="str">
        <f ca="1">IFERROR(__xludf.DUMMYFUNCTION("""COMPUTED_VALUE"""),"0d 00h 35m")</f>
        <v>0d 00h 35m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>
      <c r="A396" s="1">
        <f ca="1">IFERROR(__xludf.DUMMYFUNCTION("""COMPUTED_VALUE"""),219)</f>
        <v>219</v>
      </c>
      <c r="B396" s="1" t="str">
        <f ca="1">IFERROR(__xludf.DUMMYFUNCTION("""COMPUTED_VALUE"""),"E2_KA04AA9023_Desilting")</f>
        <v>E2_KA04AA9023_Desilting</v>
      </c>
      <c r="C396" s="1" t="str">
        <f ca="1">IFERROR(__xludf.DUMMYFUNCTION("""COMPUTED_VALUE"""),"e2_ka04aa9023_desilting")</f>
        <v>e2_ka04aa9023_desilting</v>
      </c>
      <c r="D396" s="2">
        <f ca="1">IFERROR(__xludf.DUMMYFUNCTION("""COMPUTED_VALUE"""),44707)</f>
        <v>44707</v>
      </c>
      <c r="E396" s="3">
        <f ca="1">IFERROR(__xludf.DUMMYFUNCTION("""COMPUTED_VALUE"""),0.999259259260725)</f>
        <v>0.99925925926072501</v>
      </c>
      <c r="F396" s="1">
        <f ca="1">IFERROR(__xludf.DUMMYFUNCTION("""COMPUTED_VALUE"""),12409)</f>
        <v>12409</v>
      </c>
      <c r="G396" s="1" t="str">
        <f ca="1">IFERROR(__xludf.DUMMYFUNCTION("""COMPUTED_VALUE"""),"12.9771/77.7114")</f>
        <v>12.9771/77.7114</v>
      </c>
      <c r="H396" s="1" t="str">
        <f ca="1">IFERROR(__xludf.DUMMYFUNCTION("""COMPUTED_VALUE"""),"Radha Hometel")</f>
        <v>Radha Hometel</v>
      </c>
      <c r="I396" s="1"/>
      <c r="J396" s="1" t="str">
        <f ca="1">IFERROR(__xludf.DUMMYFUNCTION("""COMPUTED_VALUE"""),"5d 06h 39m")</f>
        <v>5d 06h 39m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>
      <c r="A397" s="1">
        <f ca="1">IFERROR(__xludf.DUMMYFUNCTION("""COMPUTED_VALUE"""),219)</f>
        <v>219</v>
      </c>
      <c r="B397" s="1" t="str">
        <f ca="1">IFERROR(__xludf.DUMMYFUNCTION("""COMPUTED_VALUE"""),"E2_KA04AA9023_Desilting")</f>
        <v>E2_KA04AA9023_Desilting</v>
      </c>
      <c r="C397" s="1" t="str">
        <f ca="1">IFERROR(__xludf.DUMMYFUNCTION("""COMPUTED_VALUE"""),"e2_ka04aa9023_desilting")</f>
        <v>e2_ka04aa9023_desilting</v>
      </c>
      <c r="D397" s="2">
        <f ca="1">IFERROR(__xludf.DUMMYFUNCTION("""COMPUTED_VALUE"""),44738)</f>
        <v>44738</v>
      </c>
      <c r="E397" s="3">
        <f ca="1">IFERROR(__xludf.DUMMYFUNCTION("""COMPUTED_VALUE"""),0.999236111110803)</f>
        <v>0.99923611111080302</v>
      </c>
      <c r="F397" s="1">
        <f ca="1">IFERROR(__xludf.DUMMYFUNCTION("""COMPUTED_VALUE"""),13276)</f>
        <v>13276</v>
      </c>
      <c r="G397" s="1" t="str">
        <f ca="1">IFERROR(__xludf.DUMMYFUNCTION("""COMPUTED_VALUE"""),"12.9770/77.7114")</f>
        <v>12.9770/77.7114</v>
      </c>
      <c r="H397" s="1" t="str">
        <f ca="1">IFERROR(__xludf.DUMMYFUNCTION("""COMPUTED_VALUE"""),"Radha Hometel")</f>
        <v>Radha Hometel</v>
      </c>
      <c r="I397" s="1"/>
      <c r="J397" s="1" t="str">
        <f ca="1">IFERROR(__xludf.DUMMYFUNCTION("""COMPUTED_VALUE"""),"5d 06h 40m")</f>
        <v>5d 06h 40m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>
      <c r="A398" s="1">
        <f ca="1">IFERROR(__xludf.DUMMYFUNCTION("""COMPUTED_VALUE"""),167)</f>
        <v>167</v>
      </c>
      <c r="B398" s="1" t="str">
        <f ca="1">IFERROR(__xludf.DUMMYFUNCTION("""COMPUTED_VALUE"""),"E2_KA04AA9023_Desilting")</f>
        <v>E2_KA04AA9023_Desilting</v>
      </c>
      <c r="C398" s="1" t="str">
        <f ca="1">IFERROR(__xludf.DUMMYFUNCTION("""COMPUTED_VALUE"""),"e2_ka04aa9023_desilting")</f>
        <v>e2_ka04aa9023_desilting</v>
      </c>
      <c r="D398" s="2">
        <f ca="1">IFERROR(__xludf.DUMMYFUNCTION("""COMPUTED_VALUE"""),44768)</f>
        <v>44768</v>
      </c>
      <c r="E398" s="3">
        <f ca="1">IFERROR(__xludf.DUMMYFUNCTION("""COMPUTED_VALUE"""),0.998981481479859)</f>
        <v>0.99898148147985899</v>
      </c>
      <c r="F398" s="1">
        <f ca="1">IFERROR(__xludf.DUMMYFUNCTION("""COMPUTED_VALUE"""),14241)</f>
        <v>14241</v>
      </c>
      <c r="G398" s="1" t="str">
        <f ca="1">IFERROR(__xludf.DUMMYFUNCTION("""COMPUTED_VALUE"""),"12.9770/77.7114")</f>
        <v>12.9770/77.7114</v>
      </c>
      <c r="H398" s="1" t="str">
        <f ca="1">IFERROR(__xludf.DUMMYFUNCTION("""COMPUTED_VALUE"""),"Radha Hometel")</f>
        <v>Radha Hometel</v>
      </c>
      <c r="I398" s="1"/>
      <c r="J398" s="1" t="str">
        <f ca="1">IFERROR(__xludf.DUMMYFUNCTION("""COMPUTED_VALUE"""),"5d 06h 41m")</f>
        <v>5d 06h 41m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>
      <c r="A399" s="1">
        <f ca="1">IFERROR(__xludf.DUMMYFUNCTION("""COMPUTED_VALUE"""),186)</f>
        <v>186</v>
      </c>
      <c r="B399" s="1" t="str">
        <f ca="1">IFERROR(__xludf.DUMMYFUNCTION("""COMPUTED_VALUE"""),"E2_KA04AA9023_Desilting")</f>
        <v>E2_KA04AA9023_Desilting</v>
      </c>
      <c r="C399" s="1" t="str">
        <f ca="1">IFERROR(__xludf.DUMMYFUNCTION("""COMPUTED_VALUE"""),"e2_ka04aa9023_desilting")</f>
        <v>e2_ka04aa9023_desilting</v>
      </c>
      <c r="D399" s="2">
        <f ca="1">IFERROR(__xludf.DUMMYFUNCTION("""COMPUTED_VALUE"""),44799)</f>
        <v>44799</v>
      </c>
      <c r="E399" s="3">
        <f ca="1">IFERROR(__xludf.DUMMYFUNCTION("""COMPUTED_VALUE"""),0.999050925925985)</f>
        <v>0.99905092592598499</v>
      </c>
      <c r="F399" s="1">
        <f ca="1">IFERROR(__xludf.DUMMYFUNCTION("""COMPUTED_VALUE"""),15182)</f>
        <v>15182</v>
      </c>
      <c r="G399" s="1" t="str">
        <f ca="1">IFERROR(__xludf.DUMMYFUNCTION("""COMPUTED_VALUE"""),"12.9770/77.7115")</f>
        <v>12.9770/77.7115</v>
      </c>
      <c r="H399" s="1" t="str">
        <f ca="1">IFERROR(__xludf.DUMMYFUNCTION("""COMPUTED_VALUE"""),"Radha Hometel")</f>
        <v>Radha Hometel</v>
      </c>
      <c r="I399" s="1"/>
      <c r="J399" s="1" t="str">
        <f ca="1">IFERROR(__xludf.DUMMYFUNCTION("""COMPUTED_VALUE"""),"5d 06h 41m")</f>
        <v>5d 06h 41m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>
      <c r="A400" s="1">
        <f ca="1">IFERROR(__xludf.DUMMYFUNCTION("""COMPUTED_VALUE"""),137)</f>
        <v>137</v>
      </c>
      <c r="B400" s="1" t="str">
        <f ca="1">IFERROR(__xludf.DUMMYFUNCTION("""COMPUTED_VALUE"""),"E2_KA04AA9023_Desilting")</f>
        <v>E2_KA04AA9023_Desilting</v>
      </c>
      <c r="C400" s="1" t="str">
        <f ca="1">IFERROR(__xludf.DUMMYFUNCTION("""COMPUTED_VALUE"""),"e2_ka04aa9023_desilting")</f>
        <v>e2_ka04aa9023_desilting</v>
      </c>
      <c r="D400" s="2">
        <f ca="1">IFERROR(__xludf.DUMMYFUNCTION("""COMPUTED_VALUE"""),44829)</f>
        <v>44829</v>
      </c>
      <c r="E400" s="3">
        <f ca="1">IFERROR(__xludf.DUMMYFUNCTION("""COMPUTED_VALUE"""),0.576273148148175)</f>
        <v>0.57627314814817499</v>
      </c>
      <c r="F400" s="1">
        <f ca="1">IFERROR(__xludf.DUMMYFUNCTION("""COMPUTED_VALUE"""),16817)</f>
        <v>16817</v>
      </c>
      <c r="G400" s="1" t="str">
        <f ca="1">IFERROR(__xludf.DUMMYFUNCTION("""COMPUTED_VALUE"""),"13.0040/77.7210")</f>
        <v>13.0040/77.7210</v>
      </c>
      <c r="H400" s="1" t="str">
        <f ca="1">IFERROR(__xludf.DUMMYFUNCTION("""COMPUTED_VALUE"""),"Kodagihalli")</f>
        <v>Kodagihalli</v>
      </c>
      <c r="I400" s="1"/>
      <c r="J400" s="1" t="str">
        <f ca="1">IFERROR(__xludf.DUMMYFUNCTION("""COMPUTED_VALUE"""),"5d 06h 42m")</f>
        <v>5d 06h 42m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>
      <c r="A401" s="1">
        <f ca="1">IFERROR(__xludf.DUMMYFUNCTION("""COMPUTED_VALUE"""),76)</f>
        <v>76</v>
      </c>
      <c r="B401" s="1" t="str">
        <f ca="1">IFERROR(__xludf.DUMMYFUNCTION("""COMPUTED_VALUE"""),"E2_KA04AA9023_Desilting")</f>
        <v>E2_KA04AA9023_Desilting</v>
      </c>
      <c r="C401" s="1" t="str">
        <f ca="1">IFERROR(__xludf.DUMMYFUNCTION("""COMPUTED_VALUE"""),"e2_ka04aa9023_desilting")</f>
        <v>e2_ka04aa9023_desilting</v>
      </c>
      <c r="D401" s="2">
        <f ca="1">IFERROR(__xludf.DUMMYFUNCTION("""COMPUTED_VALUE"""),44836)</f>
        <v>44836</v>
      </c>
      <c r="E401" s="3">
        <f ca="1">IFERROR(__xludf.DUMMYFUNCTION("""COMPUTED_VALUE"""),0.990844907406426)</f>
        <v>0.99084490740642595</v>
      </c>
      <c r="F401" s="1">
        <f ca="1">IFERROR(__xludf.DUMMYFUNCTION("""COMPUTED_VALUE"""),17206)</f>
        <v>17206</v>
      </c>
      <c r="G401" s="1" t="str">
        <f ca="1">IFERROR(__xludf.DUMMYFUNCTION("""COMPUTED_VALUE"""),"12.9774/77.7115")</f>
        <v>12.9774/77.7115</v>
      </c>
      <c r="H401" s="1" t="str">
        <f ca="1">IFERROR(__xludf.DUMMYFUNCTION("""COMPUTED_VALUE"""),"Radha Hometel")</f>
        <v>Radha Hometel</v>
      </c>
      <c r="I401" s="1"/>
      <c r="J401" s="1" t="str">
        <f ca="1">IFERROR(__xludf.DUMMYFUNCTION("""COMPUTED_VALUE"""),"5d 06h 43m")</f>
        <v>5d 06h 43m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>
      <c r="A402" s="1">
        <f ca="1">IFERROR(__xludf.DUMMYFUNCTION("""COMPUTED_VALUE"""),141)</f>
        <v>141</v>
      </c>
      <c r="B402" s="1" t="str">
        <f ca="1">IFERROR(__xludf.DUMMYFUNCTION("""COMPUTED_VALUE"""),"E2_KA04AB6020_Jetting")</f>
        <v>E2_KA04AB6020_Jetting</v>
      </c>
      <c r="C402" s="1" t="str">
        <f ca="1">IFERROR(__xludf.DUMMYFUNCTION("""COMPUTED_VALUE"""),"e2_ka04ab6020_jetting")</f>
        <v>e2_ka04ab6020_jetting</v>
      </c>
      <c r="D402" s="2">
        <f ca="1">IFERROR(__xludf.DUMMYFUNCTION("""COMPUTED_VALUE"""),44707)</f>
        <v>44707</v>
      </c>
      <c r="E402" s="3">
        <f ca="1">IFERROR(__xludf.DUMMYFUNCTION("""COMPUTED_VALUE"""),0.805567129627888)</f>
        <v>0.80556712962788801</v>
      </c>
      <c r="F402" s="1">
        <f ca="1">IFERROR(__xludf.DUMMYFUNCTION("""COMPUTED_VALUE"""),25165)</f>
        <v>25165</v>
      </c>
      <c r="G402" s="1" t="str">
        <f ca="1">IFERROR(__xludf.DUMMYFUNCTION("""COMPUTED_VALUE"""),"12.9602/77.7189")</f>
        <v>12.9602/77.7189</v>
      </c>
      <c r="H402" s="1" t="str">
        <f ca="1">IFERROR(__xludf.DUMMYFUNCTION("""COMPUTED_VALUE"""),"Radha Hometel Bengaluru")</f>
        <v>Radha Hometel Bengaluru</v>
      </c>
      <c r="I402" s="1"/>
      <c r="J402" s="1" t="str">
        <f ca="1">IFERROR(__xludf.DUMMYFUNCTION("""COMPUTED_VALUE"""),"0d 00h 00m")</f>
        <v>0d 00h 00m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>
      <c r="A403" s="1">
        <f ca="1">IFERROR(__xludf.DUMMYFUNCTION("""COMPUTED_VALUE"""),141)</f>
        <v>141</v>
      </c>
      <c r="B403" s="1" t="str">
        <f ca="1">IFERROR(__xludf.DUMMYFUNCTION("""COMPUTED_VALUE"""),"E2_KA04AB6020_Jetting")</f>
        <v>E2_KA04AB6020_Jetting</v>
      </c>
      <c r="C403" s="1" t="str">
        <f ca="1">IFERROR(__xludf.DUMMYFUNCTION("""COMPUTED_VALUE"""),"e2_ka04ab6020_jetting")</f>
        <v>e2_ka04ab6020_jetting</v>
      </c>
      <c r="D403" s="2">
        <f ca="1">IFERROR(__xludf.DUMMYFUNCTION("""COMPUTED_VALUE"""),44738)</f>
        <v>44738</v>
      </c>
      <c r="E403" s="3">
        <f ca="1">IFERROR(__xludf.DUMMYFUNCTION("""COMPUTED_VALUE"""),0.0607754629636474)</f>
        <v>6.07754629636474E-2</v>
      </c>
      <c r="F403" s="1">
        <f ca="1">IFERROR(__xludf.DUMMYFUNCTION("""COMPUTED_VALUE"""),25186)</f>
        <v>25186</v>
      </c>
      <c r="G403" s="1"/>
      <c r="H403" s="1"/>
      <c r="I403" s="1"/>
      <c r="J403" s="1" t="str">
        <f ca="1">IFERROR(__xludf.DUMMYFUNCTION("""COMPUTED_VALUE"""),"0d 00h 00m")</f>
        <v>0d 00h 00m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>
      <c r="A404" s="1">
        <f ca="1">IFERROR(__xludf.DUMMYFUNCTION("""COMPUTED_VALUE"""),84)</f>
        <v>84</v>
      </c>
      <c r="B404" s="1" t="str">
        <f ca="1">IFERROR(__xludf.DUMMYFUNCTION("""COMPUTED_VALUE"""),"E2_KA04AB6020_Jetting")</f>
        <v>E2_KA04AB6020_Jetting</v>
      </c>
      <c r="C404" s="1" t="str">
        <f ca="1">IFERROR(__xludf.DUMMYFUNCTION("""COMPUTED_VALUE"""),"e2_ka04ab6020_jetting")</f>
        <v>e2_ka04ab6020_jetting</v>
      </c>
      <c r="D404" s="2">
        <f ca="1">IFERROR(__xludf.DUMMYFUNCTION("""COMPUTED_VALUE"""),44750)</f>
        <v>44750</v>
      </c>
      <c r="E404" s="3">
        <f ca="1">IFERROR(__xludf.DUMMYFUNCTION("""COMPUTED_VALUE"""),0.959351851852261)</f>
        <v>0.95935185185226102</v>
      </c>
      <c r="F404" s="1">
        <f ca="1">IFERROR(__xludf.DUMMYFUNCTION("""COMPUTED_VALUE"""),25186)</f>
        <v>25186</v>
      </c>
      <c r="G404" s="1"/>
      <c r="H404" s="1"/>
      <c r="I404" s="1"/>
      <c r="J404" s="1" t="str">
        <f ca="1">IFERROR(__xludf.DUMMYFUNCTION("""COMPUTED_VALUE"""),"0d 00h 00m")</f>
        <v>0d 00h 00m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>
      <c r="A405" s="1">
        <f ca="1">IFERROR(__xludf.DUMMYFUNCTION("""COMPUTED_VALUE"""),144)</f>
        <v>144</v>
      </c>
      <c r="B405" s="1" t="str">
        <f ca="1">IFERROR(__xludf.DUMMYFUNCTION("""COMPUTED_VALUE"""),"E2_KA04AB6020_Jetting")</f>
        <v>E2_KA04AB6020_Jetting</v>
      </c>
      <c r="C405" s="1" t="str">
        <f ca="1">IFERROR(__xludf.DUMMYFUNCTION("""COMPUTED_VALUE"""),"e2_ka04ab6020_jetting")</f>
        <v>e2_ka04ab6020_jetting</v>
      </c>
      <c r="D405" s="2">
        <f ca="1">IFERROR(__xludf.DUMMYFUNCTION("""COMPUTED_VALUE"""),44799)</f>
        <v>44799</v>
      </c>
      <c r="E405" s="3">
        <f ca="1">IFERROR(__xludf.DUMMYFUNCTION("""COMPUTED_VALUE"""),0.360081018519849)</f>
        <v>0.36008101851984903</v>
      </c>
      <c r="F405" s="1">
        <f ca="1">IFERROR(__xludf.DUMMYFUNCTION("""COMPUTED_VALUE"""),25187)</f>
        <v>25187</v>
      </c>
      <c r="G405" s="1" t="str">
        <f ca="1">IFERROR(__xludf.DUMMYFUNCTION("""COMPUTED_VALUE"""),"12.9602/77.7188")</f>
        <v>12.9602/77.7188</v>
      </c>
      <c r="H405" s="1" t="str">
        <f ca="1">IFERROR(__xludf.DUMMYFUNCTION("""COMPUTED_VALUE"""),"Radha Hometel Bengaluru")</f>
        <v>Radha Hometel Bengaluru</v>
      </c>
      <c r="I405" s="1"/>
      <c r="J405" s="1" t="str">
        <f ca="1">IFERROR(__xludf.DUMMYFUNCTION("""COMPUTED_VALUE"""),"0d 00h 00m")</f>
        <v>0d 00h 00m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>
      <c r="A406" s="1">
        <f ca="1">IFERROR(__xludf.DUMMYFUNCTION("""COMPUTED_VALUE"""),82)</f>
        <v>82</v>
      </c>
      <c r="B406" s="1" t="str">
        <f ca="1">IFERROR(__xludf.DUMMYFUNCTION("""COMPUTED_VALUE"""),"E2_KA04AB6020_Jetting")</f>
        <v>E2_KA04AB6020_Jetting</v>
      </c>
      <c r="C406" s="1" t="str">
        <f ca="1">IFERROR(__xludf.DUMMYFUNCTION("""COMPUTED_VALUE"""),"e2_ka04ab6020_jetting")</f>
        <v>e2_ka04ab6020_jetting</v>
      </c>
      <c r="D406" s="2">
        <f ca="1">IFERROR(__xludf.DUMMYFUNCTION("""COMPUTED_VALUE"""),44799)</f>
        <v>44799</v>
      </c>
      <c r="E406" s="3">
        <f ca="1">IFERROR(__xludf.DUMMYFUNCTION("""COMPUTED_VALUE"""),0.360081018519849)</f>
        <v>0.36008101851984903</v>
      </c>
      <c r="F406" s="1">
        <f ca="1">IFERROR(__xludf.DUMMYFUNCTION("""COMPUTED_VALUE"""),25187)</f>
        <v>25187</v>
      </c>
      <c r="G406" s="1" t="str">
        <f ca="1">IFERROR(__xludf.DUMMYFUNCTION("""COMPUTED_VALUE"""),"12.9602/77.7188")</f>
        <v>12.9602/77.7188</v>
      </c>
      <c r="H406" s="1" t="str">
        <f ca="1">IFERROR(__xludf.DUMMYFUNCTION("""COMPUTED_VALUE"""),"Radha Hometel Bengaluru")</f>
        <v>Radha Hometel Bengaluru</v>
      </c>
      <c r="I406" s="1"/>
      <c r="J406" s="1" t="str">
        <f ca="1">IFERROR(__xludf.DUMMYFUNCTION("""COMPUTED_VALUE"""),"0d 00h 00m")</f>
        <v>0d 00h 00m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>
      <c r="A407" s="1">
        <f ca="1">IFERROR(__xludf.DUMMYFUNCTION("""COMPUTED_VALUE"""),58)</f>
        <v>58</v>
      </c>
      <c r="B407" s="1" t="str">
        <f ca="1">IFERROR(__xludf.DUMMYFUNCTION("""COMPUTED_VALUE"""),"E2_KA04AB6020_Jetting")</f>
        <v>E2_KA04AB6020_Jetting</v>
      </c>
      <c r="C407" s="1" t="str">
        <f ca="1">IFERROR(__xludf.DUMMYFUNCTION("""COMPUTED_VALUE"""),"e2_ka04ab6020_jetting")</f>
        <v>e2_ka04ab6020_jetting</v>
      </c>
      <c r="D407" s="2">
        <f ca="1">IFERROR(__xludf.DUMMYFUNCTION("""COMPUTED_VALUE"""),44799)</f>
        <v>44799</v>
      </c>
      <c r="E407" s="3">
        <f ca="1">IFERROR(__xludf.DUMMYFUNCTION("""COMPUTED_VALUE"""),0.360081018519849)</f>
        <v>0.36008101851984903</v>
      </c>
      <c r="F407" s="1">
        <f ca="1">IFERROR(__xludf.DUMMYFUNCTION("""COMPUTED_VALUE"""),25187)</f>
        <v>25187</v>
      </c>
      <c r="G407" s="1" t="str">
        <f ca="1">IFERROR(__xludf.DUMMYFUNCTION("""COMPUTED_VALUE"""),"12.9602/77.7188")</f>
        <v>12.9602/77.7188</v>
      </c>
      <c r="H407" s="1" t="str">
        <f ca="1">IFERROR(__xludf.DUMMYFUNCTION("""COMPUTED_VALUE"""),"Radha Hometel Bengaluru")</f>
        <v>Radha Hometel Bengaluru</v>
      </c>
      <c r="I407" s="1"/>
      <c r="J407" s="1" t="str">
        <f ca="1">IFERROR(__xludf.DUMMYFUNCTION("""COMPUTED_VALUE"""),"0d 00h 00m")</f>
        <v>0d 00h 00m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>
      <c r="A408" s="1">
        <f ca="1">IFERROR(__xludf.DUMMYFUNCTION("""COMPUTED_VALUE"""),116)</f>
        <v>116</v>
      </c>
      <c r="B408" s="1" t="str">
        <f ca="1">IFERROR(__xludf.DUMMYFUNCTION("""COMPUTED_VALUE"""),"E2_KA04C5158_Jetting")</f>
        <v>E2_KA04C5158_Jetting</v>
      </c>
      <c r="C408" s="1" t="str">
        <f ca="1">IFERROR(__xludf.DUMMYFUNCTION("""COMPUTED_VALUE"""),"e2_ka04c5158_jetting")</f>
        <v>e2_ka04c5158_jetting</v>
      </c>
      <c r="D408" s="2">
        <f ca="1">IFERROR(__xludf.DUMMYFUNCTION("""COMPUTED_VALUE"""),44706)</f>
        <v>44706</v>
      </c>
      <c r="E408" s="3">
        <f ca="1">IFERROR(__xludf.DUMMYFUNCTION("""COMPUTED_VALUE"""),0.682789351852989)</f>
        <v>0.68278935185298895</v>
      </c>
      <c r="F408" s="1">
        <f ca="1">IFERROR(__xludf.DUMMYFUNCTION("""COMPUTED_VALUE"""),20675)</f>
        <v>20675</v>
      </c>
      <c r="G408" s="1" t="str">
        <f ca="1">IFERROR(__xludf.DUMMYFUNCTION("""COMPUTED_VALUE"""),"12.9957/77.6659")</f>
        <v>12.9957/77.6659</v>
      </c>
      <c r="H408" s="1" t="str">
        <f ca="1">IFERROR(__xludf.DUMMYFUNCTION("""COMPUTED_VALUE"""),"Hotel Evoma")</f>
        <v>Hotel Evoma</v>
      </c>
      <c r="I408" s="1"/>
      <c r="J408" s="1" t="str">
        <f ca="1">IFERROR(__xludf.DUMMYFUNCTION("""COMPUTED_VALUE"""),"0d 18h 41m")</f>
        <v>0d 18h 41m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>
      <c r="A409" s="1">
        <f ca="1">IFERROR(__xludf.DUMMYFUNCTION("""COMPUTED_VALUE"""),106)</f>
        <v>106</v>
      </c>
      <c r="B409" s="1" t="str">
        <f ca="1">IFERROR(__xludf.DUMMYFUNCTION("""COMPUTED_VALUE"""),"E2_KA04C5158_Jetting")</f>
        <v>E2_KA04C5158_Jetting</v>
      </c>
      <c r="C409" s="1" t="str">
        <f ca="1">IFERROR(__xludf.DUMMYFUNCTION("""COMPUTED_VALUE"""),"e2_ka04c5158_jetting")</f>
        <v>e2_ka04c5158_jetting</v>
      </c>
      <c r="D409" s="2">
        <f ca="1">IFERROR(__xludf.DUMMYFUNCTION("""COMPUTED_VALUE"""),44734)</f>
        <v>44734</v>
      </c>
      <c r="E409" s="3">
        <f ca="1">IFERROR(__xludf.DUMMYFUNCTION("""COMPUTED_VALUE"""),0.702013888887449)</f>
        <v>0.70201388888744898</v>
      </c>
      <c r="F409" s="1">
        <f ca="1">IFERROR(__xludf.DUMMYFUNCTION("""COMPUTED_VALUE"""),20754)</f>
        <v>20754</v>
      </c>
      <c r="G409" s="1" t="str">
        <f ca="1">IFERROR(__xludf.DUMMYFUNCTION("""COMPUTED_VALUE"""),"12.9946/77.7178")</f>
        <v>12.9946/77.7178</v>
      </c>
      <c r="H409" s="1" t="str">
        <f ca="1">IFERROR(__xludf.DUMMYFUNCTION("""COMPUTED_VALUE"""),"Hoodi")</f>
        <v>Hoodi</v>
      </c>
      <c r="I409" s="1"/>
      <c r="J409" s="1" t="str">
        <f ca="1">IFERROR(__xludf.DUMMYFUNCTION("""COMPUTED_VALUE"""),"0d 18h 43m")</f>
        <v>0d 18h 43m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>
      <c r="A410" s="1">
        <f ca="1">IFERROR(__xludf.DUMMYFUNCTION("""COMPUTED_VALUE"""),109)</f>
        <v>109</v>
      </c>
      <c r="B410" s="1" t="str">
        <f ca="1">IFERROR(__xludf.DUMMYFUNCTION("""COMPUTED_VALUE"""),"E2_KA04C5158_Jetting")</f>
        <v>E2_KA04C5158_Jetting</v>
      </c>
      <c r="C410" s="1" t="str">
        <f ca="1">IFERROR(__xludf.DUMMYFUNCTION("""COMPUTED_VALUE"""),"e2_ka04c5158_jetting")</f>
        <v>e2_ka04c5158_jetting</v>
      </c>
      <c r="D410" s="2">
        <f ca="1">IFERROR(__xludf.DUMMYFUNCTION("""COMPUTED_VALUE"""),44762)</f>
        <v>44762</v>
      </c>
      <c r="E410" s="3">
        <f ca="1">IFERROR(__xludf.DUMMYFUNCTION("""COMPUTED_VALUE"""),0.478252314813289)</f>
        <v>0.478252314813289</v>
      </c>
      <c r="F410" s="1">
        <f ca="1">IFERROR(__xludf.DUMMYFUNCTION("""COMPUTED_VALUE"""),20799)</f>
        <v>20799</v>
      </c>
      <c r="G410" s="1" t="str">
        <f ca="1">IFERROR(__xludf.DUMMYFUNCTION("""COMPUTED_VALUE"""),"12.9799/77.7576")</f>
        <v>12.9799/77.7576</v>
      </c>
      <c r="H410" s="1" t="str">
        <f ca="1">IFERROR(__xludf.DUMMYFUNCTION("""COMPUTED_VALUE"""),"Four Points By Sheraton Whitefield")</f>
        <v>Four Points By Sheraton Whitefield</v>
      </c>
      <c r="I410" s="1"/>
      <c r="J410" s="1" t="str">
        <f ca="1">IFERROR(__xludf.DUMMYFUNCTION("""COMPUTED_VALUE"""),"0d 18h 43m")</f>
        <v>0d 18h 43m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>
      <c r="A411" s="1">
        <f ca="1">IFERROR(__xludf.DUMMYFUNCTION("""COMPUTED_VALUE"""),106)</f>
        <v>106</v>
      </c>
      <c r="B411" s="1" t="str">
        <f ca="1">IFERROR(__xludf.DUMMYFUNCTION("""COMPUTED_VALUE"""),"E2_KA04C5158_Jetting")</f>
        <v>E2_KA04C5158_Jetting</v>
      </c>
      <c r="C411" s="1" t="str">
        <f ca="1">IFERROR(__xludf.DUMMYFUNCTION("""COMPUTED_VALUE"""),"e2_ka04c5158_jetting")</f>
        <v>e2_ka04c5158_jetting</v>
      </c>
      <c r="D411" s="2">
        <f ca="1">IFERROR(__xludf.DUMMYFUNCTION("""COMPUTED_VALUE"""),44784)</f>
        <v>44784</v>
      </c>
      <c r="E411" s="3">
        <f ca="1">IFERROR(__xludf.DUMMYFUNCTION("""COMPUTED_VALUE"""),0.71754629629504)</f>
        <v>0.71754629629503996</v>
      </c>
      <c r="F411" s="1">
        <f ca="1">IFERROR(__xludf.DUMMYFUNCTION("""COMPUTED_VALUE"""),20817)</f>
        <v>20817</v>
      </c>
      <c r="G411" s="1" t="str">
        <f ca="1">IFERROR(__xludf.DUMMYFUNCTION("""COMPUTED_VALUE"""),"12.9586/77.7457")</f>
        <v>12.9586/77.7457</v>
      </c>
      <c r="H411" s="1" t="str">
        <f ca="1">IFERROR(__xludf.DUMMYFUNCTION("""COMPUTED_VALUE"""),"Acacia Goa")</f>
        <v>Acacia Goa</v>
      </c>
      <c r="I411" s="1"/>
      <c r="J411" s="1" t="str">
        <f ca="1">IFERROR(__xludf.DUMMYFUNCTION("""COMPUTED_VALUE"""),"0d 18h 44m")</f>
        <v>0d 18h 44m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>
      <c r="A412" s="1">
        <f ca="1">IFERROR(__xludf.DUMMYFUNCTION("""COMPUTED_VALUE"""),68)</f>
        <v>68</v>
      </c>
      <c r="B412" s="1" t="str">
        <f ca="1">IFERROR(__xludf.DUMMYFUNCTION("""COMPUTED_VALUE"""),"E2_KA04C5158_Jetting")</f>
        <v>E2_KA04C5158_Jetting</v>
      </c>
      <c r="C412" s="1" t="str">
        <f ca="1">IFERROR(__xludf.DUMMYFUNCTION("""COMPUTED_VALUE"""),"e2_ka04c5158_jetting")</f>
        <v>e2_ka04c5158_jetting</v>
      </c>
      <c r="D412" s="2">
        <f ca="1">IFERROR(__xludf.DUMMYFUNCTION("""COMPUTED_VALUE"""),44784)</f>
        <v>44784</v>
      </c>
      <c r="E412" s="3">
        <f ca="1">IFERROR(__xludf.DUMMYFUNCTION("""COMPUTED_VALUE"""),0.71754629629504)</f>
        <v>0.71754629629503996</v>
      </c>
      <c r="F412" s="1">
        <f ca="1">IFERROR(__xludf.DUMMYFUNCTION("""COMPUTED_VALUE"""),20817)</f>
        <v>20817</v>
      </c>
      <c r="G412" s="1" t="str">
        <f ca="1">IFERROR(__xludf.DUMMYFUNCTION("""COMPUTED_VALUE"""),"12.9586/77.7457")</f>
        <v>12.9586/77.7457</v>
      </c>
      <c r="H412" s="1" t="str">
        <f ca="1">IFERROR(__xludf.DUMMYFUNCTION("""COMPUTED_VALUE"""),"Acacia Goa")</f>
        <v>Acacia Goa</v>
      </c>
      <c r="I412" s="1"/>
      <c r="J412" s="1" t="str">
        <f ca="1">IFERROR(__xludf.DUMMYFUNCTION("""COMPUTED_VALUE"""),"0d 18h 45m")</f>
        <v>0d 18h 45m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>
      <c r="A413" s="1">
        <f ca="1">IFERROR(__xludf.DUMMYFUNCTION("""COMPUTED_VALUE"""),133)</f>
        <v>133</v>
      </c>
      <c r="B413" s="1" t="str">
        <f ca="1">IFERROR(__xludf.DUMMYFUNCTION("""COMPUTED_VALUE"""),"E2_KA04C5158_Jetting")</f>
        <v>E2_KA04C5158_Jetting</v>
      </c>
      <c r="C413" s="1" t="str">
        <f ca="1">IFERROR(__xludf.DUMMYFUNCTION("""COMPUTED_VALUE"""),"e2_ka04c5158_jetting")</f>
        <v>e2_ka04c5158_jetting</v>
      </c>
      <c r="D413" s="2">
        <f ca="1">IFERROR(__xludf.DUMMYFUNCTION("""COMPUTED_VALUE"""),44860)</f>
        <v>44860</v>
      </c>
      <c r="E413" s="3">
        <f ca="1">IFERROR(__xludf.DUMMYFUNCTION("""COMPUTED_VALUE"""),0.571932870370801)</f>
        <v>0.57193287037080098</v>
      </c>
      <c r="F413" s="1">
        <f ca="1">IFERROR(__xludf.DUMMYFUNCTION("""COMPUTED_VALUE"""),20891)</f>
        <v>20891</v>
      </c>
      <c r="G413" s="1" t="str">
        <f ca="1">IFERROR(__xludf.DUMMYFUNCTION("""COMPUTED_VALUE"""),"12.9771/77.7113")</f>
        <v>12.9771/77.7113</v>
      </c>
      <c r="H413" s="1" t="str">
        <f ca="1">IFERROR(__xludf.DUMMYFUNCTION("""COMPUTED_VALUE"""),"Radha Hometel")</f>
        <v>Radha Hometel</v>
      </c>
      <c r="I413" s="1"/>
      <c r="J413" s="1" t="str">
        <f ca="1">IFERROR(__xludf.DUMMYFUNCTION("""COMPUTED_VALUE"""),"0d 18h 46m")</f>
        <v>0d 18h 46m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>
      <c r="A414" s="1">
        <f ca="1">IFERROR(__xludf.DUMMYFUNCTION("""COMPUTED_VALUE"""),68)</f>
        <v>68</v>
      </c>
      <c r="B414" s="1" t="str">
        <f ca="1">IFERROR(__xludf.DUMMYFUNCTION("""COMPUTED_VALUE"""),"E2_KA04D5163_Jetting")</f>
        <v>E2_KA04D5163_Jetting</v>
      </c>
      <c r="C414" s="1" t="str">
        <f ca="1">IFERROR(__xludf.DUMMYFUNCTION("""COMPUTED_VALUE"""),"e2_ka04d5163_jetting")</f>
        <v>e2_ka04d5163_jetting</v>
      </c>
      <c r="D414" s="2">
        <f ca="1">IFERROR(__xludf.DUMMYFUNCTION("""COMPUTED_VALUE"""),44685)</f>
        <v>44685</v>
      </c>
      <c r="E414" s="3">
        <f ca="1">IFERROR(__xludf.DUMMYFUNCTION("""COMPUTED_VALUE"""),0.415532407409045)</f>
        <v>0.41553240740904501</v>
      </c>
      <c r="F414" s="1">
        <f ca="1">IFERROR(__xludf.DUMMYFUNCTION("""COMPUTED_VALUE"""),35624)</f>
        <v>35624</v>
      </c>
      <c r="G414" s="1" t="str">
        <f ca="1">IFERROR(__xludf.DUMMYFUNCTION("""COMPUTED_VALUE"""),"12.9761/77.7102")</f>
        <v>12.9761/77.7102</v>
      </c>
      <c r="H414" s="1" t="str">
        <f ca="1">IFERROR(__xludf.DUMMYFUNCTION("""COMPUTED_VALUE"""),"Keys Hotel Whitefield Bangalore")</f>
        <v>Keys Hotel Whitefield Bangalore</v>
      </c>
      <c r="I414" s="1"/>
      <c r="J414" s="1" t="str">
        <f ca="1">IFERROR(__xludf.DUMMYFUNCTION("""COMPUTED_VALUE"""),"0d 00h 11m")</f>
        <v>0d 00h 11m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>
      <c r="A415" s="1">
        <f ca="1">IFERROR(__xludf.DUMMYFUNCTION("""COMPUTED_VALUE"""),51)</f>
        <v>51</v>
      </c>
      <c r="B415" s="1" t="str">
        <f ca="1">IFERROR(__xludf.DUMMYFUNCTION("""COMPUTED_VALUE"""),"E2_KA04D5163_Jetting")</f>
        <v>E2_KA04D5163_Jetting</v>
      </c>
      <c r="C415" s="1" t="str">
        <f ca="1">IFERROR(__xludf.DUMMYFUNCTION("""COMPUTED_VALUE"""),"e2_ka04d5163_jetting")</f>
        <v>e2_ka04d5163_jetting</v>
      </c>
      <c r="D415" s="2">
        <f ca="1">IFERROR(__xludf.DUMMYFUNCTION("""COMPUTED_VALUE"""),44685)</f>
        <v>44685</v>
      </c>
      <c r="E415" s="3">
        <f ca="1">IFERROR(__xludf.DUMMYFUNCTION("""COMPUTED_VALUE"""),0.415532407409045)</f>
        <v>0.41553240740904501</v>
      </c>
      <c r="F415" s="1">
        <f ca="1">IFERROR(__xludf.DUMMYFUNCTION("""COMPUTED_VALUE"""),35624)</f>
        <v>35624</v>
      </c>
      <c r="G415" s="1" t="str">
        <f ca="1">IFERROR(__xludf.DUMMYFUNCTION("""COMPUTED_VALUE"""),"12.9761/77.7102")</f>
        <v>12.9761/77.7102</v>
      </c>
      <c r="H415" s="1" t="str">
        <f ca="1">IFERROR(__xludf.DUMMYFUNCTION("""COMPUTED_VALUE"""),"Keys Hotel Whitefield Bangalore")</f>
        <v>Keys Hotel Whitefield Bangalore</v>
      </c>
      <c r="I415" s="1"/>
      <c r="J415" s="1" t="str">
        <f ca="1">IFERROR(__xludf.DUMMYFUNCTION("""COMPUTED_VALUE"""),"0d 00h 12m")</f>
        <v>0d 00h 12m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>
      <c r="A416" s="1">
        <f ca="1">IFERROR(__xludf.DUMMYFUNCTION("""COMPUTED_VALUE"""),165)</f>
        <v>165</v>
      </c>
      <c r="B416" s="1" t="str">
        <f ca="1">IFERROR(__xludf.DUMMYFUNCTION("""COMPUTED_VALUE"""),"E2_KA04D5163_Jetting")</f>
        <v>E2_KA04D5163_Jetting</v>
      </c>
      <c r="C416" s="1" t="str">
        <f ca="1">IFERROR(__xludf.DUMMYFUNCTION("""COMPUTED_VALUE"""),"e2_ka04d5163_jetting")</f>
        <v>e2_ka04d5163_jetting</v>
      </c>
      <c r="D416" s="2">
        <f ca="1">IFERROR(__xludf.DUMMYFUNCTION("""COMPUTED_VALUE"""),44768)</f>
        <v>44768</v>
      </c>
      <c r="E416" s="3">
        <f ca="1">IFERROR(__xludf.DUMMYFUNCTION("""COMPUTED_VALUE"""),0.998981481479859)</f>
        <v>0.99898148147985899</v>
      </c>
      <c r="F416" s="1">
        <f ca="1">IFERROR(__xludf.DUMMYFUNCTION("""COMPUTED_VALUE"""),36226)</f>
        <v>36226</v>
      </c>
      <c r="G416" s="1" t="str">
        <f ca="1">IFERROR(__xludf.DUMMYFUNCTION("""COMPUTED_VALUE"""),"12.9764/77.7117")</f>
        <v>12.9764/77.7117</v>
      </c>
      <c r="H416" s="1" t="str">
        <f ca="1">IFERROR(__xludf.DUMMYFUNCTION("""COMPUTED_VALUE"""),"Radha Hometel")</f>
        <v>Radha Hometel</v>
      </c>
      <c r="I416" s="1"/>
      <c r="J416" s="1" t="str">
        <f ca="1">IFERROR(__xludf.DUMMYFUNCTION("""COMPUTED_VALUE"""),"0d 00h 13m")</f>
        <v>0d 00h 13m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>
      <c r="A417" s="1">
        <f ca="1">IFERROR(__xludf.DUMMYFUNCTION("""COMPUTED_VALUE"""),148)</f>
        <v>148</v>
      </c>
      <c r="B417" s="1" t="str">
        <f ca="1">IFERROR(__xludf.DUMMYFUNCTION("""COMPUTED_VALUE"""),"E2_KA04D5163_Jetting")</f>
        <v>E2_KA04D5163_Jetting</v>
      </c>
      <c r="C417" s="1" t="str">
        <f ca="1">IFERROR(__xludf.DUMMYFUNCTION("""COMPUTED_VALUE"""),"e2_ka04d5163_jetting")</f>
        <v>e2_ka04d5163_jetting</v>
      </c>
      <c r="D417" s="2">
        <f ca="1">IFERROR(__xludf.DUMMYFUNCTION("""COMPUTED_VALUE"""),44799)</f>
        <v>44799</v>
      </c>
      <c r="E417" s="3">
        <f ca="1">IFERROR(__xludf.DUMMYFUNCTION("""COMPUTED_VALUE"""),0.551087962961901)</f>
        <v>0.55108796296190099</v>
      </c>
      <c r="F417" s="1">
        <f ca="1">IFERROR(__xludf.DUMMYFUNCTION("""COMPUTED_VALUE"""),36864)</f>
        <v>36864</v>
      </c>
      <c r="G417" s="1" t="str">
        <f ca="1">IFERROR(__xludf.DUMMYFUNCTION("""COMPUTED_VALUE"""),"12.9771/77.7115")</f>
        <v>12.9771/77.7115</v>
      </c>
      <c r="H417" s="1" t="str">
        <f ca="1">IFERROR(__xludf.DUMMYFUNCTION("""COMPUTED_VALUE"""),"Radha Hometel")</f>
        <v>Radha Hometel</v>
      </c>
      <c r="I417" s="1"/>
      <c r="J417" s="1" t="str">
        <f ca="1">IFERROR(__xludf.DUMMYFUNCTION("""COMPUTED_VALUE"""),"0d 00h 14m")</f>
        <v>0d 00h 14m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>
      <c r="A418" s="1">
        <f ca="1">IFERROR(__xludf.DUMMYFUNCTION("""COMPUTED_VALUE"""),92)</f>
        <v>92</v>
      </c>
      <c r="B418" s="1" t="str">
        <f ca="1">IFERROR(__xludf.DUMMYFUNCTION("""COMPUTED_VALUE"""),"E2_KA04D5163_Jetting")</f>
        <v>E2_KA04D5163_Jetting</v>
      </c>
      <c r="C418" s="1" t="str">
        <f ca="1">IFERROR(__xludf.DUMMYFUNCTION("""COMPUTED_VALUE"""),"e2_ka04d5163_jetting")</f>
        <v>e2_ka04d5163_jetting</v>
      </c>
      <c r="D418" s="2">
        <f ca="1">IFERROR(__xludf.DUMMYFUNCTION("""COMPUTED_VALUE"""),44815)</f>
        <v>44815</v>
      </c>
      <c r="E418" s="3">
        <f ca="1">IFERROR(__xludf.DUMMYFUNCTION("""COMPUTED_VALUE"""),0.516006944442779)</f>
        <v>0.51600694444277895</v>
      </c>
      <c r="F418" s="1">
        <f ca="1">IFERROR(__xludf.DUMMYFUNCTION("""COMPUTED_VALUE"""),37133)</f>
        <v>37133</v>
      </c>
      <c r="G418" s="1" t="str">
        <f ca="1">IFERROR(__xludf.DUMMYFUNCTION("""COMPUTED_VALUE"""),"12.9977/77.7632")</f>
        <v>12.9977/77.7632</v>
      </c>
      <c r="H418" s="1" t="str">
        <f ca="1">IFERROR(__xludf.DUMMYFUNCTION("""COMPUTED_VALUE"""),"Beltur")</f>
        <v>Beltur</v>
      </c>
      <c r="I418" s="1"/>
      <c r="J418" s="1" t="str">
        <f ca="1">IFERROR(__xludf.DUMMYFUNCTION("""COMPUTED_VALUE"""),"0d 00h 15m")</f>
        <v>0d 00h 15m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>
      <c r="A419" s="1">
        <f ca="1">IFERROR(__xludf.DUMMYFUNCTION("""COMPUTED_VALUE"""),114)</f>
        <v>114</v>
      </c>
      <c r="B419" s="1" t="str">
        <f ca="1">IFERROR(__xludf.DUMMYFUNCTION("""COMPUTED_VALUE"""),"E2_KA04D5163_Jetting")</f>
        <v>E2_KA04D5163_Jetting</v>
      </c>
      <c r="C419" s="1" t="str">
        <f ca="1">IFERROR(__xludf.DUMMYFUNCTION("""COMPUTED_VALUE"""),"e2_ka04d5163_jetting")</f>
        <v>e2_ka04d5163_jetting</v>
      </c>
      <c r="D419" s="2">
        <f ca="1">IFERROR(__xludf.DUMMYFUNCTION("""COMPUTED_VALUE"""),44859)</f>
        <v>44859</v>
      </c>
      <c r="E419" s="3">
        <f ca="1">IFERROR(__xludf.DUMMYFUNCTION("""COMPUTED_VALUE"""),0.683379629630508)</f>
        <v>0.68337962963050802</v>
      </c>
      <c r="F419" s="1">
        <f ca="1">IFERROR(__xludf.DUMMYFUNCTION("""COMPUTED_VALUE"""),37438)</f>
        <v>37438</v>
      </c>
      <c r="G419" s="1" t="str">
        <f ca="1">IFERROR(__xludf.DUMMYFUNCTION("""COMPUTED_VALUE"""),"12.9770/77.7115")</f>
        <v>12.9770/77.7115</v>
      </c>
      <c r="H419" s="1" t="str">
        <f ca="1">IFERROR(__xludf.DUMMYFUNCTION("""COMPUTED_VALUE"""),"Radha Hometel")</f>
        <v>Radha Hometel</v>
      </c>
      <c r="I419" s="1"/>
      <c r="J419" s="1" t="str">
        <f ca="1">IFERROR(__xludf.DUMMYFUNCTION("""COMPUTED_VALUE"""),"0d 00h 16m")</f>
        <v>0d 00h 16m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>
      <c r="A420" s="1">
        <f ca="1">IFERROR(__xludf.DUMMYFUNCTION("""COMPUTED_VALUE"""),196)</f>
        <v>196</v>
      </c>
      <c r="B420" s="1" t="str">
        <f ca="1">IFERROR(__xludf.DUMMYFUNCTION("""COMPUTED_VALUE"""),"E2_KA04D5289_tanker")</f>
        <v>E2_KA04D5289_tanker</v>
      </c>
      <c r="C420" s="1" t="str">
        <f ca="1">IFERROR(__xludf.DUMMYFUNCTION("""COMPUTED_VALUE"""),"e2_ka04d5289_tanker")</f>
        <v>e2_ka04d5289_tanker</v>
      </c>
      <c r="D420" s="2">
        <f ca="1">IFERROR(__xludf.DUMMYFUNCTION("""COMPUTED_VALUE"""),44707)</f>
        <v>44707</v>
      </c>
      <c r="E420" s="3">
        <f ca="1">IFERROR(__xludf.DUMMYFUNCTION("""COMPUTED_VALUE"""),0.999178240741457)</f>
        <v>0.999178240741457</v>
      </c>
      <c r="F420" s="1">
        <f ca="1">IFERROR(__xludf.DUMMYFUNCTION("""COMPUTED_VALUE"""),26327)</f>
        <v>26327</v>
      </c>
      <c r="G420" s="1" t="str">
        <f ca="1">IFERROR(__xludf.DUMMYFUNCTION("""COMPUTED_VALUE"""),"12.9770/77.7114")</f>
        <v>12.9770/77.7114</v>
      </c>
      <c r="H420" s="1" t="str">
        <f ca="1">IFERROR(__xludf.DUMMYFUNCTION("""COMPUTED_VALUE"""),"Radha Hometel")</f>
        <v>Radha Hometel</v>
      </c>
      <c r="I420" s="1"/>
      <c r="J420" s="1" t="str">
        <f ca="1">IFERROR(__xludf.DUMMYFUNCTION("""COMPUTED_VALUE"""),"0d 00h 00m")</f>
        <v>0d 00h 00m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>
      <c r="A421" s="1">
        <f ca="1">IFERROR(__xludf.DUMMYFUNCTION("""COMPUTED_VALUE"""),204)</f>
        <v>204</v>
      </c>
      <c r="B421" s="1" t="str">
        <f ca="1">IFERROR(__xludf.DUMMYFUNCTION("""COMPUTED_VALUE"""),"E2_KA04D5289_tanker")</f>
        <v>E2_KA04D5289_tanker</v>
      </c>
      <c r="C421" s="1" t="str">
        <f ca="1">IFERROR(__xludf.DUMMYFUNCTION("""COMPUTED_VALUE"""),"e2_ka04d5289_tanker")</f>
        <v>e2_ka04d5289_tanker</v>
      </c>
      <c r="D421" s="2">
        <f ca="1">IFERROR(__xludf.DUMMYFUNCTION("""COMPUTED_VALUE"""),44738)</f>
        <v>44738</v>
      </c>
      <c r="E421" s="3">
        <f ca="1">IFERROR(__xludf.DUMMYFUNCTION("""COMPUTED_VALUE"""),0.999178240741457)</f>
        <v>0.999178240741457</v>
      </c>
      <c r="F421" s="1">
        <f ca="1">IFERROR(__xludf.DUMMYFUNCTION("""COMPUTED_VALUE"""),27510)</f>
        <v>27510</v>
      </c>
      <c r="G421" s="1" t="str">
        <f ca="1">IFERROR(__xludf.DUMMYFUNCTION("""COMPUTED_VALUE"""),"12.9770/77.7114")</f>
        <v>12.9770/77.7114</v>
      </c>
      <c r="H421" s="1" t="str">
        <f ca="1">IFERROR(__xludf.DUMMYFUNCTION("""COMPUTED_VALUE"""),"Radha Hometel")</f>
        <v>Radha Hometel</v>
      </c>
      <c r="I421" s="1"/>
      <c r="J421" s="1" t="str">
        <f ca="1">IFERROR(__xludf.DUMMYFUNCTION("""COMPUTED_VALUE"""),"0d 00h 00m")</f>
        <v>0d 00h 00m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>
      <c r="A422" s="1">
        <f ca="1">IFERROR(__xludf.DUMMYFUNCTION("""COMPUTED_VALUE"""),201)</f>
        <v>201</v>
      </c>
      <c r="B422" s="1" t="str">
        <f ca="1">IFERROR(__xludf.DUMMYFUNCTION("""COMPUTED_VALUE"""),"E2_KA04D5289_tanker")</f>
        <v>E2_KA04D5289_tanker</v>
      </c>
      <c r="C422" s="1" t="str">
        <f ca="1">IFERROR(__xludf.DUMMYFUNCTION("""COMPUTED_VALUE"""),"e2_ka04d5289_tanker")</f>
        <v>e2_ka04d5289_tanker</v>
      </c>
      <c r="D422" s="2">
        <f ca="1">IFERROR(__xludf.DUMMYFUNCTION("""COMPUTED_VALUE"""),44768)</f>
        <v>44768</v>
      </c>
      <c r="E422" s="3">
        <f ca="1">IFERROR(__xludf.DUMMYFUNCTION("""COMPUTED_VALUE"""),0.999131944445252)</f>
        <v>0.999131944445252</v>
      </c>
      <c r="F422" s="1">
        <f ca="1">IFERROR(__xludf.DUMMYFUNCTION("""COMPUTED_VALUE"""),28707)</f>
        <v>28707</v>
      </c>
      <c r="G422" s="1" t="str">
        <f ca="1">IFERROR(__xludf.DUMMYFUNCTION("""COMPUTED_VALUE"""),"12.9771/77.7115")</f>
        <v>12.9771/77.7115</v>
      </c>
      <c r="H422" s="1" t="str">
        <f ca="1">IFERROR(__xludf.DUMMYFUNCTION("""COMPUTED_VALUE"""),"Radha Hometel")</f>
        <v>Radha Hometel</v>
      </c>
      <c r="I422" s="1"/>
      <c r="J422" s="1" t="str">
        <f ca="1">IFERROR(__xludf.DUMMYFUNCTION("""COMPUTED_VALUE"""),"0d 00h 00m")</f>
        <v>0d 00h 00m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>
      <c r="A423" s="1">
        <f ca="1">IFERROR(__xludf.DUMMYFUNCTION("""COMPUTED_VALUE"""),205)</f>
        <v>205</v>
      </c>
      <c r="B423" s="1" t="str">
        <f ca="1">IFERROR(__xludf.DUMMYFUNCTION("""COMPUTED_VALUE"""),"E2_KA04D5289_tanker")</f>
        <v>E2_KA04D5289_tanker</v>
      </c>
      <c r="C423" s="1" t="str">
        <f ca="1">IFERROR(__xludf.DUMMYFUNCTION("""COMPUTED_VALUE"""),"e2_ka04d5289_tanker")</f>
        <v>e2_ka04d5289_tanker</v>
      </c>
      <c r="D423" s="2">
        <f ca="1">IFERROR(__xludf.DUMMYFUNCTION("""COMPUTED_VALUE"""),44799)</f>
        <v>44799</v>
      </c>
      <c r="E423" s="3">
        <f ca="1">IFERROR(__xludf.DUMMYFUNCTION("""COMPUTED_VALUE"""),0.999131944445252)</f>
        <v>0.999131944445252</v>
      </c>
      <c r="F423" s="1">
        <f ca="1">IFERROR(__xludf.DUMMYFUNCTION("""COMPUTED_VALUE"""),30013)</f>
        <v>30013</v>
      </c>
      <c r="G423" s="1" t="str">
        <f ca="1">IFERROR(__xludf.DUMMYFUNCTION("""COMPUTED_VALUE"""),"12.9767/77.7116")</f>
        <v>12.9767/77.7116</v>
      </c>
      <c r="H423" s="1" t="str">
        <f ca="1">IFERROR(__xludf.DUMMYFUNCTION("""COMPUTED_VALUE"""),"Radha Hometel")</f>
        <v>Radha Hometel</v>
      </c>
      <c r="I423" s="1"/>
      <c r="J423" s="1" t="str">
        <f ca="1">IFERROR(__xludf.DUMMYFUNCTION("""COMPUTED_VALUE"""),"0d 00h 00m")</f>
        <v>0d 00h 00m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>
      <c r="A424" s="1">
        <f ca="1">IFERROR(__xludf.DUMMYFUNCTION("""COMPUTED_VALUE"""),221)</f>
        <v>221</v>
      </c>
      <c r="B424" s="1" t="str">
        <f ca="1">IFERROR(__xludf.DUMMYFUNCTION("""COMPUTED_VALUE"""),"E2_KA04D5289_tanker")</f>
        <v>E2_KA04D5289_tanker</v>
      </c>
      <c r="C424" s="1" t="str">
        <f ca="1">IFERROR(__xludf.DUMMYFUNCTION("""COMPUTED_VALUE"""),"e2_ka04d5289_tanker")</f>
        <v>e2_ka04d5289_tanker</v>
      </c>
      <c r="D424" s="2">
        <f ca="1">IFERROR(__xludf.DUMMYFUNCTION("""COMPUTED_VALUE"""),44830)</f>
        <v>44830</v>
      </c>
      <c r="E424" s="3">
        <f ca="1">IFERROR(__xludf.DUMMYFUNCTION("""COMPUTED_VALUE"""),0.999224537037662)</f>
        <v>0.99922453703766201</v>
      </c>
      <c r="F424" s="1">
        <f ca="1">IFERROR(__xludf.DUMMYFUNCTION("""COMPUTED_VALUE"""),31921)</f>
        <v>31921</v>
      </c>
      <c r="G424" s="1" t="str">
        <f ca="1">IFERROR(__xludf.DUMMYFUNCTION("""COMPUTED_VALUE"""),"12.9770/77.7115")</f>
        <v>12.9770/77.7115</v>
      </c>
      <c r="H424" s="1" t="str">
        <f ca="1">IFERROR(__xludf.DUMMYFUNCTION("""COMPUTED_VALUE"""),"Radha Hometel")</f>
        <v>Radha Hometel</v>
      </c>
      <c r="I424" s="1"/>
      <c r="J424" s="1" t="str">
        <f ca="1">IFERROR(__xludf.DUMMYFUNCTION("""COMPUTED_VALUE"""),"0d 00h 00m")</f>
        <v>0d 00h 00m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>
      <c r="A425" s="1">
        <f ca="1">IFERROR(__xludf.DUMMYFUNCTION("""COMPUTED_VALUE"""),203)</f>
        <v>203</v>
      </c>
      <c r="B425" s="1" t="str">
        <f ca="1">IFERROR(__xludf.DUMMYFUNCTION("""COMPUTED_VALUE"""),"E2_KA04D5289_tanker")</f>
        <v>E2_KA04D5289_tanker</v>
      </c>
      <c r="C425" s="1" t="str">
        <f ca="1">IFERROR(__xludf.DUMMYFUNCTION("""COMPUTED_VALUE"""),"e2_ka04d5289_tanker")</f>
        <v>e2_ka04d5289_tanker</v>
      </c>
      <c r="D425" s="2">
        <f ca="1">IFERROR(__xludf.DUMMYFUNCTION("""COMPUTED_VALUE"""),44860)</f>
        <v>44860</v>
      </c>
      <c r="E425" s="3">
        <f ca="1">IFERROR(__xludf.DUMMYFUNCTION("""COMPUTED_VALUE"""),0.999166666668315)</f>
        <v>0.999166666668315</v>
      </c>
      <c r="F425" s="1">
        <f ca="1">IFERROR(__xludf.DUMMYFUNCTION("""COMPUTED_VALUE"""),33342)</f>
        <v>33342</v>
      </c>
      <c r="G425" s="1" t="str">
        <f ca="1">IFERROR(__xludf.DUMMYFUNCTION("""COMPUTED_VALUE"""),"12.9770/77.7115")</f>
        <v>12.9770/77.7115</v>
      </c>
      <c r="H425" s="1" t="str">
        <f ca="1">IFERROR(__xludf.DUMMYFUNCTION("""COMPUTED_VALUE"""),"Radha Hometel")</f>
        <v>Radha Hometel</v>
      </c>
      <c r="I425" s="1"/>
      <c r="J425" s="1" t="str">
        <f ca="1">IFERROR(__xludf.DUMMYFUNCTION("""COMPUTED_VALUE"""),"0d 00h 00m")</f>
        <v>0d 00h 00m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>
      <c r="A426" s="1">
        <f ca="1">IFERROR(__xludf.DUMMYFUNCTION("""COMPUTED_VALUE"""),37)</f>
        <v>37</v>
      </c>
      <c r="B426" s="1" t="str">
        <f ca="1">IFERROR(__xludf.DUMMYFUNCTION("""COMPUTED_VALUE"""),"E2_KA04D5291_Tanker")</f>
        <v>E2_KA04D5291_Tanker</v>
      </c>
      <c r="C426" s="1" t="str">
        <f ca="1">IFERROR(__xludf.DUMMYFUNCTION("""COMPUTED_VALUE"""),"e2_ka04d5291_tanker")</f>
        <v>e2_ka04d5291_tanker</v>
      </c>
      <c r="D426" s="2">
        <f ca="1">IFERROR(__xludf.DUMMYFUNCTION("""COMPUTED_VALUE"""),44465)</f>
        <v>44465</v>
      </c>
      <c r="E426" s="3">
        <f ca="1">IFERROR(__xludf.DUMMYFUNCTION("""COMPUTED_VALUE"""),0.452615740741748)</f>
        <v>0.45261574074174798</v>
      </c>
      <c r="F426" s="1">
        <f ca="1">IFERROR(__xludf.DUMMYFUNCTION("""COMPUTED_VALUE"""),3048)</f>
        <v>3048</v>
      </c>
      <c r="G426" s="1" t="str">
        <f ca="1">IFERROR(__xludf.DUMMYFUNCTION("""COMPUTED_VALUE"""),"12.9771/77.7115")</f>
        <v>12.9771/77.7115</v>
      </c>
      <c r="H426" s="1" t="str">
        <f ca="1">IFERROR(__xludf.DUMMYFUNCTION("""COMPUTED_VALUE"""),"Radha Hometel")</f>
        <v>Radha Hometel</v>
      </c>
      <c r="I426" s="1"/>
      <c r="J426" s="1" t="str">
        <f ca="1">IFERROR(__xludf.DUMMYFUNCTION("""COMPUTED_VALUE"""),"47d 19h 55m")</f>
        <v>47d 19h 55m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>
      <c r="A427" s="1">
        <f ca="1">IFERROR(__xludf.DUMMYFUNCTION("""COMPUTED_VALUE"""),35)</f>
        <v>35</v>
      </c>
      <c r="B427" s="1" t="str">
        <f ca="1">IFERROR(__xludf.DUMMYFUNCTION("""COMPUTED_VALUE"""),"E2_KA04D5291_Tanker")</f>
        <v>E2_KA04D5291_Tanker</v>
      </c>
      <c r="C427" s="1" t="str">
        <f ca="1">IFERROR(__xludf.DUMMYFUNCTION("""COMPUTED_VALUE"""),"e2_ka04d5291_tanker")</f>
        <v>e2_ka04d5291_tanker</v>
      </c>
      <c r="D427" s="2">
        <f ca="1">IFERROR(__xludf.DUMMYFUNCTION("""COMPUTED_VALUE"""),44465)</f>
        <v>44465</v>
      </c>
      <c r="E427" s="3">
        <f ca="1">IFERROR(__xludf.DUMMYFUNCTION("""COMPUTED_VALUE"""),0.452615740741748)</f>
        <v>0.45261574074174798</v>
      </c>
      <c r="F427" s="1">
        <f ca="1">IFERROR(__xludf.DUMMYFUNCTION("""COMPUTED_VALUE"""),3048)</f>
        <v>3048</v>
      </c>
      <c r="G427" s="1" t="str">
        <f ca="1">IFERROR(__xludf.DUMMYFUNCTION("""COMPUTED_VALUE"""),"12.9771/77.7115")</f>
        <v>12.9771/77.7115</v>
      </c>
      <c r="H427" s="1" t="str">
        <f ca="1">IFERROR(__xludf.DUMMYFUNCTION("""COMPUTED_VALUE"""),"Radha Hometel")</f>
        <v>Radha Hometel</v>
      </c>
      <c r="I427" s="1"/>
      <c r="J427" s="1" t="str">
        <f ca="1">IFERROR(__xludf.DUMMYFUNCTION("""COMPUTED_VALUE"""),"47d 19h 56m")</f>
        <v>47d 19h 56m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>
      <c r="A428" s="1">
        <f ca="1">IFERROR(__xludf.DUMMYFUNCTION("""COMPUTED_VALUE"""),35)</f>
        <v>35</v>
      </c>
      <c r="B428" s="1" t="str">
        <f ca="1">IFERROR(__xludf.DUMMYFUNCTION("""COMPUTED_VALUE"""),"E2_KA04D5291_Tanker")</f>
        <v>E2_KA04D5291_Tanker</v>
      </c>
      <c r="C428" s="1" t="str">
        <f ca="1">IFERROR(__xludf.DUMMYFUNCTION("""COMPUTED_VALUE"""),"e2_ka04d5291_tanker")</f>
        <v>e2_ka04d5291_tanker</v>
      </c>
      <c r="D428" s="2">
        <f ca="1">IFERROR(__xludf.DUMMYFUNCTION("""COMPUTED_VALUE"""),44465)</f>
        <v>44465</v>
      </c>
      <c r="E428" s="3">
        <f ca="1">IFERROR(__xludf.DUMMYFUNCTION("""COMPUTED_VALUE"""),0.452615740741748)</f>
        <v>0.45261574074174798</v>
      </c>
      <c r="F428" s="1">
        <f ca="1">IFERROR(__xludf.DUMMYFUNCTION("""COMPUTED_VALUE"""),3048)</f>
        <v>3048</v>
      </c>
      <c r="G428" s="1" t="str">
        <f ca="1">IFERROR(__xludf.DUMMYFUNCTION("""COMPUTED_VALUE"""),"12.9771/77.7115")</f>
        <v>12.9771/77.7115</v>
      </c>
      <c r="H428" s="1" t="str">
        <f ca="1">IFERROR(__xludf.DUMMYFUNCTION("""COMPUTED_VALUE"""),"Radha Hometel")</f>
        <v>Radha Hometel</v>
      </c>
      <c r="I428" s="1"/>
      <c r="J428" s="1" t="str">
        <f ca="1">IFERROR(__xludf.DUMMYFUNCTION("""COMPUTED_VALUE"""),"47d 19h 57m")</f>
        <v>47d 19h 57m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>
      <c r="A429" s="1">
        <f ca="1">IFERROR(__xludf.DUMMYFUNCTION("""COMPUTED_VALUE"""),35)</f>
        <v>35</v>
      </c>
      <c r="B429" s="1" t="str">
        <f ca="1">IFERROR(__xludf.DUMMYFUNCTION("""COMPUTED_VALUE"""),"E2_KA04D5291_Tanker")</f>
        <v>E2_KA04D5291_Tanker</v>
      </c>
      <c r="C429" s="1" t="str">
        <f ca="1">IFERROR(__xludf.DUMMYFUNCTION("""COMPUTED_VALUE"""),"e2_ka04d5291_tanker")</f>
        <v>e2_ka04d5291_tanker</v>
      </c>
      <c r="D429" s="2">
        <f ca="1">IFERROR(__xludf.DUMMYFUNCTION("""COMPUTED_VALUE"""),44465)</f>
        <v>44465</v>
      </c>
      <c r="E429" s="3">
        <f ca="1">IFERROR(__xludf.DUMMYFUNCTION("""COMPUTED_VALUE"""),0.452615740741748)</f>
        <v>0.45261574074174798</v>
      </c>
      <c r="F429" s="1">
        <f ca="1">IFERROR(__xludf.DUMMYFUNCTION("""COMPUTED_VALUE"""),3048)</f>
        <v>3048</v>
      </c>
      <c r="G429" s="1" t="str">
        <f ca="1">IFERROR(__xludf.DUMMYFUNCTION("""COMPUTED_VALUE"""),"12.9771/77.7115")</f>
        <v>12.9771/77.7115</v>
      </c>
      <c r="H429" s="1" t="str">
        <f ca="1">IFERROR(__xludf.DUMMYFUNCTION("""COMPUTED_VALUE"""),"Radha Hometel")</f>
        <v>Radha Hometel</v>
      </c>
      <c r="I429" s="1"/>
      <c r="J429" s="1" t="str">
        <f ca="1">IFERROR(__xludf.DUMMYFUNCTION("""COMPUTED_VALUE"""),"47d 19h 58m")</f>
        <v>47d 19h 58m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>
      <c r="A430" s="1">
        <f ca="1">IFERROR(__xludf.DUMMYFUNCTION("""COMPUTED_VALUE"""),34)</f>
        <v>34</v>
      </c>
      <c r="B430" s="1" t="str">
        <f ca="1">IFERROR(__xludf.DUMMYFUNCTION("""COMPUTED_VALUE"""),"E2_KA04D5291_Tanker")</f>
        <v>E2_KA04D5291_Tanker</v>
      </c>
      <c r="C430" s="1" t="str">
        <f ca="1">IFERROR(__xludf.DUMMYFUNCTION("""COMPUTED_VALUE"""),"e2_ka04d5291_tanker")</f>
        <v>e2_ka04d5291_tanker</v>
      </c>
      <c r="D430" s="2">
        <f ca="1">IFERROR(__xludf.DUMMYFUNCTION("""COMPUTED_VALUE"""),44465)</f>
        <v>44465</v>
      </c>
      <c r="E430" s="3">
        <f ca="1">IFERROR(__xludf.DUMMYFUNCTION("""COMPUTED_VALUE"""),0.452615740741748)</f>
        <v>0.45261574074174798</v>
      </c>
      <c r="F430" s="1">
        <f ca="1">IFERROR(__xludf.DUMMYFUNCTION("""COMPUTED_VALUE"""),3048)</f>
        <v>3048</v>
      </c>
      <c r="G430" s="1" t="str">
        <f ca="1">IFERROR(__xludf.DUMMYFUNCTION("""COMPUTED_VALUE"""),"12.9771/77.7115")</f>
        <v>12.9771/77.7115</v>
      </c>
      <c r="H430" s="1" t="str">
        <f ca="1">IFERROR(__xludf.DUMMYFUNCTION("""COMPUTED_VALUE"""),"Radha Hometel")</f>
        <v>Radha Hometel</v>
      </c>
      <c r="I430" s="1"/>
      <c r="J430" s="1" t="str">
        <f ca="1">IFERROR(__xludf.DUMMYFUNCTION("""COMPUTED_VALUE"""),"47d 19h 59m")</f>
        <v>47d 19h 59m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>
      <c r="A431" s="1">
        <f ca="1">IFERROR(__xludf.DUMMYFUNCTION("""COMPUTED_VALUE"""),34)</f>
        <v>34</v>
      </c>
      <c r="B431" s="1" t="str">
        <f ca="1">IFERROR(__xludf.DUMMYFUNCTION("""COMPUTED_VALUE"""),"E2_KA04D5291_Tanker")</f>
        <v>E2_KA04D5291_Tanker</v>
      </c>
      <c r="C431" s="1" t="str">
        <f ca="1">IFERROR(__xludf.DUMMYFUNCTION("""COMPUTED_VALUE"""),"e2_ka04d5291_tanker")</f>
        <v>e2_ka04d5291_tanker</v>
      </c>
      <c r="D431" s="2">
        <f ca="1">IFERROR(__xludf.DUMMYFUNCTION("""COMPUTED_VALUE"""),44465)</f>
        <v>44465</v>
      </c>
      <c r="E431" s="3">
        <f ca="1">IFERROR(__xludf.DUMMYFUNCTION("""COMPUTED_VALUE"""),0.452615740741748)</f>
        <v>0.45261574074174798</v>
      </c>
      <c r="F431" s="1">
        <f ca="1">IFERROR(__xludf.DUMMYFUNCTION("""COMPUTED_VALUE"""),3048)</f>
        <v>3048</v>
      </c>
      <c r="G431" s="1" t="str">
        <f ca="1">IFERROR(__xludf.DUMMYFUNCTION("""COMPUTED_VALUE"""),"12.9771/77.7115")</f>
        <v>12.9771/77.7115</v>
      </c>
      <c r="H431" s="1" t="str">
        <f ca="1">IFERROR(__xludf.DUMMYFUNCTION("""COMPUTED_VALUE"""),"Radha Hometel")</f>
        <v>Radha Hometel</v>
      </c>
      <c r="I431" s="1"/>
      <c r="J431" s="1" t="str">
        <f ca="1">IFERROR(__xludf.DUMMYFUNCTION("""COMPUTED_VALUE"""),"47d 19h 59m")</f>
        <v>47d 19h 59m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>
      <c r="A432" s="1">
        <f ca="1">IFERROR(__xludf.DUMMYFUNCTION("""COMPUTED_VALUE"""),78)</f>
        <v>78</v>
      </c>
      <c r="B432" s="1" t="str">
        <f ca="1">IFERROR(__xludf.DUMMYFUNCTION("""COMPUTED_VALUE"""),"E3_KA02AC5938_Jetting")</f>
        <v>E3_KA02AC5938_Jetting</v>
      </c>
      <c r="C432" s="1" t="str">
        <f ca="1">IFERROR(__xludf.DUMMYFUNCTION("""COMPUTED_VALUE"""),"e3_ka02ac5938_jetting")</f>
        <v>e3_ka02ac5938_jetting</v>
      </c>
      <c r="D432" s="2">
        <f ca="1">IFERROR(__xludf.DUMMYFUNCTION("""COMPUTED_VALUE"""),44695)</f>
        <v>44695</v>
      </c>
      <c r="E432" s="3">
        <f ca="1">IFERROR(__xludf.DUMMYFUNCTION("""COMPUTED_VALUE"""),0.74238425925796)</f>
        <v>0.74238425925796003</v>
      </c>
      <c r="F432" s="1">
        <f ca="1">IFERROR(__xludf.DUMMYFUNCTION("""COMPUTED_VALUE"""),27675)</f>
        <v>27675</v>
      </c>
      <c r="G432" s="1" t="str">
        <f ca="1">IFERROR(__xludf.DUMMYFUNCTION("""COMPUTED_VALUE"""),"13.0080/77.6900")</f>
        <v>13.0080/77.6900</v>
      </c>
      <c r="H432" s="1" t="str">
        <f ca="1">IFERROR(__xludf.DUMMYFUNCTION("""COMPUTED_VALUE"""),"KrishnarÄjpur")</f>
        <v>KrishnarÄjpur</v>
      </c>
      <c r="I432" s="1"/>
      <c r="J432" s="1" t="str">
        <f ca="1">IFERROR(__xludf.DUMMYFUNCTION("""COMPUTED_VALUE"""),"0d 00h 00m")</f>
        <v>0d 00h 00m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>
      <c r="A433" s="1">
        <f ca="1">IFERROR(__xludf.DUMMYFUNCTION("""COMPUTED_VALUE"""),53)</f>
        <v>53</v>
      </c>
      <c r="B433" s="1" t="str">
        <f ca="1">IFERROR(__xludf.DUMMYFUNCTION("""COMPUTED_VALUE"""),"E3_KA02AC5938_Jetting")</f>
        <v>E3_KA02AC5938_Jetting</v>
      </c>
      <c r="C433" s="1" t="str">
        <f ca="1">IFERROR(__xludf.DUMMYFUNCTION("""COMPUTED_VALUE"""),"e3_ka02ac5938_jetting")</f>
        <v>e3_ka02ac5938_jetting</v>
      </c>
      <c r="D433" s="2">
        <f ca="1">IFERROR(__xludf.DUMMYFUNCTION("""COMPUTED_VALUE"""),44695)</f>
        <v>44695</v>
      </c>
      <c r="E433" s="3">
        <f ca="1">IFERROR(__xludf.DUMMYFUNCTION("""COMPUTED_VALUE"""),0.74238425925796)</f>
        <v>0.74238425925796003</v>
      </c>
      <c r="F433" s="1">
        <f ca="1">IFERROR(__xludf.DUMMYFUNCTION("""COMPUTED_VALUE"""),27675)</f>
        <v>27675</v>
      </c>
      <c r="G433" s="1" t="str">
        <f ca="1">IFERROR(__xludf.DUMMYFUNCTION("""COMPUTED_VALUE"""),"13.0080/77.6900")</f>
        <v>13.0080/77.6900</v>
      </c>
      <c r="H433" s="1" t="str">
        <f ca="1">IFERROR(__xludf.DUMMYFUNCTION("""COMPUTED_VALUE"""),"Krishnarpur")</f>
        <v>Krishnarpur</v>
      </c>
      <c r="I433" s="1"/>
      <c r="J433" s="1" t="str">
        <f ca="1">IFERROR(__xludf.DUMMYFUNCTION("""COMPUTED_VALUE"""),"0d 00h 00m")</f>
        <v>0d 00h 00m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>
      <c r="A434" s="1">
        <f ca="1">IFERROR(__xludf.DUMMYFUNCTION("""COMPUTED_VALUE"""),48)</f>
        <v>48</v>
      </c>
      <c r="B434" s="1" t="str">
        <f ca="1">IFERROR(__xludf.DUMMYFUNCTION("""COMPUTED_VALUE"""),"E3_KA02AC5938_Jetting")</f>
        <v>E3_KA02AC5938_Jetting</v>
      </c>
      <c r="C434" s="1" t="str">
        <f ca="1">IFERROR(__xludf.DUMMYFUNCTION("""COMPUTED_VALUE"""),"e3_ka02ac5938_jetting")</f>
        <v>e3_ka02ac5938_jetting</v>
      </c>
      <c r="D434" s="2">
        <f ca="1">IFERROR(__xludf.DUMMYFUNCTION("""COMPUTED_VALUE"""),44695)</f>
        <v>44695</v>
      </c>
      <c r="E434" s="3">
        <f ca="1">IFERROR(__xludf.DUMMYFUNCTION("""COMPUTED_VALUE"""),0.74238425925796)</f>
        <v>0.74238425925796003</v>
      </c>
      <c r="F434" s="1">
        <f ca="1">IFERROR(__xludf.DUMMYFUNCTION("""COMPUTED_VALUE"""),27675)</f>
        <v>27675</v>
      </c>
      <c r="G434" s="1" t="str">
        <f ca="1">IFERROR(__xludf.DUMMYFUNCTION("""COMPUTED_VALUE"""),"13.0080/77.6900")</f>
        <v>13.0080/77.6900</v>
      </c>
      <c r="H434" s="1" t="str">
        <f ca="1">IFERROR(__xludf.DUMMYFUNCTION("""COMPUTED_VALUE"""),"Krishnarpur")</f>
        <v>Krishnarpur</v>
      </c>
      <c r="I434" s="1"/>
      <c r="J434" s="1" t="str">
        <f ca="1">IFERROR(__xludf.DUMMYFUNCTION("""COMPUTED_VALUE"""),"0d 00h 00m")</f>
        <v>0d 00h 00m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>
      <c r="A435" s="1">
        <f ca="1">IFERROR(__xludf.DUMMYFUNCTION("""COMPUTED_VALUE"""),137)</f>
        <v>137</v>
      </c>
      <c r="B435" s="1" t="str">
        <f ca="1">IFERROR(__xludf.DUMMYFUNCTION("""COMPUTED_VALUE"""),"E3_KA02AC5938_Jetting")</f>
        <v>E3_KA02AC5938_Jetting</v>
      </c>
      <c r="C435" s="1" t="str">
        <f ca="1">IFERROR(__xludf.DUMMYFUNCTION("""COMPUTED_VALUE"""),"e3_ka02ac5938_jetting")</f>
        <v>e3_ka02ac5938_jetting</v>
      </c>
      <c r="D435" s="2">
        <f ca="1">IFERROR(__xludf.DUMMYFUNCTION("""COMPUTED_VALUE"""),44796)</f>
        <v>44796</v>
      </c>
      <c r="E435" s="3">
        <f ca="1">IFERROR(__xludf.DUMMYFUNCTION("""COMPUTED_VALUE"""),0.559756944443506)</f>
        <v>0.55975694444350599</v>
      </c>
      <c r="F435" s="1">
        <f ca="1">IFERROR(__xludf.DUMMYFUNCTION("""COMPUTED_VALUE"""),27679)</f>
        <v>27679</v>
      </c>
      <c r="G435" s="1" t="str">
        <f ca="1">IFERROR(__xludf.DUMMYFUNCTION("""COMPUTED_VALUE"""),"13.0242/77.7191")</f>
        <v>13.0242/77.7191</v>
      </c>
      <c r="H435" s="1" t="str">
        <f ca="1">IFERROR(__xludf.DUMMYFUNCTION("""COMPUTED_VALUE"""),"Medhalli")</f>
        <v>Medhalli</v>
      </c>
      <c r="I435" s="1"/>
      <c r="J435" s="1" t="str">
        <f ca="1">IFERROR(__xludf.DUMMYFUNCTION("""COMPUTED_VALUE"""),"0d 00h 00m")</f>
        <v>0d 00h 00m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>
      <c r="A436" s="1">
        <f ca="1">IFERROR(__xludf.DUMMYFUNCTION("""COMPUTED_VALUE"""),232)</f>
        <v>232</v>
      </c>
      <c r="B436" s="1" t="str">
        <f ca="1">IFERROR(__xludf.DUMMYFUNCTION("""COMPUTED_VALUE"""),"E3_KA02AC5938_Jetting")</f>
        <v>E3_KA02AC5938_Jetting</v>
      </c>
      <c r="C436" s="1" t="str">
        <f ca="1">IFERROR(__xludf.DUMMYFUNCTION("""COMPUTED_VALUE"""),"e3_ka02ac5938_jetting")</f>
        <v>e3_ka02ac5938_jetting</v>
      </c>
      <c r="D436" s="2">
        <f ca="1">IFERROR(__xludf.DUMMYFUNCTION("""COMPUTED_VALUE"""),44830)</f>
        <v>44830</v>
      </c>
      <c r="E436" s="3">
        <f ca="1">IFERROR(__xludf.DUMMYFUNCTION("""COMPUTED_VALUE"""),0.999282407407008)</f>
        <v>0.99928240740700802</v>
      </c>
      <c r="F436" s="1">
        <f ca="1">IFERROR(__xludf.DUMMYFUNCTION("""COMPUTED_VALUE"""),28316)</f>
        <v>28316</v>
      </c>
      <c r="G436" s="1" t="str">
        <f ca="1">IFERROR(__xludf.DUMMYFUNCTION("""COMPUTED_VALUE"""),"13.0081/77.6900")</f>
        <v>13.0081/77.6900</v>
      </c>
      <c r="H436" s="1" t="str">
        <f ca="1">IFERROR(__xludf.DUMMYFUNCTION("""COMPUTED_VALUE"""),"Krishnarpur")</f>
        <v>Krishnarpur</v>
      </c>
      <c r="I436" s="1"/>
      <c r="J436" s="1" t="str">
        <f ca="1">IFERROR(__xludf.DUMMYFUNCTION("""COMPUTED_VALUE"""),"0d 00h 00m")</f>
        <v>0d 00h 00m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>
      <c r="A437" s="1">
        <f ca="1">IFERROR(__xludf.DUMMYFUNCTION("""COMPUTED_VALUE"""),165)</f>
        <v>165</v>
      </c>
      <c r="B437" s="1" t="str">
        <f ca="1">IFERROR(__xludf.DUMMYFUNCTION("""COMPUTED_VALUE"""),"E3_KA02AC5938_Jetting")</f>
        <v>E3_KA02AC5938_Jetting</v>
      </c>
      <c r="C437" s="1" t="str">
        <f ca="1">IFERROR(__xludf.DUMMYFUNCTION("""COMPUTED_VALUE"""),"e3_ka02ac5938_jetting")</f>
        <v>e3_ka02ac5938_jetting</v>
      </c>
      <c r="D437" s="2">
        <f ca="1">IFERROR(__xludf.DUMMYFUNCTION("""COMPUTED_VALUE"""),44860)</f>
        <v>44860</v>
      </c>
      <c r="E437" s="3">
        <f ca="1">IFERROR(__xludf.DUMMYFUNCTION("""COMPUTED_VALUE"""),0.99900462962978)</f>
        <v>0.99900462962977998</v>
      </c>
      <c r="F437" s="1">
        <f ca="1">IFERROR(__xludf.DUMMYFUNCTION("""COMPUTED_VALUE"""),28939)</f>
        <v>28939</v>
      </c>
      <c r="G437" s="1" t="str">
        <f ca="1">IFERROR(__xludf.DUMMYFUNCTION("""COMPUTED_VALUE"""),"13.0080/77.6899")</f>
        <v>13.0080/77.6899</v>
      </c>
      <c r="H437" s="1" t="str">
        <f ca="1">IFERROR(__xludf.DUMMYFUNCTION("""COMPUTED_VALUE"""),"Krishnarpur")</f>
        <v>Krishnarpur</v>
      </c>
      <c r="I437" s="1"/>
      <c r="J437" s="1" t="str">
        <f ca="1">IFERROR(__xludf.DUMMYFUNCTION("""COMPUTED_VALUE"""),"0d 00h 00m")</f>
        <v>0d 00h 00m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>
      <c r="A438" s="1">
        <f ca="1">IFERROR(__xludf.DUMMYFUNCTION("""COMPUTED_VALUE"""),192)</f>
        <v>192</v>
      </c>
      <c r="B438" s="1" t="str">
        <f ca="1">IFERROR(__xludf.DUMMYFUNCTION("""COMPUTED_VALUE"""),"E3_KA02AF6874_Tanker")</f>
        <v>E3_KA02AF6874_Tanker</v>
      </c>
      <c r="C438" s="1" t="str">
        <f ca="1">IFERROR(__xludf.DUMMYFUNCTION("""COMPUTED_VALUE"""),"e3_ka02af6874_tanker")</f>
        <v>e3_ka02af6874_tanker</v>
      </c>
      <c r="D438" s="2">
        <f ca="1">IFERROR(__xludf.DUMMYFUNCTION("""COMPUTED_VALUE"""),44707)</f>
        <v>44707</v>
      </c>
      <c r="E438" s="3">
        <f ca="1">IFERROR(__xludf.DUMMYFUNCTION("""COMPUTED_VALUE"""),0.999131944445252)</f>
        <v>0.999131944445252</v>
      </c>
      <c r="F438" s="1">
        <f ca="1">IFERROR(__xludf.DUMMYFUNCTION("""COMPUTED_VALUE"""),15605)</f>
        <v>15605</v>
      </c>
      <c r="G438" s="1" t="str">
        <f ca="1">IFERROR(__xludf.DUMMYFUNCTION("""COMPUTED_VALUE"""),"13.0084/77.6901")</f>
        <v>13.0084/77.6901</v>
      </c>
      <c r="H438" s="1" t="str">
        <f ca="1">IFERROR(__xludf.DUMMYFUNCTION("""COMPUTED_VALUE"""),"KrishnarÄjpur")</f>
        <v>KrishnarÄjpur</v>
      </c>
      <c r="I438" s="1"/>
      <c r="J438" s="1" t="str">
        <f ca="1">IFERROR(__xludf.DUMMYFUNCTION("""COMPUTED_VALUE"""),"0d 16h 26m")</f>
        <v>0d 16h 26m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>
      <c r="A439" s="1">
        <f ca="1">IFERROR(__xludf.DUMMYFUNCTION("""COMPUTED_VALUE"""),177)</f>
        <v>177</v>
      </c>
      <c r="B439" s="1" t="str">
        <f ca="1">IFERROR(__xludf.DUMMYFUNCTION("""COMPUTED_VALUE"""),"E3_KA02AF6874_Tanker")</f>
        <v>E3_KA02AF6874_Tanker</v>
      </c>
      <c r="C439" s="1" t="str">
        <f ca="1">IFERROR(__xludf.DUMMYFUNCTION("""COMPUTED_VALUE"""),"e3_ka02af6874_tanker")</f>
        <v>e3_ka02af6874_tanker</v>
      </c>
      <c r="D439" s="2">
        <f ca="1">IFERROR(__xludf.DUMMYFUNCTION("""COMPUTED_VALUE"""),44738)</f>
        <v>44738</v>
      </c>
      <c r="E439" s="3">
        <f ca="1">IFERROR(__xludf.DUMMYFUNCTION("""COMPUTED_VALUE"""),0.999062499999126)</f>
        <v>0.999062499999126</v>
      </c>
      <c r="F439" s="1">
        <f ca="1">IFERROR(__xludf.DUMMYFUNCTION("""COMPUTED_VALUE"""),16103)</f>
        <v>16103</v>
      </c>
      <c r="G439" s="1" t="str">
        <f ca="1">IFERROR(__xludf.DUMMYFUNCTION("""COMPUTED_VALUE"""),"13.0082/77.6899")</f>
        <v>13.0082/77.6899</v>
      </c>
      <c r="H439" s="1" t="str">
        <f ca="1">IFERROR(__xludf.DUMMYFUNCTION("""COMPUTED_VALUE"""),"Krishnarpur")</f>
        <v>Krishnarpur</v>
      </c>
      <c r="I439" s="1"/>
      <c r="J439" s="1" t="str">
        <f ca="1">IFERROR(__xludf.DUMMYFUNCTION("""COMPUTED_VALUE"""),"0d 16h 27m")</f>
        <v>0d 16h 27m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>
      <c r="A440" s="1">
        <f ca="1">IFERROR(__xludf.DUMMYFUNCTION("""COMPUTED_VALUE"""),130)</f>
        <v>130</v>
      </c>
      <c r="B440" s="1" t="str">
        <f ca="1">IFERROR(__xludf.DUMMYFUNCTION("""COMPUTED_VALUE"""),"E3_KA02AF6874_Tanker")</f>
        <v>E3_KA02AF6874_Tanker</v>
      </c>
      <c r="C440" s="1" t="str">
        <f ca="1">IFERROR(__xludf.DUMMYFUNCTION("""COMPUTED_VALUE"""),"e3_ka02af6874_tanker")</f>
        <v>e3_ka02af6874_tanker</v>
      </c>
      <c r="D440" s="2">
        <f ca="1">IFERROR(__xludf.DUMMYFUNCTION("""COMPUTED_VALUE"""),44768)</f>
        <v>44768</v>
      </c>
      <c r="E440" s="3">
        <f ca="1">IFERROR(__xludf.DUMMYFUNCTION("""COMPUTED_VALUE"""),0.0916435185172304)</f>
        <v>9.1643518517230405E-2</v>
      </c>
      <c r="F440" s="1">
        <f ca="1">IFERROR(__xludf.DUMMYFUNCTION("""COMPUTED_VALUE"""),18023)</f>
        <v>18023</v>
      </c>
      <c r="G440" s="1" t="str">
        <f ca="1">IFERROR(__xludf.DUMMYFUNCTION("""COMPUTED_VALUE"""),"13.0081/77.6899")</f>
        <v>13.0081/77.6899</v>
      </c>
      <c r="H440" s="1" t="str">
        <f ca="1">IFERROR(__xludf.DUMMYFUNCTION("""COMPUTED_VALUE"""),"Krishnarpur")</f>
        <v>Krishnarpur</v>
      </c>
      <c r="I440" s="1"/>
      <c r="J440" s="1" t="str">
        <f ca="1">IFERROR(__xludf.DUMMYFUNCTION("""COMPUTED_VALUE"""),"0d 16h 28m")</f>
        <v>0d 16h 28m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>
      <c r="A441" s="1">
        <f ca="1">IFERROR(__xludf.DUMMYFUNCTION("""COMPUTED_VALUE"""),132)</f>
        <v>132</v>
      </c>
      <c r="B441" s="1" t="str">
        <f ca="1">IFERROR(__xludf.DUMMYFUNCTION("""COMPUTED_VALUE"""),"E3_KA02AF6874_Tanker")</f>
        <v>E3_KA02AF6874_Tanker</v>
      </c>
      <c r="C441" s="1" t="str">
        <f ca="1">IFERROR(__xludf.DUMMYFUNCTION("""COMPUTED_VALUE"""),"e3_ka02af6874_tanker")</f>
        <v>e3_ka02af6874_tanker</v>
      </c>
      <c r="D441" s="2">
        <f ca="1">IFERROR(__xludf.DUMMYFUNCTION("""COMPUTED_VALUE"""),44795)</f>
        <v>44795</v>
      </c>
      <c r="E441" s="3">
        <f ca="1">IFERROR(__xludf.DUMMYFUNCTION("""COMPUTED_VALUE"""),0.637627314816199)</f>
        <v>0.63762731481619905</v>
      </c>
      <c r="F441" s="1">
        <f ca="1">IFERROR(__xludf.DUMMYFUNCTION("""COMPUTED_VALUE"""),18166)</f>
        <v>18166</v>
      </c>
      <c r="G441" s="1" t="str">
        <f ca="1">IFERROR(__xludf.DUMMYFUNCTION("""COMPUTED_VALUE"""),"13.0101/77.5662")</f>
        <v>13.0101/77.5662</v>
      </c>
      <c r="H441" s="1" t="str">
        <f ca="1">IFERROR(__xludf.DUMMYFUNCTION("""COMPUTED_VALUE"""),"Malleshwaram")</f>
        <v>Malleshwaram</v>
      </c>
      <c r="I441" s="1"/>
      <c r="J441" s="1" t="str">
        <f ca="1">IFERROR(__xludf.DUMMYFUNCTION("""COMPUTED_VALUE"""),"0d 16h 29m")</f>
        <v>0d 16h 29m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>
      <c r="A442" s="1">
        <f ca="1">IFERROR(__xludf.DUMMYFUNCTION("""COMPUTED_VALUE"""),135)</f>
        <v>135</v>
      </c>
      <c r="B442" s="1" t="str">
        <f ca="1">IFERROR(__xludf.DUMMYFUNCTION("""COMPUTED_VALUE"""),"E3_KA02AF6874_Tanker")</f>
        <v>E3_KA02AF6874_Tanker</v>
      </c>
      <c r="C442" s="1" t="str">
        <f ca="1">IFERROR(__xludf.DUMMYFUNCTION("""COMPUTED_VALUE"""),"e3_ka02af6874_tanker")</f>
        <v>e3_ka02af6874_tanker</v>
      </c>
      <c r="D442" s="2">
        <f ca="1">IFERROR(__xludf.DUMMYFUNCTION("""COMPUTED_VALUE"""),44828)</f>
        <v>44828</v>
      </c>
      <c r="E442" s="3">
        <f ca="1">IFERROR(__xludf.DUMMYFUNCTION("""COMPUTED_VALUE"""),0.803726851852843)</f>
        <v>0.80372685185284298</v>
      </c>
      <c r="F442" s="1">
        <f ca="1">IFERROR(__xludf.DUMMYFUNCTION("""COMPUTED_VALUE"""),18181)</f>
        <v>18181</v>
      </c>
      <c r="G442" s="1" t="str">
        <f ca="1">IFERROR(__xludf.DUMMYFUNCTION("""COMPUTED_VALUE"""),"13.0102/77.5665")</f>
        <v>13.0102/77.5665</v>
      </c>
      <c r="H442" s="1" t="str">
        <f ca="1">IFERROR(__xludf.DUMMYFUNCTION("""COMPUTED_VALUE"""),"Malleshwaram")</f>
        <v>Malleshwaram</v>
      </c>
      <c r="I442" s="1"/>
      <c r="J442" s="1" t="str">
        <f ca="1">IFERROR(__xludf.DUMMYFUNCTION("""COMPUTED_VALUE"""),"0d 16h 30m")</f>
        <v>0d 16h 30m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>
      <c r="A443" s="1">
        <f ca="1">IFERROR(__xludf.DUMMYFUNCTION("""COMPUTED_VALUE"""),77)</f>
        <v>77</v>
      </c>
      <c r="B443" s="1" t="str">
        <f ca="1">IFERROR(__xludf.DUMMYFUNCTION("""COMPUTED_VALUE"""),"E3_KA02AF6874_Tanker")</f>
        <v>E3_KA02AF6874_Tanker</v>
      </c>
      <c r="C443" s="1" t="str">
        <f ca="1">IFERROR(__xludf.DUMMYFUNCTION("""COMPUTED_VALUE"""),"e3_ka02af6874_tanker")</f>
        <v>e3_ka02af6874_tanker</v>
      </c>
      <c r="D443" s="2">
        <f ca="1">IFERROR(__xludf.DUMMYFUNCTION("""COMPUTED_VALUE"""),44838)</f>
        <v>44838</v>
      </c>
      <c r="E443" s="3">
        <f ca="1">IFERROR(__xludf.DUMMYFUNCTION("""COMPUTED_VALUE"""),0.711180555554165)</f>
        <v>0.71118055555416504</v>
      </c>
      <c r="F443" s="1">
        <f ca="1">IFERROR(__xludf.DUMMYFUNCTION("""COMPUTED_VALUE"""),18184)</f>
        <v>18184</v>
      </c>
      <c r="G443" s="1" t="str">
        <f ca="1">IFERROR(__xludf.DUMMYFUNCTION("""COMPUTED_VALUE"""),"13.0100/77.5666")</f>
        <v>13.0100/77.5666</v>
      </c>
      <c r="H443" s="1" t="str">
        <f ca="1">IFERROR(__xludf.DUMMYFUNCTION("""COMPUTED_VALUE"""),"Malleshwaram")</f>
        <v>Malleshwaram</v>
      </c>
      <c r="I443" s="1"/>
      <c r="J443" s="1" t="str">
        <f ca="1">IFERROR(__xludf.DUMMYFUNCTION("""COMPUTED_VALUE"""),"0d 16h 30m")</f>
        <v>0d 16h 30m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>
      <c r="A444" s="1">
        <f ca="1">IFERROR(__xludf.DUMMYFUNCTION("""COMPUTED_VALUE"""),187)</f>
        <v>187</v>
      </c>
      <c r="B444" s="1" t="str">
        <f ca="1">IFERROR(__xludf.DUMMYFUNCTION("""COMPUTED_VALUE"""),"E3_KA04AA9032_Desilting")</f>
        <v>E3_KA04AA9032_Desilting</v>
      </c>
      <c r="C444" s="1" t="str">
        <f ca="1">IFERROR(__xludf.DUMMYFUNCTION("""COMPUTED_VALUE"""),"e3_ka04aa9032_desilting")</f>
        <v>e3_ka04aa9032_desilting</v>
      </c>
      <c r="D444" s="2">
        <f ca="1">IFERROR(__xludf.DUMMYFUNCTION("""COMPUTED_VALUE"""),44707)</f>
        <v>44707</v>
      </c>
      <c r="E444" s="3">
        <f ca="1">IFERROR(__xludf.DUMMYFUNCTION("""COMPUTED_VALUE"""),0.999108796295331)</f>
        <v>0.999108796295331</v>
      </c>
      <c r="F444" s="1">
        <f ca="1">IFERROR(__xludf.DUMMYFUNCTION("""COMPUTED_VALUE"""),21025)</f>
        <v>21025</v>
      </c>
      <c r="G444" s="1" t="str">
        <f ca="1">IFERROR(__xludf.DUMMYFUNCTION("""COMPUTED_VALUE"""),"13.0082/77.6900")</f>
        <v>13.0082/77.6900</v>
      </c>
      <c r="H444" s="1" t="str">
        <f ca="1">IFERROR(__xludf.DUMMYFUNCTION("""COMPUTED_VALUE"""),"KrishnarÄjpur")</f>
        <v>KrishnarÄjpur</v>
      </c>
      <c r="I444" s="1"/>
      <c r="J444" s="1" t="str">
        <f ca="1">IFERROR(__xludf.DUMMYFUNCTION("""COMPUTED_VALUE"""),"4d 18h 19m")</f>
        <v>4d 18h 19m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>
      <c r="A445" s="1">
        <f ca="1">IFERROR(__xludf.DUMMYFUNCTION("""COMPUTED_VALUE"""),161)</f>
        <v>161</v>
      </c>
      <c r="B445" s="1" t="str">
        <f ca="1">IFERROR(__xludf.DUMMYFUNCTION("""COMPUTED_VALUE"""),"E3_KA04AA9032_Desilting")</f>
        <v>E3_KA04AA9032_Desilting</v>
      </c>
      <c r="C445" s="1" t="str">
        <f ca="1">IFERROR(__xludf.DUMMYFUNCTION("""COMPUTED_VALUE"""),"e3_ka04aa9032_desilting")</f>
        <v>e3_ka04aa9032_desilting</v>
      </c>
      <c r="D445" s="2">
        <f ca="1">IFERROR(__xludf.DUMMYFUNCTION("""COMPUTED_VALUE"""),44738)</f>
        <v>44738</v>
      </c>
      <c r="E445" s="3">
        <f ca="1">IFERROR(__xludf.DUMMYFUNCTION("""COMPUTED_VALUE"""),0.998981481479859)</f>
        <v>0.99898148147985899</v>
      </c>
      <c r="F445" s="1">
        <f ca="1">IFERROR(__xludf.DUMMYFUNCTION("""COMPUTED_VALUE"""),21759)</f>
        <v>21759</v>
      </c>
      <c r="G445" s="1" t="str">
        <f ca="1">IFERROR(__xludf.DUMMYFUNCTION("""COMPUTED_VALUE"""),"13.0081/77.6900")</f>
        <v>13.0081/77.6900</v>
      </c>
      <c r="H445" s="1" t="str">
        <f ca="1">IFERROR(__xludf.DUMMYFUNCTION("""COMPUTED_VALUE"""),"Krishnarpur")</f>
        <v>Krishnarpur</v>
      </c>
      <c r="I445" s="1"/>
      <c r="J445" s="1" t="str">
        <f ca="1">IFERROR(__xludf.DUMMYFUNCTION("""COMPUTED_VALUE"""),"4d 18h 20m")</f>
        <v>4d 18h 20m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>
      <c r="A446" s="1">
        <f ca="1">IFERROR(__xludf.DUMMYFUNCTION("""COMPUTED_VALUE"""),226)</f>
        <v>226</v>
      </c>
      <c r="B446" s="1" t="str">
        <f ca="1">IFERROR(__xludf.DUMMYFUNCTION("""COMPUTED_VALUE"""),"E3_KA04AA9032_Desilting")</f>
        <v>E3_KA04AA9032_Desilting</v>
      </c>
      <c r="C446" s="1" t="str">
        <f ca="1">IFERROR(__xludf.DUMMYFUNCTION("""COMPUTED_VALUE"""),"e3_ka04aa9032_desilting")</f>
        <v>e3_ka04aa9032_desilting</v>
      </c>
      <c r="D446" s="2">
        <f ca="1">IFERROR(__xludf.DUMMYFUNCTION("""COMPUTED_VALUE"""),44768)</f>
        <v>44768</v>
      </c>
      <c r="E446" s="3">
        <f ca="1">IFERROR(__xludf.DUMMYFUNCTION("""COMPUTED_VALUE"""),0.999270833333866)</f>
        <v>0.99927083333386602</v>
      </c>
      <c r="F446" s="1">
        <f ca="1">IFERROR(__xludf.DUMMYFUNCTION("""COMPUTED_VALUE"""),22830)</f>
        <v>22830</v>
      </c>
      <c r="G446" s="1" t="str">
        <f ca="1">IFERROR(__xludf.DUMMYFUNCTION("""COMPUTED_VALUE"""),"13.0082/77.6900")</f>
        <v>13.0082/77.6900</v>
      </c>
      <c r="H446" s="1" t="str">
        <f ca="1">IFERROR(__xludf.DUMMYFUNCTION("""COMPUTED_VALUE"""),"Krishnarpur")</f>
        <v>Krishnarpur</v>
      </c>
      <c r="I446" s="1"/>
      <c r="J446" s="1" t="str">
        <f ca="1">IFERROR(__xludf.DUMMYFUNCTION("""COMPUTED_VALUE"""),"4d 18h 21m")</f>
        <v>4d 18h 21m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>
      <c r="A447" s="1">
        <f ca="1">IFERROR(__xludf.DUMMYFUNCTION("""COMPUTED_VALUE"""),185)</f>
        <v>185</v>
      </c>
      <c r="B447" s="1" t="str">
        <f ca="1">IFERROR(__xludf.DUMMYFUNCTION("""COMPUTED_VALUE"""),"E3_KA04AA9032_Desilting")</f>
        <v>E3_KA04AA9032_Desilting</v>
      </c>
      <c r="C447" s="1" t="str">
        <f ca="1">IFERROR(__xludf.DUMMYFUNCTION("""COMPUTED_VALUE"""),"e3_ka04aa9032_desilting")</f>
        <v>e3_ka04aa9032_desilting</v>
      </c>
      <c r="D447" s="2">
        <f ca="1">IFERROR(__xludf.DUMMYFUNCTION("""COMPUTED_VALUE"""),44799)</f>
        <v>44799</v>
      </c>
      <c r="E447" s="3">
        <f ca="1">IFERROR(__xludf.DUMMYFUNCTION("""COMPUTED_VALUE"""),0.999050925925985)</f>
        <v>0.99905092592598499</v>
      </c>
      <c r="F447" s="1">
        <f ca="1">IFERROR(__xludf.DUMMYFUNCTION("""COMPUTED_VALUE"""),23948)</f>
        <v>23948</v>
      </c>
      <c r="G447" s="1" t="str">
        <f ca="1">IFERROR(__xludf.DUMMYFUNCTION("""COMPUTED_VALUE"""),"13.0080/77.6899")</f>
        <v>13.0080/77.6899</v>
      </c>
      <c r="H447" s="1" t="str">
        <f ca="1">IFERROR(__xludf.DUMMYFUNCTION("""COMPUTED_VALUE"""),"Krishnarpur")</f>
        <v>Krishnarpur</v>
      </c>
      <c r="I447" s="1"/>
      <c r="J447" s="1" t="str">
        <f ca="1">IFERROR(__xludf.DUMMYFUNCTION("""COMPUTED_VALUE"""),"4d 18h 21m")</f>
        <v>4d 18h 21m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>
      <c r="A448" s="1">
        <f ca="1">IFERROR(__xludf.DUMMYFUNCTION("""COMPUTED_VALUE"""),195)</f>
        <v>195</v>
      </c>
      <c r="B448" s="1" t="str">
        <f ca="1">IFERROR(__xludf.DUMMYFUNCTION("""COMPUTED_VALUE"""),"E3_KA04AA9032_Desilting")</f>
        <v>E3_KA04AA9032_Desilting</v>
      </c>
      <c r="C448" s="1" t="str">
        <f ca="1">IFERROR(__xludf.DUMMYFUNCTION("""COMPUTED_VALUE"""),"e3_ka04aa9032_desilting")</f>
        <v>e3_ka04aa9032_desilting</v>
      </c>
      <c r="D448" s="2">
        <f ca="1">IFERROR(__xludf.DUMMYFUNCTION("""COMPUTED_VALUE"""),44830)</f>
        <v>44830</v>
      </c>
      <c r="E448" s="3">
        <f ca="1">IFERROR(__xludf.DUMMYFUNCTION("""COMPUTED_VALUE"""),0.999108796295331)</f>
        <v>0.999108796295331</v>
      </c>
      <c r="F448" s="1">
        <f ca="1">IFERROR(__xludf.DUMMYFUNCTION("""COMPUTED_VALUE"""),24987)</f>
        <v>24987</v>
      </c>
      <c r="G448" s="1" t="str">
        <f ca="1">IFERROR(__xludf.DUMMYFUNCTION("""COMPUTED_VALUE"""),"13.0079/77.6900")</f>
        <v>13.0079/77.6900</v>
      </c>
      <c r="H448" s="1" t="str">
        <f ca="1">IFERROR(__xludf.DUMMYFUNCTION("""COMPUTED_VALUE"""),"Krishnarpur")</f>
        <v>Krishnarpur</v>
      </c>
      <c r="I448" s="1"/>
      <c r="J448" s="1" t="str">
        <f ca="1">IFERROR(__xludf.DUMMYFUNCTION("""COMPUTED_VALUE"""),"4d 18h 22m")</f>
        <v>4d 18h 22m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>
      <c r="A449" s="1">
        <f ca="1">IFERROR(__xludf.DUMMYFUNCTION("""COMPUTED_VALUE"""),178)</f>
        <v>178</v>
      </c>
      <c r="B449" s="1" t="str">
        <f ca="1">IFERROR(__xludf.DUMMYFUNCTION("""COMPUTED_VALUE"""),"E3_KA04AA9032_Desilting")</f>
        <v>E3_KA04AA9032_Desilting</v>
      </c>
      <c r="C449" s="1" t="str">
        <f ca="1">IFERROR(__xludf.DUMMYFUNCTION("""COMPUTED_VALUE"""),"e3_ka04aa9032_desilting")</f>
        <v>e3_ka04aa9032_desilting</v>
      </c>
      <c r="D449" s="2">
        <f ca="1">IFERROR(__xludf.DUMMYFUNCTION("""COMPUTED_VALUE"""),44860)</f>
        <v>44860</v>
      </c>
      <c r="E449" s="3">
        <f ca="1">IFERROR(__xludf.DUMMYFUNCTION("""COMPUTED_VALUE"""),0.999062499999126)</f>
        <v>0.999062499999126</v>
      </c>
      <c r="F449" s="1">
        <f ca="1">IFERROR(__xludf.DUMMYFUNCTION("""COMPUTED_VALUE"""),25587)</f>
        <v>25587</v>
      </c>
      <c r="G449" s="1" t="str">
        <f ca="1">IFERROR(__xludf.DUMMYFUNCTION("""COMPUTED_VALUE"""),"13.0080/77.6900")</f>
        <v>13.0080/77.6900</v>
      </c>
      <c r="H449" s="1" t="str">
        <f ca="1">IFERROR(__xludf.DUMMYFUNCTION("""COMPUTED_VALUE"""),"Krishnarpur")</f>
        <v>Krishnarpur</v>
      </c>
      <c r="I449" s="1"/>
      <c r="J449" s="1" t="str">
        <f ca="1">IFERROR(__xludf.DUMMYFUNCTION("""COMPUTED_VALUE"""),"4d 18h 23m")</f>
        <v>4d 18h 23m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>
      <c r="A450" s="1">
        <f ca="1">IFERROR(__xludf.DUMMYFUNCTION("""COMPUTED_VALUE"""),96)</f>
        <v>96</v>
      </c>
      <c r="B450" s="1" t="str">
        <f ca="1">IFERROR(__xludf.DUMMYFUNCTION("""COMPUTED_VALUE"""),"E3_KA04AB6023_Jetting")</f>
        <v>E3_KA04AB6023_Jetting</v>
      </c>
      <c r="C450" s="1" t="str">
        <f ca="1">IFERROR(__xludf.DUMMYFUNCTION("""COMPUTED_VALUE"""),"e3_ka04ab6023_jetting")</f>
        <v>e3_ka04ab6023_jetting</v>
      </c>
      <c r="D450" s="2">
        <f ca="1">IFERROR(__xludf.DUMMYFUNCTION("""COMPUTED_VALUE"""),44702)</f>
        <v>44702</v>
      </c>
      <c r="E450" s="3">
        <f ca="1">IFERROR(__xludf.DUMMYFUNCTION("""COMPUTED_VALUE"""),0.680532407408463)</f>
        <v>0.68053240740846299</v>
      </c>
      <c r="F450" s="1">
        <f ca="1">IFERROR(__xludf.DUMMYFUNCTION("""COMPUTED_VALUE"""),28884)</f>
        <v>28884</v>
      </c>
      <c r="G450" s="1" t="str">
        <f ca="1">IFERROR(__xludf.DUMMYFUNCTION("""COMPUTED_VALUE"""),"12.9945/77.6991")</f>
        <v>12.9945/77.6991</v>
      </c>
      <c r="H450" s="1" t="str">
        <f ca="1">IFERROR(__xludf.DUMMYFUNCTION("""COMPUTED_VALUE"""),"Mapple Whiteland")</f>
        <v>Mapple Whiteland</v>
      </c>
      <c r="I450" s="1"/>
      <c r="J450" s="1" t="str">
        <f ca="1">IFERROR(__xludf.DUMMYFUNCTION("""COMPUTED_VALUE"""),"0d 17h 21m")</f>
        <v>0d 17h 21m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>
      <c r="A451" s="1">
        <f ca="1">IFERROR(__xludf.DUMMYFUNCTION("""COMPUTED_VALUE"""),126)</f>
        <v>126</v>
      </c>
      <c r="B451" s="1" t="str">
        <f ca="1">IFERROR(__xludf.DUMMYFUNCTION("""COMPUTED_VALUE"""),"E3_KA04AB6023_Jetting")</f>
        <v>E3_KA04AB6023_Jetting</v>
      </c>
      <c r="C451" s="1" t="str">
        <f ca="1">IFERROR(__xludf.DUMMYFUNCTION("""COMPUTED_VALUE"""),"e3_ka04ab6023_jetting")</f>
        <v>e3_ka04ab6023_jetting</v>
      </c>
      <c r="D451" s="2">
        <f ca="1">IFERROR(__xludf.DUMMYFUNCTION("""COMPUTED_VALUE"""),44737)</f>
        <v>44737</v>
      </c>
      <c r="E451" s="3">
        <f ca="1">IFERROR(__xludf.DUMMYFUNCTION("""COMPUTED_VALUE"""),0.581990740742185)</f>
        <v>0.58199074074218504</v>
      </c>
      <c r="F451" s="1">
        <f ca="1">IFERROR(__xludf.DUMMYFUNCTION("""COMPUTED_VALUE"""),29633)</f>
        <v>29633</v>
      </c>
      <c r="G451" s="1" t="str">
        <f ca="1">IFERROR(__xludf.DUMMYFUNCTION("""COMPUTED_VALUE"""),"13.0082/77.6899")</f>
        <v>13.0082/77.6899</v>
      </c>
      <c r="H451" s="1" t="str">
        <f ca="1">IFERROR(__xludf.DUMMYFUNCTION("""COMPUTED_VALUE"""),"Krishnarpur")</f>
        <v>Krishnarpur</v>
      </c>
      <c r="I451" s="1"/>
      <c r="J451" s="1" t="str">
        <f ca="1">IFERROR(__xludf.DUMMYFUNCTION("""COMPUTED_VALUE"""),"0d 17h 22m")</f>
        <v>0d 17h 22m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>
      <c r="A452" s="1">
        <f ca="1">IFERROR(__xludf.DUMMYFUNCTION("""COMPUTED_VALUE"""),103)</f>
        <v>103</v>
      </c>
      <c r="B452" s="1" t="str">
        <f ca="1">IFERROR(__xludf.DUMMYFUNCTION("""COMPUTED_VALUE"""),"E3_KA04AB6023_Jetting")</f>
        <v>E3_KA04AB6023_Jetting</v>
      </c>
      <c r="C452" s="1" t="str">
        <f ca="1">IFERROR(__xludf.DUMMYFUNCTION("""COMPUTED_VALUE"""),"e3_ka04ab6023_jetting")</f>
        <v>e3_ka04ab6023_jetting</v>
      </c>
      <c r="D452" s="2">
        <f ca="1">IFERROR(__xludf.DUMMYFUNCTION("""COMPUTED_VALUE"""),44760)</f>
        <v>44760</v>
      </c>
      <c r="E452" s="3">
        <f ca="1">IFERROR(__xludf.DUMMYFUNCTION("""COMPUTED_VALUE"""),0.391041666665842)</f>
        <v>0.391041666665842</v>
      </c>
      <c r="F452" s="1">
        <f ca="1">IFERROR(__xludf.DUMMYFUNCTION("""COMPUTED_VALUE"""),30051)</f>
        <v>30051</v>
      </c>
      <c r="G452" s="1" t="str">
        <f ca="1">IFERROR(__xludf.DUMMYFUNCTION("""COMPUTED_VALUE"""),"13.0081/77.6895")</f>
        <v>13.0081/77.6895</v>
      </c>
      <c r="H452" s="1" t="str">
        <f ca="1">IFERROR(__xludf.DUMMYFUNCTION("""COMPUTED_VALUE"""),"Krishnarpur")</f>
        <v>Krishnarpur</v>
      </c>
      <c r="I452" s="1"/>
      <c r="J452" s="1" t="str">
        <f ca="1">IFERROR(__xludf.DUMMYFUNCTION("""COMPUTED_VALUE"""),"0d 17h 23m")</f>
        <v>0d 17h 23m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>
      <c r="A453" s="1">
        <f ca="1">IFERROR(__xludf.DUMMYFUNCTION("""COMPUTED_VALUE"""),207)</f>
        <v>207</v>
      </c>
      <c r="B453" s="1" t="str">
        <f ca="1">IFERROR(__xludf.DUMMYFUNCTION("""COMPUTED_VALUE"""),"E3_KA04AB6023_Jetting")</f>
        <v>E3_KA04AB6023_Jetting</v>
      </c>
      <c r="C453" s="1" t="str">
        <f ca="1">IFERROR(__xludf.DUMMYFUNCTION("""COMPUTED_VALUE"""),"e3_ka04ab6023_jetting")</f>
        <v>e3_ka04ab6023_jetting</v>
      </c>
      <c r="D453" s="2">
        <f ca="1">IFERROR(__xludf.DUMMYFUNCTION("""COMPUTED_VALUE"""),44799)</f>
        <v>44799</v>
      </c>
      <c r="E453" s="3">
        <f ca="1">IFERROR(__xludf.DUMMYFUNCTION("""COMPUTED_VALUE"""),0.999143518518394)</f>
        <v>0.999143518518394</v>
      </c>
      <c r="F453" s="1">
        <f ca="1">IFERROR(__xludf.DUMMYFUNCTION("""COMPUTED_VALUE"""),30116)</f>
        <v>30116</v>
      </c>
      <c r="G453" s="1" t="str">
        <f ca="1">IFERROR(__xludf.DUMMYFUNCTION("""COMPUTED_VALUE"""),"13.0080/77.6901")</f>
        <v>13.0080/77.6901</v>
      </c>
      <c r="H453" s="1" t="str">
        <f ca="1">IFERROR(__xludf.DUMMYFUNCTION("""COMPUTED_VALUE"""),"Krishnarpur")</f>
        <v>Krishnarpur</v>
      </c>
      <c r="I453" s="1"/>
      <c r="J453" s="1" t="str">
        <f ca="1">IFERROR(__xludf.DUMMYFUNCTION("""COMPUTED_VALUE"""),"0d 17h 24m")</f>
        <v>0d 17h 24m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>
      <c r="A454" s="1">
        <f ca="1">IFERROR(__xludf.DUMMYFUNCTION("""COMPUTED_VALUE"""),187)</f>
        <v>187</v>
      </c>
      <c r="B454" s="1" t="str">
        <f ca="1">IFERROR(__xludf.DUMMYFUNCTION("""COMPUTED_VALUE"""),"E3_KA04AB6023_Jetting")</f>
        <v>E3_KA04AB6023_Jetting</v>
      </c>
      <c r="C454" s="1" t="str">
        <f ca="1">IFERROR(__xludf.DUMMYFUNCTION("""COMPUTED_VALUE"""),"e3_ka04ab6023_jetting")</f>
        <v>e3_ka04ab6023_jetting</v>
      </c>
      <c r="D454" s="2">
        <f ca="1">IFERROR(__xludf.DUMMYFUNCTION("""COMPUTED_VALUE"""),44830)</f>
        <v>44830</v>
      </c>
      <c r="E454" s="3">
        <f ca="1">IFERROR(__xludf.DUMMYFUNCTION("""COMPUTED_VALUE"""),0.999085648149048)</f>
        <v>0.99908564814904799</v>
      </c>
      <c r="F454" s="1">
        <f ca="1">IFERROR(__xludf.DUMMYFUNCTION("""COMPUTED_VALUE"""),30538)</f>
        <v>30538</v>
      </c>
      <c r="G454" s="1" t="str">
        <f ca="1">IFERROR(__xludf.DUMMYFUNCTION("""COMPUTED_VALUE"""),"13.0082/77.6899")</f>
        <v>13.0082/77.6899</v>
      </c>
      <c r="H454" s="1" t="str">
        <f ca="1">IFERROR(__xludf.DUMMYFUNCTION("""COMPUTED_VALUE"""),"Krishnarpur")</f>
        <v>Krishnarpur</v>
      </c>
      <c r="I454" s="1"/>
      <c r="J454" s="1" t="str">
        <f ca="1">IFERROR(__xludf.DUMMYFUNCTION("""COMPUTED_VALUE"""),"0d 17h 25m")</f>
        <v>0d 17h 25m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>
      <c r="A455" s="1">
        <f ca="1">IFERROR(__xludf.DUMMYFUNCTION("""COMPUTED_VALUE"""),145)</f>
        <v>145</v>
      </c>
      <c r="B455" s="1" t="str">
        <f ca="1">IFERROR(__xludf.DUMMYFUNCTION("""COMPUTED_VALUE"""),"E3_KA04AB6023_Jetting")</f>
        <v>E3_KA04AB6023_Jetting</v>
      </c>
      <c r="C455" s="1" t="str">
        <f ca="1">IFERROR(__xludf.DUMMYFUNCTION("""COMPUTED_VALUE"""),"e3_ka04ab6023_jetting")</f>
        <v>e3_ka04ab6023_jetting</v>
      </c>
      <c r="D455" s="2">
        <f ca="1">IFERROR(__xludf.DUMMYFUNCTION("""COMPUTED_VALUE"""),44860)</f>
        <v>44860</v>
      </c>
      <c r="E455" s="3">
        <f ca="1">IFERROR(__xludf.DUMMYFUNCTION("""COMPUTED_VALUE"""),0.852395833331684)</f>
        <v>0.85239583333168401</v>
      </c>
      <c r="F455" s="1">
        <f ca="1">IFERROR(__xludf.DUMMYFUNCTION("""COMPUTED_VALUE"""),31409)</f>
        <v>31409</v>
      </c>
      <c r="G455" s="1" t="str">
        <f ca="1">IFERROR(__xludf.DUMMYFUNCTION("""COMPUTED_VALUE"""),"13.0081/77.6900")</f>
        <v>13.0081/77.6900</v>
      </c>
      <c r="H455" s="1" t="str">
        <f ca="1">IFERROR(__xludf.DUMMYFUNCTION("""COMPUTED_VALUE"""),"Krishnarpur")</f>
        <v>Krishnarpur</v>
      </c>
      <c r="I455" s="1"/>
      <c r="J455" s="1" t="str">
        <f ca="1">IFERROR(__xludf.DUMMYFUNCTION("""COMPUTED_VALUE"""),"0d 17h 25m")</f>
        <v>0d 17h 25m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>
      <c r="A456" s="1">
        <f ca="1">IFERROR(__xludf.DUMMYFUNCTION("""COMPUTED_VALUE"""),135)</f>
        <v>135</v>
      </c>
      <c r="B456" s="1" t="str">
        <f ca="1">IFERROR(__xludf.DUMMYFUNCTION("""COMPUTED_VALUE"""),"E3_KA04C5159_Jetting")</f>
        <v>E3_KA04C5159_Jetting</v>
      </c>
      <c r="C456" s="1" t="str">
        <f ca="1">IFERROR(__xludf.DUMMYFUNCTION("""COMPUTED_VALUE"""),"e3_ka04c5159_jetting")</f>
        <v>e3_ka04c5159_jetting</v>
      </c>
      <c r="D456" s="2">
        <f ca="1">IFERROR(__xludf.DUMMYFUNCTION("""COMPUTED_VALUE"""),44707)</f>
        <v>44707</v>
      </c>
      <c r="E456" s="3">
        <f ca="1">IFERROR(__xludf.DUMMYFUNCTION("""COMPUTED_VALUE"""),0.704467592593573)</f>
        <v>0.70446759259357306</v>
      </c>
      <c r="F456" s="1">
        <f ca="1">IFERROR(__xludf.DUMMYFUNCTION("""COMPUTED_VALUE"""),27618)</f>
        <v>27618</v>
      </c>
      <c r="G456" s="1" t="str">
        <f ca="1">IFERROR(__xludf.DUMMYFUNCTION("""COMPUTED_VALUE"""),"13.0080/77.6900")</f>
        <v>13.0080/77.6900</v>
      </c>
      <c r="H456" s="1" t="str">
        <f ca="1">IFERROR(__xludf.DUMMYFUNCTION("""COMPUTED_VALUE"""),"KrishnarÄjpur")</f>
        <v>KrishnarÄjpur</v>
      </c>
      <c r="I456" s="1"/>
      <c r="J456" s="1" t="str">
        <f ca="1">IFERROR(__xludf.DUMMYFUNCTION("""COMPUTED_VALUE"""),"3d 15h 39m")</f>
        <v>3d 15h 39m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>
      <c r="A457" s="1">
        <f ca="1">IFERROR(__xludf.DUMMYFUNCTION("""COMPUTED_VALUE"""),135)</f>
        <v>135</v>
      </c>
      <c r="B457" s="1" t="str">
        <f ca="1">IFERROR(__xludf.DUMMYFUNCTION("""COMPUTED_VALUE"""),"E3_KA04C5159_Jetting")</f>
        <v>E3_KA04C5159_Jetting</v>
      </c>
      <c r="C457" s="1" t="str">
        <f ca="1">IFERROR(__xludf.DUMMYFUNCTION("""COMPUTED_VALUE"""),"e3_ka04c5159_jetting")</f>
        <v>e3_ka04c5159_jetting</v>
      </c>
      <c r="D457" s="2">
        <f ca="1">IFERROR(__xludf.DUMMYFUNCTION("""COMPUTED_VALUE"""),44737)</f>
        <v>44737</v>
      </c>
      <c r="E457" s="3">
        <f ca="1">IFERROR(__xludf.DUMMYFUNCTION("""COMPUTED_VALUE"""),0.733703703703213)</f>
        <v>0.73370370370321303</v>
      </c>
      <c r="F457" s="1">
        <f ca="1">IFERROR(__xludf.DUMMYFUNCTION("""COMPUTED_VALUE"""),28167)</f>
        <v>28167</v>
      </c>
      <c r="G457" s="1" t="str">
        <f ca="1">IFERROR(__xludf.DUMMYFUNCTION("""COMPUTED_VALUE"""),"13.0084/77.6893")</f>
        <v>13.0084/77.6893</v>
      </c>
      <c r="H457" s="1" t="str">
        <f ca="1">IFERROR(__xludf.DUMMYFUNCTION("""COMPUTED_VALUE"""),"Krishnarpur")</f>
        <v>Krishnarpur</v>
      </c>
      <c r="I457" s="1"/>
      <c r="J457" s="1" t="str">
        <f ca="1">IFERROR(__xludf.DUMMYFUNCTION("""COMPUTED_VALUE"""),"3d 15h 40m")</f>
        <v>3d 15h 40m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>
      <c r="A458" s="1">
        <f ca="1">IFERROR(__xludf.DUMMYFUNCTION("""COMPUTED_VALUE"""),145)</f>
        <v>145</v>
      </c>
      <c r="B458" s="1" t="str">
        <f ca="1">IFERROR(__xludf.DUMMYFUNCTION("""COMPUTED_VALUE"""),"E3_KA04C5159_Jetting")</f>
        <v>E3_KA04C5159_Jetting</v>
      </c>
      <c r="C458" s="1" t="str">
        <f ca="1">IFERROR(__xludf.DUMMYFUNCTION("""COMPUTED_VALUE"""),"e3_ka04c5159_jetting")</f>
        <v>e3_ka04c5159_jetting</v>
      </c>
      <c r="D458" s="2">
        <f ca="1">IFERROR(__xludf.DUMMYFUNCTION("""COMPUTED_VALUE"""),44768)</f>
        <v>44768</v>
      </c>
      <c r="E458" s="3">
        <f ca="1">IFERROR(__xludf.DUMMYFUNCTION("""COMPUTED_VALUE"""),0.700150462962483)</f>
        <v>0.70015046296248296</v>
      </c>
      <c r="F458" s="1">
        <f ca="1">IFERROR(__xludf.DUMMYFUNCTION("""COMPUTED_VALUE"""),28958)</f>
        <v>28958</v>
      </c>
      <c r="G458" s="1" t="str">
        <f ca="1">IFERROR(__xludf.DUMMYFUNCTION("""COMPUTED_VALUE"""),"13.0079/77.6900")</f>
        <v>13.0079/77.6900</v>
      </c>
      <c r="H458" s="1" t="str">
        <f ca="1">IFERROR(__xludf.DUMMYFUNCTION("""COMPUTED_VALUE"""),"Krishnarpur")</f>
        <v>Krishnarpur</v>
      </c>
      <c r="I458" s="1"/>
      <c r="J458" s="1" t="str">
        <f ca="1">IFERROR(__xludf.DUMMYFUNCTION("""COMPUTED_VALUE"""),"3d 15h 40m")</f>
        <v>3d 15h 40m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>
      <c r="A459" s="1">
        <f ca="1">IFERROR(__xludf.DUMMYFUNCTION("""COMPUTED_VALUE"""),150)</f>
        <v>150</v>
      </c>
      <c r="B459" s="1" t="str">
        <f ca="1">IFERROR(__xludf.DUMMYFUNCTION("""COMPUTED_VALUE"""),"E3_KA04C5159_Jetting")</f>
        <v>E3_KA04C5159_Jetting</v>
      </c>
      <c r="C459" s="1" t="str">
        <f ca="1">IFERROR(__xludf.DUMMYFUNCTION("""COMPUTED_VALUE"""),"e3_ka04c5159_jetting")</f>
        <v>e3_ka04c5159_jetting</v>
      </c>
      <c r="D459" s="2">
        <f ca="1">IFERROR(__xludf.DUMMYFUNCTION("""COMPUTED_VALUE"""),44799)</f>
        <v>44799</v>
      </c>
      <c r="E459" s="3">
        <f ca="1">IFERROR(__xludf.DUMMYFUNCTION("""COMPUTED_VALUE"""),0.703414351850369)</f>
        <v>0.70341435185036905</v>
      </c>
      <c r="F459" s="1">
        <f ca="1">IFERROR(__xludf.DUMMYFUNCTION("""COMPUTED_VALUE"""),29978)</f>
        <v>29978</v>
      </c>
      <c r="G459" s="1" t="str">
        <f ca="1">IFERROR(__xludf.DUMMYFUNCTION("""COMPUTED_VALUE"""),"13.0080/77.6899")</f>
        <v>13.0080/77.6899</v>
      </c>
      <c r="H459" s="1" t="str">
        <f ca="1">IFERROR(__xludf.DUMMYFUNCTION("""COMPUTED_VALUE"""),"Krishnarpur")</f>
        <v>Krishnarpur</v>
      </c>
      <c r="I459" s="1"/>
      <c r="J459" s="1" t="str">
        <f ca="1">IFERROR(__xludf.DUMMYFUNCTION("""COMPUTED_VALUE"""),"3d 15h 41m")</f>
        <v>3d 15h 41m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>
      <c r="A460" s="1">
        <f ca="1">IFERROR(__xludf.DUMMYFUNCTION("""COMPUTED_VALUE"""),119)</f>
        <v>119</v>
      </c>
      <c r="B460" s="1" t="str">
        <f ca="1">IFERROR(__xludf.DUMMYFUNCTION("""COMPUTED_VALUE"""),"E3_KA04C5159_Jetting")</f>
        <v>E3_KA04C5159_Jetting</v>
      </c>
      <c r="C460" s="1" t="str">
        <f ca="1">IFERROR(__xludf.DUMMYFUNCTION("""COMPUTED_VALUE"""),"e3_ka04c5159_jetting")</f>
        <v>e3_ka04c5159_jetting</v>
      </c>
      <c r="D460" s="2">
        <f ca="1">IFERROR(__xludf.DUMMYFUNCTION("""COMPUTED_VALUE"""),44826)</f>
        <v>44826</v>
      </c>
      <c r="E460" s="3">
        <f ca="1">IFERROR(__xludf.DUMMYFUNCTION("""COMPUTED_VALUE"""),0.455185185186564)</f>
        <v>0.45518518518656398</v>
      </c>
      <c r="F460" s="1">
        <f ca="1">IFERROR(__xludf.DUMMYFUNCTION("""COMPUTED_VALUE"""),30429)</f>
        <v>30429</v>
      </c>
      <c r="G460" s="1" t="str">
        <f ca="1">IFERROR(__xludf.DUMMYFUNCTION("""COMPUTED_VALUE"""),"13.0102/77.5666")</f>
        <v>13.0102/77.5666</v>
      </c>
      <c r="H460" s="1" t="str">
        <f ca="1">IFERROR(__xludf.DUMMYFUNCTION("""COMPUTED_VALUE"""),"Malleshwaram")</f>
        <v>Malleshwaram</v>
      </c>
      <c r="I460" s="1"/>
      <c r="J460" s="1" t="str">
        <f ca="1">IFERROR(__xludf.DUMMYFUNCTION("""COMPUTED_VALUE"""),"3d 15h 42m")</f>
        <v>3d 15h 42m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>
      <c r="A461" s="1">
        <f ca="1">IFERROR(__xludf.DUMMYFUNCTION("""COMPUTED_VALUE"""),135)</f>
        <v>135</v>
      </c>
      <c r="B461" s="1" t="str">
        <f ca="1">IFERROR(__xludf.DUMMYFUNCTION("""COMPUTED_VALUE"""),"E3_KA04C5159_Jetting")</f>
        <v>E3_KA04C5159_Jetting</v>
      </c>
      <c r="C461" s="1" t="str">
        <f ca="1">IFERROR(__xludf.DUMMYFUNCTION("""COMPUTED_VALUE"""),"e3_ka04c5159_jetting")</f>
        <v>e3_ka04c5159_jetting</v>
      </c>
      <c r="D461" s="2">
        <f ca="1">IFERROR(__xludf.DUMMYFUNCTION("""COMPUTED_VALUE"""),44860)</f>
        <v>44860</v>
      </c>
      <c r="E461" s="3">
        <f ca="1">IFERROR(__xludf.DUMMYFUNCTION("""COMPUTED_VALUE"""),0.583379629628325)</f>
        <v>0.58337962962832501</v>
      </c>
      <c r="F461" s="1">
        <f ca="1">IFERROR(__xludf.DUMMYFUNCTION("""COMPUTED_VALUE"""),30477)</f>
        <v>30477</v>
      </c>
      <c r="G461" s="1" t="str">
        <f ca="1">IFERROR(__xludf.DUMMYFUNCTION("""COMPUTED_VALUE"""),"13.0081/77.6902")</f>
        <v>13.0081/77.6902</v>
      </c>
      <c r="H461" s="1" t="str">
        <f ca="1">IFERROR(__xludf.DUMMYFUNCTION("""COMPUTED_VALUE"""),"Krishnarpur")</f>
        <v>Krishnarpur</v>
      </c>
      <c r="I461" s="1"/>
      <c r="J461" s="1" t="str">
        <f ca="1">IFERROR(__xludf.DUMMYFUNCTION("""COMPUTED_VALUE"""),"3d 15h 43m")</f>
        <v>3d 15h 43m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>
      <c r="A462" s="1">
        <f ca="1">IFERROR(__xludf.DUMMYFUNCTION("""COMPUTED_VALUE"""),137)</f>
        <v>137</v>
      </c>
      <c r="B462" s="1" t="str">
        <f ca="1">IFERROR(__xludf.DUMMYFUNCTION("""COMPUTED_VALUE"""),"E3_KA04D5127_Tanker")</f>
        <v>E3_KA04D5127_Tanker</v>
      </c>
      <c r="C462" s="1" t="str">
        <f ca="1">IFERROR(__xludf.DUMMYFUNCTION("""COMPUTED_VALUE"""),"e3_ka04d5127_tanker")</f>
        <v>e3_ka04d5127_tanker</v>
      </c>
      <c r="D462" s="2">
        <f ca="1">IFERROR(__xludf.DUMMYFUNCTION("""COMPUTED_VALUE"""),44707)</f>
        <v>44707</v>
      </c>
      <c r="E462" s="3">
        <f ca="1">IFERROR(__xludf.DUMMYFUNCTION("""COMPUTED_VALUE"""),0.711157407407881)</f>
        <v>0.71115740740788103</v>
      </c>
      <c r="F462" s="1">
        <f ca="1">IFERROR(__xludf.DUMMYFUNCTION("""COMPUTED_VALUE"""),23432)</f>
        <v>23432</v>
      </c>
      <c r="G462" s="1" t="str">
        <f ca="1">IFERROR(__xludf.DUMMYFUNCTION("""COMPUTED_VALUE"""),"13.0078/77.6898")</f>
        <v>13.0078/77.6898</v>
      </c>
      <c r="H462" s="1" t="str">
        <f ca="1">IFERROR(__xludf.DUMMYFUNCTION("""COMPUTED_VALUE"""),"KrishnarÄjpur")</f>
        <v>KrishnarÄjpur</v>
      </c>
      <c r="I462" s="1"/>
      <c r="J462" s="1" t="str">
        <f ca="1">IFERROR(__xludf.DUMMYFUNCTION("""COMPUTED_VALUE"""),"1d 01h 13m")</f>
        <v>1d 01h 13m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>
      <c r="A463" s="1">
        <f ca="1">IFERROR(__xludf.DUMMYFUNCTION("""COMPUTED_VALUE"""),129)</f>
        <v>129</v>
      </c>
      <c r="B463" s="1" t="str">
        <f ca="1">IFERROR(__xludf.DUMMYFUNCTION("""COMPUTED_VALUE"""),"E3_KA04D5127_Tanker")</f>
        <v>E3_KA04D5127_Tanker</v>
      </c>
      <c r="C463" s="1" t="str">
        <f ca="1">IFERROR(__xludf.DUMMYFUNCTION("""COMPUTED_VALUE"""),"e3_ka04d5127_tanker")</f>
        <v>e3_ka04d5127_tanker</v>
      </c>
      <c r="D463" s="2">
        <f ca="1">IFERROR(__xludf.DUMMYFUNCTION("""COMPUTED_VALUE"""),44737)</f>
        <v>44737</v>
      </c>
      <c r="E463" s="3">
        <f ca="1">IFERROR(__xludf.DUMMYFUNCTION("""COMPUTED_VALUE"""),0.613124999999854)</f>
        <v>0.61312499999985404</v>
      </c>
      <c r="F463" s="1">
        <f ca="1">IFERROR(__xludf.DUMMYFUNCTION("""COMPUTED_VALUE"""),23492)</f>
        <v>23492</v>
      </c>
      <c r="G463" s="1" t="str">
        <f ca="1">IFERROR(__xludf.DUMMYFUNCTION("""COMPUTED_VALUE"""),"13.0134/77.6794")</f>
        <v>13.0134/77.6794</v>
      </c>
      <c r="H463" s="1" t="str">
        <f ca="1">IFERROR(__xludf.DUMMYFUNCTION("""COMPUTED_VALUE"""),"RamamurthyNagar")</f>
        <v>RamamurthyNagar</v>
      </c>
      <c r="I463" s="1"/>
      <c r="J463" s="1" t="str">
        <f ca="1">IFERROR(__xludf.DUMMYFUNCTION("""COMPUTED_VALUE"""),"1d 01h 14m")</f>
        <v>1d 01h 14m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>
      <c r="A464" s="1">
        <f ca="1">IFERROR(__xludf.DUMMYFUNCTION("""COMPUTED_VALUE"""),101)</f>
        <v>101</v>
      </c>
      <c r="B464" s="1" t="str">
        <f ca="1">IFERROR(__xludf.DUMMYFUNCTION("""COMPUTED_VALUE"""),"E3_KA04D5127_Tanker")</f>
        <v>E3_KA04D5127_Tanker</v>
      </c>
      <c r="C464" s="1" t="str">
        <f ca="1">IFERROR(__xludf.DUMMYFUNCTION("""COMPUTED_VALUE"""),"e3_ka04d5127_tanker")</f>
        <v>e3_ka04d5127_tanker</v>
      </c>
      <c r="D464" s="2">
        <f ca="1">IFERROR(__xludf.DUMMYFUNCTION("""COMPUTED_VALUE"""),44758)</f>
        <v>44758</v>
      </c>
      <c r="E464" s="3">
        <f ca="1">IFERROR(__xludf.DUMMYFUNCTION("""COMPUTED_VALUE"""),0.698842592591972)</f>
        <v>0.69884259259197201</v>
      </c>
      <c r="F464" s="1">
        <f ca="1">IFERROR(__xludf.DUMMYFUNCTION("""COMPUTED_VALUE"""),23565)</f>
        <v>23565</v>
      </c>
      <c r="G464" s="1" t="str">
        <f ca="1">IFERROR(__xludf.DUMMYFUNCTION("""COMPUTED_VALUE"""),"13.0080/77.6896")</f>
        <v>13.0080/77.6896</v>
      </c>
      <c r="H464" s="1" t="str">
        <f ca="1">IFERROR(__xludf.DUMMYFUNCTION("""COMPUTED_VALUE"""),"Krishnarpur")</f>
        <v>Krishnarpur</v>
      </c>
      <c r="I464" s="1"/>
      <c r="J464" s="1" t="str">
        <f ca="1">IFERROR(__xludf.DUMMYFUNCTION("""COMPUTED_VALUE"""),"1d 01h 15m")</f>
        <v>1d 01h 15m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>
      <c r="A465" s="1">
        <f ca="1">IFERROR(__xludf.DUMMYFUNCTION("""COMPUTED_VALUE"""),78)</f>
        <v>78</v>
      </c>
      <c r="B465" s="1" t="str">
        <f ca="1">IFERROR(__xludf.DUMMYFUNCTION("""COMPUTED_VALUE"""),"E3_KA04D5127_Tanker")</f>
        <v>E3_KA04D5127_Tanker</v>
      </c>
      <c r="C465" s="1" t="str">
        <f ca="1">IFERROR(__xludf.DUMMYFUNCTION("""COMPUTED_VALUE"""),"e3_ka04d5127_tanker")</f>
        <v>e3_ka04d5127_tanker</v>
      </c>
      <c r="D465" s="2">
        <f ca="1">IFERROR(__xludf.DUMMYFUNCTION("""COMPUTED_VALUE"""),44758)</f>
        <v>44758</v>
      </c>
      <c r="E465" s="3">
        <f ca="1">IFERROR(__xludf.DUMMYFUNCTION("""COMPUTED_VALUE"""),0.698842592591972)</f>
        <v>0.69884259259197201</v>
      </c>
      <c r="F465" s="1">
        <f ca="1">IFERROR(__xludf.DUMMYFUNCTION("""COMPUTED_VALUE"""),23565)</f>
        <v>23565</v>
      </c>
      <c r="G465" s="1" t="str">
        <f ca="1">IFERROR(__xludf.DUMMYFUNCTION("""COMPUTED_VALUE"""),"13.0080/77.6896")</f>
        <v>13.0080/77.6896</v>
      </c>
      <c r="H465" s="1" t="str">
        <f ca="1">IFERROR(__xludf.DUMMYFUNCTION("""COMPUTED_VALUE"""),"Krishnarpur")</f>
        <v>Krishnarpur</v>
      </c>
      <c r="I465" s="1"/>
      <c r="J465" s="1" t="str">
        <f ca="1">IFERROR(__xludf.DUMMYFUNCTION("""COMPUTED_VALUE"""),"1d 01h 16m")</f>
        <v>1d 01h 16m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>
      <c r="A466" s="1">
        <f ca="1">IFERROR(__xludf.DUMMYFUNCTION("""COMPUTED_VALUE"""),142)</f>
        <v>142</v>
      </c>
      <c r="B466" s="1" t="str">
        <f ca="1">IFERROR(__xludf.DUMMYFUNCTION("""COMPUTED_VALUE"""),"E3_KA04D5127_Tanker")</f>
        <v>E3_KA04D5127_Tanker</v>
      </c>
      <c r="C466" s="1" t="str">
        <f ca="1">IFERROR(__xludf.DUMMYFUNCTION("""COMPUTED_VALUE"""),"e3_ka04d5127_tanker")</f>
        <v>e3_ka04d5127_tanker</v>
      </c>
      <c r="D466" s="2">
        <f ca="1">IFERROR(__xludf.DUMMYFUNCTION("""COMPUTED_VALUE"""),44830)</f>
        <v>44830</v>
      </c>
      <c r="E466" s="3">
        <f ca="1">IFERROR(__xludf.DUMMYFUNCTION("""COMPUTED_VALUE"""),0.422928240739565)</f>
        <v>0.42292824073956498</v>
      </c>
      <c r="F466" s="1">
        <f ca="1">IFERROR(__xludf.DUMMYFUNCTION("""COMPUTED_VALUE"""),23603)</f>
        <v>23603</v>
      </c>
      <c r="G466" s="1" t="str">
        <f ca="1">IFERROR(__xludf.DUMMYFUNCTION("""COMPUTED_VALUE"""),"13.0112/77.6669")</f>
        <v>13.0112/77.6669</v>
      </c>
      <c r="H466" s="1" t="str">
        <f ca="1">IFERROR(__xludf.DUMMYFUNCTION("""COMPUTED_VALUE"""),"Yerranapallya")</f>
        <v>Yerranapallya</v>
      </c>
      <c r="I466" s="1"/>
      <c r="J466" s="1" t="str">
        <f ca="1">IFERROR(__xludf.DUMMYFUNCTION("""COMPUTED_VALUE"""),"1d 01h 17m")</f>
        <v>1d 01h 17m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>
      <c r="A467" s="1">
        <f ca="1">IFERROR(__xludf.DUMMYFUNCTION("""COMPUTED_VALUE"""),110)</f>
        <v>110</v>
      </c>
      <c r="B467" s="1" t="str">
        <f ca="1">IFERROR(__xludf.DUMMYFUNCTION("""COMPUTED_VALUE"""),"E3_KA04D5127_Tanker")</f>
        <v>E3_KA04D5127_Tanker</v>
      </c>
      <c r="C467" s="1" t="str">
        <f ca="1">IFERROR(__xludf.DUMMYFUNCTION("""COMPUTED_VALUE"""),"e3_ka04d5127_tanker")</f>
        <v>e3_ka04d5127_tanker</v>
      </c>
      <c r="D467" s="2">
        <f ca="1">IFERROR(__xludf.DUMMYFUNCTION("""COMPUTED_VALUE"""),44859)</f>
        <v>44859</v>
      </c>
      <c r="E467" s="3">
        <f ca="1">IFERROR(__xludf.DUMMYFUNCTION("""COMPUTED_VALUE"""),0.496342592592554)</f>
        <v>0.49634259259255398</v>
      </c>
      <c r="F467" s="1">
        <f ca="1">IFERROR(__xludf.DUMMYFUNCTION("""COMPUTED_VALUE"""),23659)</f>
        <v>23659</v>
      </c>
      <c r="G467" s="1" t="str">
        <f ca="1">IFERROR(__xludf.DUMMYFUNCTION("""COMPUTED_VALUE"""),"13.0133/77.6641")</f>
        <v>13.0133/77.6641</v>
      </c>
      <c r="H467" s="1" t="str">
        <f ca="1">IFERROR(__xludf.DUMMYFUNCTION("""COMPUTED_VALUE"""),"Chansandra")</f>
        <v>Chansandra</v>
      </c>
      <c r="I467" s="1"/>
      <c r="J467" s="1" t="str">
        <f ca="1">IFERROR(__xludf.DUMMYFUNCTION("""COMPUTED_VALUE"""),"1d 01h 18m")</f>
        <v>1d 01h 18m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>
      <c r="A468" s="1">
        <f ca="1">IFERROR(__xludf.DUMMYFUNCTION("""COMPUTED_VALUE"""),129)</f>
        <v>129</v>
      </c>
      <c r="B468" s="1" t="str">
        <f ca="1">IFERROR(__xludf.DUMMYFUNCTION("""COMPUTED_VALUE"""),"E3_KA04SD4157_Jetting")</f>
        <v>E3_KA04SD4157_Jetting</v>
      </c>
      <c r="C468" s="1" t="str">
        <f ca="1">IFERROR(__xludf.DUMMYFUNCTION("""COMPUTED_VALUE"""),"e3_ka04sd4157_jetting")</f>
        <v>e3_ka04sd4157_jetting</v>
      </c>
      <c r="D468" s="2">
        <f ca="1">IFERROR(__xludf.DUMMYFUNCTION("""COMPUTED_VALUE"""),44707)</f>
        <v>44707</v>
      </c>
      <c r="E468" s="3">
        <f ca="1">IFERROR(__xludf.DUMMYFUNCTION("""COMPUTED_VALUE"""),0.592071759259852)</f>
        <v>0.592071759259852</v>
      </c>
      <c r="F468" s="1">
        <f ca="1">IFERROR(__xludf.DUMMYFUNCTION("""COMPUTED_VALUE"""),39930)</f>
        <v>39930</v>
      </c>
      <c r="G468" s="1" t="str">
        <f ca="1">IFERROR(__xludf.DUMMYFUNCTION("""COMPUTED_VALUE"""),"13.0109/77.6675")</f>
        <v>13.0109/77.6675</v>
      </c>
      <c r="H468" s="1" t="str">
        <f ca="1">IFERROR(__xludf.DUMMYFUNCTION("""COMPUTED_VALUE"""),"YerranapÄlya")</f>
        <v>YerranapÄlya</v>
      </c>
      <c r="I468" s="1"/>
      <c r="J468" s="1" t="str">
        <f ca="1">IFERROR(__xludf.DUMMYFUNCTION("""COMPUTED_VALUE"""),"0d 00h 00m")</f>
        <v>0d 00h 00m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>
      <c r="A469" s="1">
        <f ca="1">IFERROR(__xludf.DUMMYFUNCTION("""COMPUTED_VALUE"""),121)</f>
        <v>121</v>
      </c>
      <c r="B469" s="1" t="str">
        <f ca="1">IFERROR(__xludf.DUMMYFUNCTION("""COMPUTED_VALUE"""),"E3_KA04SD4157_Jetting")</f>
        <v>E3_KA04SD4157_Jetting</v>
      </c>
      <c r="C469" s="1" t="str">
        <f ca="1">IFERROR(__xludf.DUMMYFUNCTION("""COMPUTED_VALUE"""),"e3_ka04sd4157_jetting")</f>
        <v>e3_ka04sd4157_jetting</v>
      </c>
      <c r="D469" s="2">
        <f ca="1">IFERROR(__xludf.DUMMYFUNCTION("""COMPUTED_VALUE"""),44737)</f>
        <v>44737</v>
      </c>
      <c r="E469" s="3">
        <f ca="1">IFERROR(__xludf.DUMMYFUNCTION("""COMPUTED_VALUE"""),0.460057870372111)</f>
        <v>0.46005787037211099</v>
      </c>
      <c r="F469" s="1">
        <f ca="1">IFERROR(__xludf.DUMMYFUNCTION("""COMPUTED_VALUE"""),40812)</f>
        <v>40812</v>
      </c>
      <c r="G469" s="1" t="str">
        <f ca="1">IFERROR(__xludf.DUMMYFUNCTION("""COMPUTED_VALUE"""),"13.0201/77.6902")</f>
        <v>13.0201/77.6902</v>
      </c>
      <c r="H469" s="1" t="str">
        <f ca="1">IFERROR(__xludf.DUMMYFUNCTION("""COMPUTED_VALUE"""),"Sontammanhalli")</f>
        <v>Sontammanhalli</v>
      </c>
      <c r="I469" s="1"/>
      <c r="J469" s="1" t="str">
        <f ca="1">IFERROR(__xludf.DUMMYFUNCTION("""COMPUTED_VALUE"""),"0d 00h 00m")</f>
        <v>0d 00h 00m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>
      <c r="A470" s="1">
        <f ca="1">IFERROR(__xludf.DUMMYFUNCTION("""COMPUTED_VALUE"""),78)</f>
        <v>78</v>
      </c>
      <c r="B470" s="1" t="str">
        <f ca="1">IFERROR(__xludf.DUMMYFUNCTION("""COMPUTED_VALUE"""),"E3_KA04SD4157_Jetting")</f>
        <v>E3_KA04SD4157_Jetting</v>
      </c>
      <c r="C470" s="1" t="str">
        <f ca="1">IFERROR(__xludf.DUMMYFUNCTION("""COMPUTED_VALUE"""),"e3_ka04sd4157_jetting")</f>
        <v>e3_ka04sd4157_jetting</v>
      </c>
      <c r="D470" s="2">
        <f ca="1">IFERROR(__xludf.DUMMYFUNCTION("""COMPUTED_VALUE"""),44744)</f>
        <v>44744</v>
      </c>
      <c r="E470" s="3">
        <f ca="1">IFERROR(__xludf.DUMMYFUNCTION("""COMPUTED_VALUE"""),0.435833333332993)</f>
        <v>0.43583333333299301</v>
      </c>
      <c r="F470" s="1">
        <f ca="1">IFERROR(__xludf.DUMMYFUNCTION("""COMPUTED_VALUE"""),40848)</f>
        <v>40848</v>
      </c>
      <c r="G470" s="1" t="str">
        <f ca="1">IFERROR(__xludf.DUMMYFUNCTION("""COMPUTED_VALUE"""),"13.0179/77.6717")</f>
        <v>13.0179/77.6717</v>
      </c>
      <c r="H470" s="1" t="str">
        <f ca="1">IFERROR(__xludf.DUMMYFUNCTION("""COMPUTED_VALUE"""),"Ramada Encore Bangalore Domlur")</f>
        <v>Ramada Encore Bangalore Domlur</v>
      </c>
      <c r="I470" s="1"/>
      <c r="J470" s="1" t="str">
        <f ca="1">IFERROR(__xludf.DUMMYFUNCTION("""COMPUTED_VALUE"""),"0d 00h 00m")</f>
        <v>0d 00h 00m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>
      <c r="A471" s="1">
        <f ca="1">IFERROR(__xludf.DUMMYFUNCTION("""COMPUTED_VALUE"""),124)</f>
        <v>124</v>
      </c>
      <c r="B471" s="1" t="str">
        <f ca="1">IFERROR(__xludf.DUMMYFUNCTION("""COMPUTED_VALUE"""),"E3_KA04SD4157_Jetting")</f>
        <v>E3_KA04SD4157_Jetting</v>
      </c>
      <c r="C471" s="1" t="str">
        <f ca="1">IFERROR(__xludf.DUMMYFUNCTION("""COMPUTED_VALUE"""),"e3_ka04sd4157_jetting")</f>
        <v>e3_ka04sd4157_jetting</v>
      </c>
      <c r="D471" s="2">
        <f ca="1">IFERROR(__xludf.DUMMYFUNCTION("""COMPUTED_VALUE"""),44794)</f>
        <v>44794</v>
      </c>
      <c r="E471" s="3">
        <f ca="1">IFERROR(__xludf.DUMMYFUNCTION("""COMPUTED_VALUE"""),0.618611111112841)</f>
        <v>0.61861111111284095</v>
      </c>
      <c r="F471" s="1">
        <f ca="1">IFERROR(__xludf.DUMMYFUNCTION("""COMPUTED_VALUE"""),40965)</f>
        <v>40965</v>
      </c>
      <c r="G471" s="1" t="str">
        <f ca="1">IFERROR(__xludf.DUMMYFUNCTION("""COMPUTED_VALUE"""),"13.0082/77.6899")</f>
        <v>13.0082/77.6899</v>
      </c>
      <c r="H471" s="1" t="str">
        <f ca="1">IFERROR(__xludf.DUMMYFUNCTION("""COMPUTED_VALUE"""),"Krishnarpur")</f>
        <v>Krishnarpur</v>
      </c>
      <c r="I471" s="1"/>
      <c r="J471" s="1" t="str">
        <f ca="1">IFERROR(__xludf.DUMMYFUNCTION("""COMPUTED_VALUE"""),"0d 00h 00m")</f>
        <v>0d 00h 00m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>
      <c r="A472" s="1">
        <f ca="1">IFERROR(__xludf.DUMMYFUNCTION("""COMPUTED_VALUE"""),123)</f>
        <v>123</v>
      </c>
      <c r="B472" s="1" t="str">
        <f ca="1">IFERROR(__xludf.DUMMYFUNCTION("""COMPUTED_VALUE"""),"E3_KA04SD4157_Jetting")</f>
        <v>E3_KA04SD4157_Jetting</v>
      </c>
      <c r="C472" s="1" t="str">
        <f ca="1">IFERROR(__xludf.DUMMYFUNCTION("""COMPUTED_VALUE"""),"e3_ka04sd4157_jetting")</f>
        <v>e3_ka04sd4157_jetting</v>
      </c>
      <c r="D472" s="2">
        <f ca="1">IFERROR(__xludf.DUMMYFUNCTION("""COMPUTED_VALUE"""),44827)</f>
        <v>44827</v>
      </c>
      <c r="E472" s="3">
        <f ca="1">IFERROR(__xludf.DUMMYFUNCTION("""COMPUTED_VALUE"""),0.373159722221316)</f>
        <v>0.37315972222131599</v>
      </c>
      <c r="F472" s="1">
        <f ca="1">IFERROR(__xludf.DUMMYFUNCTION("""COMPUTED_VALUE"""),40988)</f>
        <v>40988</v>
      </c>
      <c r="G472" s="1" t="str">
        <f ca="1">IFERROR(__xludf.DUMMYFUNCTION("""COMPUTED_VALUE"""),"13.0078/77.6894")</f>
        <v>13.0078/77.6894</v>
      </c>
      <c r="H472" s="1" t="str">
        <f ca="1">IFERROR(__xludf.DUMMYFUNCTION("""COMPUTED_VALUE"""),"Krishnarpur")</f>
        <v>Krishnarpur</v>
      </c>
      <c r="I472" s="1"/>
      <c r="J472" s="1" t="str">
        <f ca="1">IFERROR(__xludf.DUMMYFUNCTION("""COMPUTED_VALUE"""),"0d 00h 00m")</f>
        <v>0d 00h 00m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>
      <c r="A473" s="1">
        <f ca="1">IFERROR(__xludf.DUMMYFUNCTION("""COMPUTED_VALUE"""),94)</f>
        <v>94</v>
      </c>
      <c r="B473" s="1" t="str">
        <f ca="1">IFERROR(__xludf.DUMMYFUNCTION("""COMPUTED_VALUE"""),"E3_KA04SD4157_Jetting")</f>
        <v>E3_KA04SD4157_Jetting</v>
      </c>
      <c r="C473" s="1" t="str">
        <f ca="1">IFERROR(__xludf.DUMMYFUNCTION("""COMPUTED_VALUE"""),"e3_ka04sd4157_jetting")</f>
        <v>e3_ka04sd4157_jetting</v>
      </c>
      <c r="D473" s="2">
        <f ca="1">IFERROR(__xludf.DUMMYFUNCTION("""COMPUTED_VALUE"""),44855)</f>
        <v>44855</v>
      </c>
      <c r="E473" s="3">
        <f ca="1">IFERROR(__xludf.DUMMYFUNCTION("""COMPUTED_VALUE"""),0.333969907405844)</f>
        <v>0.33396990740584398</v>
      </c>
      <c r="F473" s="1">
        <f ca="1">IFERROR(__xludf.DUMMYFUNCTION("""COMPUTED_VALUE"""),40992)</f>
        <v>40992</v>
      </c>
      <c r="G473" s="1" t="str">
        <f ca="1">IFERROR(__xludf.DUMMYFUNCTION("""COMPUTED_VALUE"""),"13.0084/77.6898")</f>
        <v>13.0084/77.6898</v>
      </c>
      <c r="H473" s="1" t="str">
        <f ca="1">IFERROR(__xludf.DUMMYFUNCTION("""COMPUTED_VALUE"""),"Krishnarpur")</f>
        <v>Krishnarpur</v>
      </c>
      <c r="I473" s="1"/>
      <c r="J473" s="1" t="str">
        <f ca="1">IFERROR(__xludf.DUMMYFUNCTION("""COMPUTED_VALUE"""),"0d 00h 00m")</f>
        <v>0d 00h 00m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>
      <c r="A474" s="1">
        <f ca="1">IFERROR(__xludf.DUMMYFUNCTION("""COMPUTED_VALUE"""),23)</f>
        <v>23</v>
      </c>
      <c r="B474" s="1" t="str">
        <f ca="1">IFERROR(__xludf.DUMMYFUNCTION("""COMPUTED_VALUE"""),"E3_KS03C5056_Tanker")</f>
        <v>E3_KS03C5056_Tanker</v>
      </c>
      <c r="C474" s="1" t="str">
        <f ca="1">IFERROR(__xludf.DUMMYFUNCTION("""COMPUTED_VALUE"""),"e3_ks03c5056_tanker")</f>
        <v>e3_ks03c5056_tanker</v>
      </c>
      <c r="D474" s="2">
        <f ca="1">IFERROR(__xludf.DUMMYFUNCTION("""COMPUTED_VALUE"""),44019)</f>
        <v>44019</v>
      </c>
      <c r="E474" s="3">
        <f ca="1">IFERROR(__xludf.DUMMYFUNCTION("""COMPUTED_VALUE"""),0.616030092591245)</f>
        <v>0.61603009259124497</v>
      </c>
      <c r="F474" s="1">
        <f ca="1">IFERROR(__xludf.DUMMYFUNCTION("""COMPUTED_VALUE"""),18982)</f>
        <v>18982</v>
      </c>
      <c r="G474" s="1" t="str">
        <f ca="1">IFERROR(__xludf.DUMMYFUNCTION("""COMPUTED_VALUE"""),"13.0129/77.7054")</f>
        <v>13.0129/77.7054</v>
      </c>
      <c r="H474" s="1" t="str">
        <f ca="1">IFERROR(__xludf.DUMMYFUNCTION("""COMPUTED_VALUE"""),"Shigehalli")</f>
        <v>Shigehalli</v>
      </c>
      <c r="I474" s="1"/>
      <c r="J474" s="1" t="str">
        <f ca="1">IFERROR(__xludf.DUMMYFUNCTION("""COMPUTED_VALUE"""),"897d 19h 43m")</f>
        <v>897d 19h 43m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>
      <c r="A475" s="1">
        <f ca="1">IFERROR(__xludf.DUMMYFUNCTION("""COMPUTED_VALUE"""),23)</f>
        <v>23</v>
      </c>
      <c r="B475" s="1" t="str">
        <f ca="1">IFERROR(__xludf.DUMMYFUNCTION("""COMPUTED_VALUE"""),"E3_KS03C5056_Tanker")</f>
        <v>E3_KS03C5056_Tanker</v>
      </c>
      <c r="C475" s="1" t="str">
        <f ca="1">IFERROR(__xludf.DUMMYFUNCTION("""COMPUTED_VALUE"""),"e3_ks03c5056_tanker")</f>
        <v>e3_ks03c5056_tanker</v>
      </c>
      <c r="D475" s="2">
        <f ca="1">IFERROR(__xludf.DUMMYFUNCTION("""COMPUTED_VALUE"""),44019)</f>
        <v>44019</v>
      </c>
      <c r="E475" s="3">
        <f ca="1">IFERROR(__xludf.DUMMYFUNCTION("""COMPUTED_VALUE"""),0.616030092591245)</f>
        <v>0.61603009259124497</v>
      </c>
      <c r="F475" s="1">
        <f ca="1">IFERROR(__xludf.DUMMYFUNCTION("""COMPUTED_VALUE"""),18982)</f>
        <v>18982</v>
      </c>
      <c r="G475" s="1" t="str">
        <f ca="1">IFERROR(__xludf.DUMMYFUNCTION("""COMPUTED_VALUE"""),"13.0129/77.7054")</f>
        <v>13.0129/77.7054</v>
      </c>
      <c r="H475" s="1" t="str">
        <f ca="1">IFERROR(__xludf.DUMMYFUNCTION("""COMPUTED_VALUE"""),"Shigehalli")</f>
        <v>Shigehalli</v>
      </c>
      <c r="I475" s="1"/>
      <c r="J475" s="1" t="str">
        <f ca="1">IFERROR(__xludf.DUMMYFUNCTION("""COMPUTED_VALUE"""),"897d 19h 45m")</f>
        <v>897d 19h 45m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>
      <c r="A476" s="1">
        <f ca="1">IFERROR(__xludf.DUMMYFUNCTION("""COMPUTED_VALUE"""),23)</f>
        <v>23</v>
      </c>
      <c r="B476" s="1" t="str">
        <f ca="1">IFERROR(__xludf.DUMMYFUNCTION("""COMPUTED_VALUE"""),"E3_KS03C5056_Tanker")</f>
        <v>E3_KS03C5056_Tanker</v>
      </c>
      <c r="C476" s="1" t="str">
        <f ca="1">IFERROR(__xludf.DUMMYFUNCTION("""COMPUTED_VALUE"""),"e3_ks03c5056_tanker")</f>
        <v>e3_ks03c5056_tanker</v>
      </c>
      <c r="D476" s="2">
        <f ca="1">IFERROR(__xludf.DUMMYFUNCTION("""COMPUTED_VALUE"""),44019)</f>
        <v>44019</v>
      </c>
      <c r="E476" s="3">
        <f ca="1">IFERROR(__xludf.DUMMYFUNCTION("""COMPUTED_VALUE"""),0.616030092591245)</f>
        <v>0.61603009259124497</v>
      </c>
      <c r="F476" s="1">
        <f ca="1">IFERROR(__xludf.DUMMYFUNCTION("""COMPUTED_VALUE"""),18982)</f>
        <v>18982</v>
      </c>
      <c r="G476" s="1" t="str">
        <f ca="1">IFERROR(__xludf.DUMMYFUNCTION("""COMPUTED_VALUE"""),"13.0129/77.7054")</f>
        <v>13.0129/77.7054</v>
      </c>
      <c r="H476" s="1" t="str">
        <f ca="1">IFERROR(__xludf.DUMMYFUNCTION("""COMPUTED_VALUE"""),"Shigehalli")</f>
        <v>Shigehalli</v>
      </c>
      <c r="I476" s="1"/>
      <c r="J476" s="1" t="str">
        <f ca="1">IFERROR(__xludf.DUMMYFUNCTION("""COMPUTED_VALUE"""),"897d 19h 45m")</f>
        <v>897d 19h 45m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>
      <c r="A477" s="1">
        <f ca="1">IFERROR(__xludf.DUMMYFUNCTION("""COMPUTED_VALUE"""),23)</f>
        <v>23</v>
      </c>
      <c r="B477" s="1" t="str">
        <f ca="1">IFERROR(__xludf.DUMMYFUNCTION("""COMPUTED_VALUE"""),"E3_KS03C5056_Tanker")</f>
        <v>E3_KS03C5056_Tanker</v>
      </c>
      <c r="C477" s="1" t="str">
        <f ca="1">IFERROR(__xludf.DUMMYFUNCTION("""COMPUTED_VALUE"""),"e3_ks03c5056_tanker")</f>
        <v>e3_ks03c5056_tanker</v>
      </c>
      <c r="D477" s="2">
        <f ca="1">IFERROR(__xludf.DUMMYFUNCTION("""COMPUTED_VALUE"""),44019)</f>
        <v>44019</v>
      </c>
      <c r="E477" s="3">
        <f ca="1">IFERROR(__xludf.DUMMYFUNCTION("""COMPUTED_VALUE"""),0.616030092591245)</f>
        <v>0.61603009259124497</v>
      </c>
      <c r="F477" s="1">
        <f ca="1">IFERROR(__xludf.DUMMYFUNCTION("""COMPUTED_VALUE"""),18982)</f>
        <v>18982</v>
      </c>
      <c r="G477" s="1" t="str">
        <f ca="1">IFERROR(__xludf.DUMMYFUNCTION("""COMPUTED_VALUE"""),"13.0129/77.7054")</f>
        <v>13.0129/77.7054</v>
      </c>
      <c r="H477" s="1" t="str">
        <f ca="1">IFERROR(__xludf.DUMMYFUNCTION("""COMPUTED_VALUE"""),"Shigehalli")</f>
        <v>Shigehalli</v>
      </c>
      <c r="I477" s="1"/>
      <c r="J477" s="1" t="str">
        <f ca="1">IFERROR(__xludf.DUMMYFUNCTION("""COMPUTED_VALUE"""),"897d 19h 46m")</f>
        <v>897d 19h 46m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>
      <c r="A478" s="1">
        <f ca="1">IFERROR(__xludf.DUMMYFUNCTION("""COMPUTED_VALUE"""),23)</f>
        <v>23</v>
      </c>
      <c r="B478" s="1" t="str">
        <f ca="1">IFERROR(__xludf.DUMMYFUNCTION("""COMPUTED_VALUE"""),"E3_KS03C5056_Tanker")</f>
        <v>E3_KS03C5056_Tanker</v>
      </c>
      <c r="C478" s="1" t="str">
        <f ca="1">IFERROR(__xludf.DUMMYFUNCTION("""COMPUTED_VALUE"""),"e3_ks03c5056_tanker")</f>
        <v>e3_ks03c5056_tanker</v>
      </c>
      <c r="D478" s="2">
        <f ca="1">IFERROR(__xludf.DUMMYFUNCTION("""COMPUTED_VALUE"""),44019)</f>
        <v>44019</v>
      </c>
      <c r="E478" s="3">
        <f ca="1">IFERROR(__xludf.DUMMYFUNCTION("""COMPUTED_VALUE"""),0.616030092591245)</f>
        <v>0.61603009259124497</v>
      </c>
      <c r="F478" s="1">
        <f ca="1">IFERROR(__xludf.DUMMYFUNCTION("""COMPUTED_VALUE"""),18982)</f>
        <v>18982</v>
      </c>
      <c r="G478" s="1" t="str">
        <f ca="1">IFERROR(__xludf.DUMMYFUNCTION("""COMPUTED_VALUE"""),"13.0129/77.7054")</f>
        <v>13.0129/77.7054</v>
      </c>
      <c r="H478" s="1" t="str">
        <f ca="1">IFERROR(__xludf.DUMMYFUNCTION("""COMPUTED_VALUE"""),"Shigehalli")</f>
        <v>Shigehalli</v>
      </c>
      <c r="I478" s="1"/>
      <c r="J478" s="1" t="str">
        <f ca="1">IFERROR(__xludf.DUMMYFUNCTION("""COMPUTED_VALUE"""),"897d 19h 47m")</f>
        <v>897d 19h 47m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>
      <c r="A479" s="1">
        <f ca="1">IFERROR(__xludf.DUMMYFUNCTION("""COMPUTED_VALUE"""),23)</f>
        <v>23</v>
      </c>
      <c r="B479" s="1" t="str">
        <f ca="1">IFERROR(__xludf.DUMMYFUNCTION("""COMPUTED_VALUE"""),"E3_KS03C5056_Tanker")</f>
        <v>E3_KS03C5056_Tanker</v>
      </c>
      <c r="C479" s="1" t="str">
        <f ca="1">IFERROR(__xludf.DUMMYFUNCTION("""COMPUTED_VALUE"""),"e3_ks03c5056_tanker")</f>
        <v>e3_ks03c5056_tanker</v>
      </c>
      <c r="D479" s="2">
        <f ca="1">IFERROR(__xludf.DUMMYFUNCTION("""COMPUTED_VALUE"""),44019)</f>
        <v>44019</v>
      </c>
      <c r="E479" s="3">
        <f ca="1">IFERROR(__xludf.DUMMYFUNCTION("""COMPUTED_VALUE"""),0.616030092591245)</f>
        <v>0.61603009259124497</v>
      </c>
      <c r="F479" s="1">
        <f ca="1">IFERROR(__xludf.DUMMYFUNCTION("""COMPUTED_VALUE"""),18982)</f>
        <v>18982</v>
      </c>
      <c r="G479" s="1" t="str">
        <f ca="1">IFERROR(__xludf.DUMMYFUNCTION("""COMPUTED_VALUE"""),"13.0129/77.7054")</f>
        <v>13.0129/77.7054</v>
      </c>
      <c r="H479" s="1" t="str">
        <f ca="1">IFERROR(__xludf.DUMMYFUNCTION("""COMPUTED_VALUE"""),"Shigehalli")</f>
        <v>Shigehalli</v>
      </c>
      <c r="I479" s="1"/>
      <c r="J479" s="1" t="str">
        <f ca="1">IFERROR(__xludf.DUMMYFUNCTION("""COMPUTED_VALUE"""),"897d 19h 48m")</f>
        <v>897d 19h 48m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>
      <c r="A480" s="1">
        <f ca="1">IFERROR(__xludf.DUMMYFUNCTION("""COMPUTED_VALUE"""),38)</f>
        <v>38</v>
      </c>
      <c r="B480" s="1" t="str">
        <f ca="1">IFERROR(__xludf.DUMMYFUNCTION("""COMPUTED_VALUE"""),"E4_kA02AC4534_Jetting")</f>
        <v>E4_kA02AC4534_Jetting</v>
      </c>
      <c r="C480" s="1" t="str">
        <f ca="1">IFERROR(__xludf.DUMMYFUNCTION("""COMPUTED_VALUE"""),"e4_ka02ac4534_jetting")</f>
        <v>e4_ka02ac4534_jetting</v>
      </c>
      <c r="D480" s="2">
        <f ca="1">IFERROR(__xludf.DUMMYFUNCTION("""COMPUTED_VALUE"""),44467)</f>
        <v>44467</v>
      </c>
      <c r="E480" s="3">
        <f ca="1">IFERROR(__xludf.DUMMYFUNCTION("""COMPUTED_VALUE"""),0.753657407407445)</f>
        <v>0.75365740740744502</v>
      </c>
      <c r="F480" s="1">
        <f ca="1">IFERROR(__xludf.DUMMYFUNCTION("""COMPUTED_VALUE"""),20527)</f>
        <v>20527</v>
      </c>
      <c r="G480" s="1" t="str">
        <f ca="1">IFERROR(__xludf.DUMMYFUNCTION("""COMPUTED_VALUE"""),"12.9965/77.6768")</f>
        <v>12.9965/77.6768</v>
      </c>
      <c r="H480" s="1" t="str">
        <f ca="1">IFERROR(__xludf.DUMMYFUNCTION("""COMPUTED_VALUE"""),"K R Puram")</f>
        <v>K R Puram</v>
      </c>
      <c r="I480" s="1"/>
      <c r="J480" s="1" t="str">
        <f ca="1">IFERROR(__xludf.DUMMYFUNCTION("""COMPUTED_VALUE"""),"0d 00h 00m")</f>
        <v>0d 00h 00m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>
      <c r="A481" s="1">
        <f ca="1">IFERROR(__xludf.DUMMYFUNCTION("""COMPUTED_VALUE"""),213)</f>
        <v>213</v>
      </c>
      <c r="B481" s="1" t="str">
        <f ca="1">IFERROR(__xludf.DUMMYFUNCTION("""COMPUTED_VALUE"""),"E4_kA02AC4534_Jetting")</f>
        <v>E4_kA02AC4534_Jetting</v>
      </c>
      <c r="C481" s="1" t="str">
        <f ca="1">IFERROR(__xludf.DUMMYFUNCTION("""COMPUTED_VALUE"""),"e4_ka02ac4534_jetting")</f>
        <v>e4_ka02ac4534_jetting</v>
      </c>
      <c r="D481" s="2">
        <f ca="1">IFERROR(__xludf.DUMMYFUNCTION("""COMPUTED_VALUE"""),44738)</f>
        <v>44738</v>
      </c>
      <c r="E481" s="3">
        <f ca="1">IFERROR(__xludf.DUMMYFUNCTION("""COMPUTED_VALUE"""),0.99920138888774)</f>
        <v>0.99920138888774002</v>
      </c>
      <c r="F481" s="1">
        <f ca="1">IFERROR(__xludf.DUMMYFUNCTION("""COMPUTED_VALUE"""),20766)</f>
        <v>20766</v>
      </c>
      <c r="G481" s="1" t="str">
        <f ca="1">IFERROR(__xludf.DUMMYFUNCTION("""COMPUTED_VALUE"""),"12.9769/77.7113")</f>
        <v>12.9769/77.7113</v>
      </c>
      <c r="H481" s="1" t="str">
        <f ca="1">IFERROR(__xludf.DUMMYFUNCTION("""COMPUTED_VALUE"""),"Radha Hometel")</f>
        <v>Radha Hometel</v>
      </c>
      <c r="I481" s="1"/>
      <c r="J481" s="1" t="str">
        <f ca="1">IFERROR(__xludf.DUMMYFUNCTION("""COMPUTED_VALUE"""),"0d 00h 00m")</f>
        <v>0d 00h 00m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>
      <c r="A482" s="1">
        <f ca="1">IFERROR(__xludf.DUMMYFUNCTION("""COMPUTED_VALUE"""),170)</f>
        <v>170</v>
      </c>
      <c r="B482" s="1" t="str">
        <f ca="1">IFERROR(__xludf.DUMMYFUNCTION("""COMPUTED_VALUE"""),"E4_kA02AC4534_Jetting")</f>
        <v>E4_kA02AC4534_Jetting</v>
      </c>
      <c r="C482" s="1" t="str">
        <f ca="1">IFERROR(__xludf.DUMMYFUNCTION("""COMPUTED_VALUE"""),"e4_ka02ac4534_jetting")</f>
        <v>e4_ka02ac4534_jetting</v>
      </c>
      <c r="D482" s="2">
        <f ca="1">IFERROR(__xludf.DUMMYFUNCTION("""COMPUTED_VALUE"""),44768)</f>
        <v>44768</v>
      </c>
      <c r="E482" s="3">
        <f ca="1">IFERROR(__xludf.DUMMYFUNCTION("""COMPUTED_VALUE"""),0.998993055556638)</f>
        <v>0.99899305555663798</v>
      </c>
      <c r="F482" s="1">
        <f ca="1">IFERROR(__xludf.DUMMYFUNCTION("""COMPUTED_VALUE"""),21332)</f>
        <v>21332</v>
      </c>
      <c r="G482" s="1" t="str">
        <f ca="1">IFERROR(__xludf.DUMMYFUNCTION("""COMPUTED_VALUE"""),"12.9769/77.7114")</f>
        <v>12.9769/77.7114</v>
      </c>
      <c r="H482" s="1" t="str">
        <f ca="1">IFERROR(__xludf.DUMMYFUNCTION("""COMPUTED_VALUE"""),"Radha Hometel")</f>
        <v>Radha Hometel</v>
      </c>
      <c r="I482" s="1"/>
      <c r="J482" s="1" t="str">
        <f ca="1">IFERROR(__xludf.DUMMYFUNCTION("""COMPUTED_VALUE"""),"0d 00h 00m")</f>
        <v>0d 00h 00m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>
      <c r="A483" s="1">
        <f ca="1">IFERROR(__xludf.DUMMYFUNCTION("""COMPUTED_VALUE"""),175)</f>
        <v>175</v>
      </c>
      <c r="B483" s="1" t="str">
        <f ca="1">IFERROR(__xludf.DUMMYFUNCTION("""COMPUTED_VALUE"""),"E4_kA02AC4534_Jetting")</f>
        <v>E4_kA02AC4534_Jetting</v>
      </c>
      <c r="C483" s="1" t="str">
        <f ca="1">IFERROR(__xludf.DUMMYFUNCTION("""COMPUTED_VALUE"""),"e4_ka02ac4534_jetting")</f>
        <v>e4_ka02ac4534_jetting</v>
      </c>
      <c r="D483" s="2">
        <f ca="1">IFERROR(__xludf.DUMMYFUNCTION("""COMPUTED_VALUE"""),44799)</f>
        <v>44799</v>
      </c>
      <c r="E483" s="3">
        <f ca="1">IFERROR(__xludf.DUMMYFUNCTION("""COMPUTED_VALUE"""),0.99900462962978)</f>
        <v>0.99900462962977998</v>
      </c>
      <c r="F483" s="1">
        <f ca="1">IFERROR(__xludf.DUMMYFUNCTION("""COMPUTED_VALUE"""),21943)</f>
        <v>21943</v>
      </c>
      <c r="G483" s="1" t="str">
        <f ca="1">IFERROR(__xludf.DUMMYFUNCTION("""COMPUTED_VALUE"""),"12.9770/77.7113")</f>
        <v>12.9770/77.7113</v>
      </c>
      <c r="H483" s="1" t="str">
        <f ca="1">IFERROR(__xludf.DUMMYFUNCTION("""COMPUTED_VALUE"""),"Radha Hometel")</f>
        <v>Radha Hometel</v>
      </c>
      <c r="I483" s="1"/>
      <c r="J483" s="1" t="str">
        <f ca="1">IFERROR(__xludf.DUMMYFUNCTION("""COMPUTED_VALUE"""),"0d 00h 00m")</f>
        <v>0d 00h 00m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>
      <c r="A484" s="1">
        <f ca="1">IFERROR(__xludf.DUMMYFUNCTION("""COMPUTED_VALUE"""),223)</f>
        <v>223</v>
      </c>
      <c r="B484" s="1" t="str">
        <f ca="1">IFERROR(__xludf.DUMMYFUNCTION("""COMPUTED_VALUE"""),"E4_kA02AC4534_Jetting")</f>
        <v>E4_kA02AC4534_Jetting</v>
      </c>
      <c r="C484" s="1" t="str">
        <f ca="1">IFERROR(__xludf.DUMMYFUNCTION("""COMPUTED_VALUE"""),"e4_ka02ac4534_jetting")</f>
        <v>e4_ka02ac4534_jetting</v>
      </c>
      <c r="D484" s="2">
        <f ca="1">IFERROR(__xludf.DUMMYFUNCTION("""COMPUTED_VALUE"""),44830)</f>
        <v>44830</v>
      </c>
      <c r="E484" s="3">
        <f ca="1">IFERROR(__xludf.DUMMYFUNCTION("""COMPUTED_VALUE"""),0.999236111110803)</f>
        <v>0.99923611111080302</v>
      </c>
      <c r="F484" s="1">
        <f ca="1">IFERROR(__xludf.DUMMYFUNCTION("""COMPUTED_VALUE"""),22389)</f>
        <v>22389</v>
      </c>
      <c r="G484" s="1" t="str">
        <f ca="1">IFERROR(__xludf.DUMMYFUNCTION("""COMPUTED_VALUE"""),"12.9769/77.7114")</f>
        <v>12.9769/77.7114</v>
      </c>
      <c r="H484" s="1" t="str">
        <f ca="1">IFERROR(__xludf.DUMMYFUNCTION("""COMPUTED_VALUE"""),"Radha Hometel")</f>
        <v>Radha Hometel</v>
      </c>
      <c r="I484" s="1"/>
      <c r="J484" s="1" t="str">
        <f ca="1">IFERROR(__xludf.DUMMYFUNCTION("""COMPUTED_VALUE"""),"0d 00h 00m")</f>
        <v>0d 00h 00m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>
      <c r="A485" s="1">
        <f ca="1">IFERROR(__xludf.DUMMYFUNCTION("""COMPUTED_VALUE"""),209)</f>
        <v>209</v>
      </c>
      <c r="B485" s="1" t="str">
        <f ca="1">IFERROR(__xludf.DUMMYFUNCTION("""COMPUTED_VALUE"""),"E4_kA02AC4534_Jetting")</f>
        <v>E4_kA02AC4534_Jetting</v>
      </c>
      <c r="C485" s="1" t="str">
        <f ca="1">IFERROR(__xludf.DUMMYFUNCTION("""COMPUTED_VALUE"""),"e4_ka02ac4534_jetting")</f>
        <v>e4_ka02ac4534_jetting</v>
      </c>
      <c r="D485" s="2">
        <f ca="1">IFERROR(__xludf.DUMMYFUNCTION("""COMPUTED_VALUE"""),44860)</f>
        <v>44860</v>
      </c>
      <c r="E485" s="3">
        <f ca="1">IFERROR(__xludf.DUMMYFUNCTION("""COMPUTED_VALUE"""),0.999189814814599)</f>
        <v>0.99918981481459901</v>
      </c>
      <c r="F485" s="1">
        <f ca="1">IFERROR(__xludf.DUMMYFUNCTION("""COMPUTED_VALUE"""),23049)</f>
        <v>23049</v>
      </c>
      <c r="G485" s="1" t="str">
        <f ca="1">IFERROR(__xludf.DUMMYFUNCTION("""COMPUTED_VALUE"""),"12.9769/77.7115")</f>
        <v>12.9769/77.7115</v>
      </c>
      <c r="H485" s="1" t="str">
        <f ca="1">IFERROR(__xludf.DUMMYFUNCTION("""COMPUTED_VALUE"""),"Radha Hometel")</f>
        <v>Radha Hometel</v>
      </c>
      <c r="I485" s="1"/>
      <c r="J485" s="1" t="str">
        <f ca="1">IFERROR(__xludf.DUMMYFUNCTION("""COMPUTED_VALUE"""),"0d 00h 00m")</f>
        <v>0d 00h 00m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>
      <c r="A486" s="1">
        <f ca="1">IFERROR(__xludf.DUMMYFUNCTION("""COMPUTED_VALUE"""),228)</f>
        <v>228</v>
      </c>
      <c r="B486" s="1" t="str">
        <f ca="1">IFERROR(__xludf.DUMMYFUNCTION("""COMPUTED_VALUE"""),"E4_KA04AA7684_Desilting")</f>
        <v>E4_KA04AA7684_Desilting</v>
      </c>
      <c r="C486" s="1" t="str">
        <f ca="1">IFERROR(__xludf.DUMMYFUNCTION("""COMPUTED_VALUE"""),"e4_ka04aa7684_desilting")</f>
        <v>e4_ka04aa7684_desilting</v>
      </c>
      <c r="D486" s="2">
        <f ca="1">IFERROR(__xludf.DUMMYFUNCTION("""COMPUTED_VALUE"""),44707)</f>
        <v>44707</v>
      </c>
      <c r="E486" s="3">
        <f ca="1">IFERROR(__xludf.DUMMYFUNCTION("""COMPUTED_VALUE"""),0.99929398148015)</f>
        <v>0.99929398148015003</v>
      </c>
      <c r="F486" s="1">
        <f ca="1">IFERROR(__xludf.DUMMYFUNCTION("""COMPUTED_VALUE"""),17023)</f>
        <v>17023</v>
      </c>
      <c r="G486" s="1" t="str">
        <f ca="1">IFERROR(__xludf.DUMMYFUNCTION("""COMPUTED_VALUE"""),"12.9966/77.6765")</f>
        <v>12.9966/77.6765</v>
      </c>
      <c r="H486" s="1" t="str">
        <f ca="1">IFERROR(__xludf.DUMMYFUNCTION("""COMPUTED_VALUE"""),"K R Puram")</f>
        <v>K R Puram</v>
      </c>
      <c r="I486" s="1"/>
      <c r="J486" s="1" t="str">
        <f ca="1">IFERROR(__xludf.DUMMYFUNCTION("""COMPUTED_VALUE"""),"0d 00h 00m")</f>
        <v>0d 00h 00m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>
      <c r="A487" s="1">
        <f ca="1">IFERROR(__xludf.DUMMYFUNCTION("""COMPUTED_VALUE"""),81)</f>
        <v>81</v>
      </c>
      <c r="B487" s="1" t="str">
        <f ca="1">IFERROR(__xludf.DUMMYFUNCTION("""COMPUTED_VALUE"""),"E4_KA04AA7684_Desilting")</f>
        <v>E4_KA04AA7684_Desilting</v>
      </c>
      <c r="C487" s="1" t="str">
        <f ca="1">IFERROR(__xludf.DUMMYFUNCTION("""COMPUTED_VALUE"""),"e4_ka04aa7684_desilting")</f>
        <v>e4_ka04aa7684_desilting</v>
      </c>
      <c r="D487" s="2">
        <f ca="1">IFERROR(__xludf.DUMMYFUNCTION("""COMPUTED_VALUE"""),44726)</f>
        <v>44726</v>
      </c>
      <c r="E487" s="3">
        <f ca="1">IFERROR(__xludf.DUMMYFUNCTION("""COMPUTED_VALUE"""),0.462627314813289)</f>
        <v>0.462627314813289</v>
      </c>
      <c r="F487" s="1">
        <f ca="1">IFERROR(__xludf.DUMMYFUNCTION("""COMPUTED_VALUE"""),17486)</f>
        <v>17486</v>
      </c>
      <c r="G487" s="1" t="str">
        <f ca="1">IFERROR(__xludf.DUMMYFUNCTION("""COMPUTED_VALUE"""),"12.9966/77.6765")</f>
        <v>12.9966/77.6765</v>
      </c>
      <c r="H487" s="1" t="str">
        <f ca="1">IFERROR(__xludf.DUMMYFUNCTION("""COMPUTED_VALUE"""),"K R Puram")</f>
        <v>K R Puram</v>
      </c>
      <c r="I487" s="1"/>
      <c r="J487" s="1" t="str">
        <f ca="1">IFERROR(__xludf.DUMMYFUNCTION("""COMPUTED_VALUE"""),"0d 00h 00m")</f>
        <v>0d 00h 00m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>
      <c r="A488" s="1">
        <f ca="1">IFERROR(__xludf.DUMMYFUNCTION("""COMPUTED_VALUE"""),88)</f>
        <v>88</v>
      </c>
      <c r="B488" s="1" t="str">
        <f ca="1">IFERROR(__xludf.DUMMYFUNCTION("""COMPUTED_VALUE"""),"E4_KA04AA7684_Desilting")</f>
        <v>E4_KA04AA7684_Desilting</v>
      </c>
      <c r="C488" s="1" t="str">
        <f ca="1">IFERROR(__xludf.DUMMYFUNCTION("""COMPUTED_VALUE"""),"e4_ka04aa7684_desilting")</f>
        <v>e4_ka04aa7684_desilting</v>
      </c>
      <c r="D488" s="2">
        <f ca="1">IFERROR(__xludf.DUMMYFUNCTION("""COMPUTED_VALUE"""),44753)</f>
        <v>44753</v>
      </c>
      <c r="E488" s="3">
        <f ca="1">IFERROR(__xludf.DUMMYFUNCTION("""COMPUTED_VALUE"""),0.706481481480295)</f>
        <v>0.70648148148029499</v>
      </c>
      <c r="F488" s="1">
        <f ca="1">IFERROR(__xludf.DUMMYFUNCTION("""COMPUTED_VALUE"""),17495)</f>
        <v>17495</v>
      </c>
      <c r="G488" s="1" t="str">
        <f ca="1">IFERROR(__xludf.DUMMYFUNCTION("""COMPUTED_VALUE"""),"12.9965/77.6768")</f>
        <v>12.9965/77.6768</v>
      </c>
      <c r="H488" s="1" t="str">
        <f ca="1">IFERROR(__xludf.DUMMYFUNCTION("""COMPUTED_VALUE"""),"K R Puram")</f>
        <v>K R Puram</v>
      </c>
      <c r="I488" s="1"/>
      <c r="J488" s="1" t="str">
        <f ca="1">IFERROR(__xludf.DUMMYFUNCTION("""COMPUTED_VALUE"""),"0d 00h 00m")</f>
        <v>0d 00h 00m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>
      <c r="A489" s="1">
        <f ca="1">IFERROR(__xludf.DUMMYFUNCTION("""COMPUTED_VALUE"""),140)</f>
        <v>140</v>
      </c>
      <c r="B489" s="1" t="str">
        <f ca="1">IFERROR(__xludf.DUMMYFUNCTION("""COMPUTED_VALUE"""),"E4_KA04AA7684_Desilting")</f>
        <v>E4_KA04AA7684_Desilting</v>
      </c>
      <c r="C489" s="1" t="str">
        <f ca="1">IFERROR(__xludf.DUMMYFUNCTION("""COMPUTED_VALUE"""),"e4_ka04aa7684_desilting")</f>
        <v>e4_ka04aa7684_desilting</v>
      </c>
      <c r="D489" s="2">
        <f ca="1">IFERROR(__xludf.DUMMYFUNCTION("""COMPUTED_VALUE"""),44798)</f>
        <v>44798</v>
      </c>
      <c r="E489" s="3">
        <f ca="1">IFERROR(__xludf.DUMMYFUNCTION("""COMPUTED_VALUE"""),0.285208333334594)</f>
        <v>0.285208333334594</v>
      </c>
      <c r="F489" s="1">
        <f ca="1">IFERROR(__xludf.DUMMYFUNCTION("""COMPUTED_VALUE"""),17507)</f>
        <v>17507</v>
      </c>
      <c r="G489" s="1"/>
      <c r="H489" s="1"/>
      <c r="I489" s="1"/>
      <c r="J489" s="1" t="str">
        <f ca="1">IFERROR(__xludf.DUMMYFUNCTION("""COMPUTED_VALUE"""),"0d 00h 00m")</f>
        <v>0d 00h 00m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>
      <c r="A490" s="1">
        <f ca="1">IFERROR(__xludf.DUMMYFUNCTION("""COMPUTED_VALUE"""),86)</f>
        <v>86</v>
      </c>
      <c r="B490" s="1" t="str">
        <f ca="1">IFERROR(__xludf.DUMMYFUNCTION("""COMPUTED_VALUE"""),"E4_KA04AA7684_Desilting")</f>
        <v>E4_KA04AA7684_Desilting</v>
      </c>
      <c r="C490" s="1" t="str">
        <f ca="1">IFERROR(__xludf.DUMMYFUNCTION("""COMPUTED_VALUE"""),"e4_ka04aa7684_desilting")</f>
        <v>e4_ka04aa7684_desilting</v>
      </c>
      <c r="D490" s="2">
        <f ca="1">IFERROR(__xludf.DUMMYFUNCTION("""COMPUTED_VALUE"""),44805)</f>
        <v>44805</v>
      </c>
      <c r="E490" s="3">
        <f ca="1">IFERROR(__xludf.DUMMYFUNCTION("""COMPUTED_VALUE"""),0.430219907408172)</f>
        <v>0.43021990740817201</v>
      </c>
      <c r="F490" s="1">
        <f ca="1">IFERROR(__xludf.DUMMYFUNCTION("""COMPUTED_VALUE"""),17507)</f>
        <v>17507</v>
      </c>
      <c r="G490" s="1"/>
      <c r="H490" s="1"/>
      <c r="I490" s="1"/>
      <c r="J490" s="1" t="str">
        <f ca="1">IFERROR(__xludf.DUMMYFUNCTION("""COMPUTED_VALUE"""),"0d 00h 00m")</f>
        <v>0d 00h 00m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>
      <c r="A491" s="1">
        <f ca="1">IFERROR(__xludf.DUMMYFUNCTION("""COMPUTED_VALUE"""),61)</f>
        <v>61</v>
      </c>
      <c r="B491" s="1" t="str">
        <f ca="1">IFERROR(__xludf.DUMMYFUNCTION("""COMPUTED_VALUE"""),"E4_KA04AA7684_Desilting")</f>
        <v>E4_KA04AA7684_Desilting</v>
      </c>
      <c r="C491" s="1" t="str">
        <f ca="1">IFERROR(__xludf.DUMMYFUNCTION("""COMPUTED_VALUE"""),"e4_ka04aa7684_desilting")</f>
        <v>e4_ka04aa7684_desilting</v>
      </c>
      <c r="D491" s="2">
        <f ca="1">IFERROR(__xludf.DUMMYFUNCTION("""COMPUTED_VALUE"""),44805)</f>
        <v>44805</v>
      </c>
      <c r="E491" s="3">
        <f ca="1">IFERROR(__xludf.DUMMYFUNCTION("""COMPUTED_VALUE"""),0.430219907408172)</f>
        <v>0.43021990740817201</v>
      </c>
      <c r="F491" s="1">
        <f ca="1">IFERROR(__xludf.DUMMYFUNCTION("""COMPUTED_VALUE"""),17507)</f>
        <v>17507</v>
      </c>
      <c r="G491" s="1"/>
      <c r="H491" s="1"/>
      <c r="I491" s="1"/>
      <c r="J491" s="1" t="str">
        <f ca="1">IFERROR(__xludf.DUMMYFUNCTION("""COMPUTED_VALUE"""),"0d 00h 00m")</f>
        <v>0d 00h 00m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>
      <c r="A492" s="1">
        <f ca="1">IFERROR(__xludf.DUMMYFUNCTION("""COMPUTED_VALUE"""),118)</f>
        <v>118</v>
      </c>
      <c r="B492" s="1" t="str">
        <f ca="1">IFERROR(__xludf.DUMMYFUNCTION("""COMPUTED_VALUE"""),"E4_KA04AB6022_Jetting")</f>
        <v>E4_KA04AB6022_Jetting</v>
      </c>
      <c r="C492" s="1" t="str">
        <f ca="1">IFERROR(__xludf.DUMMYFUNCTION("""COMPUTED_VALUE"""),"e4_ka04ab6022_jetting")</f>
        <v>e4_ka04ab6022_jetting</v>
      </c>
      <c r="D492" s="2">
        <f ca="1">IFERROR(__xludf.DUMMYFUNCTION("""COMPUTED_VALUE"""),44706)</f>
        <v>44706</v>
      </c>
      <c r="E492" s="3">
        <f ca="1">IFERROR(__xludf.DUMMYFUNCTION("""COMPUTED_VALUE"""),0.838680555556493)</f>
        <v>0.83868055555649301</v>
      </c>
      <c r="F492" s="1">
        <f ca="1">IFERROR(__xludf.DUMMYFUNCTION("""COMPUTED_VALUE"""),20819)</f>
        <v>20819</v>
      </c>
      <c r="G492" s="1" t="str">
        <f ca="1">IFERROR(__xludf.DUMMYFUNCTION("""COMPUTED_VALUE"""),"12.9964/77.6769")</f>
        <v>12.9964/77.6769</v>
      </c>
      <c r="H492" s="1" t="str">
        <f ca="1">IFERROR(__xludf.DUMMYFUNCTION("""COMPUTED_VALUE"""),"K R Puram")</f>
        <v>K R Puram</v>
      </c>
      <c r="I492" s="1"/>
      <c r="J492" s="1" t="str">
        <f ca="1">IFERROR(__xludf.DUMMYFUNCTION("""COMPUTED_VALUE"""),"0d 00h 00m")</f>
        <v>0d 00h 00m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>
      <c r="A493" s="1">
        <f ca="1">IFERROR(__xludf.DUMMYFUNCTION("""COMPUTED_VALUE"""),57)</f>
        <v>57</v>
      </c>
      <c r="B493" s="1" t="str">
        <f ca="1">IFERROR(__xludf.DUMMYFUNCTION("""COMPUTED_VALUE"""),"E4_KA04AB6022_Jetting")</f>
        <v>E4_KA04AB6022_Jetting</v>
      </c>
      <c r="C493" s="1" t="str">
        <f ca="1">IFERROR(__xludf.DUMMYFUNCTION("""COMPUTED_VALUE"""),"e4_ka04ab6022_jetting")</f>
        <v>e4_ka04ab6022_jetting</v>
      </c>
      <c r="D493" s="2">
        <f ca="1">IFERROR(__xludf.DUMMYFUNCTION("""COMPUTED_VALUE"""),44706)</f>
        <v>44706</v>
      </c>
      <c r="E493" s="3">
        <f ca="1">IFERROR(__xludf.DUMMYFUNCTION("""COMPUTED_VALUE"""),0.838680555556493)</f>
        <v>0.83868055555649301</v>
      </c>
      <c r="F493" s="1">
        <f ca="1">IFERROR(__xludf.DUMMYFUNCTION("""COMPUTED_VALUE"""),20819)</f>
        <v>20819</v>
      </c>
      <c r="G493" s="1" t="str">
        <f ca="1">IFERROR(__xludf.DUMMYFUNCTION("""COMPUTED_VALUE"""),"12.9964/77.6769")</f>
        <v>12.9964/77.6769</v>
      </c>
      <c r="H493" s="1" t="str">
        <f ca="1">IFERROR(__xludf.DUMMYFUNCTION("""COMPUTED_VALUE"""),"K R Puram")</f>
        <v>K R Puram</v>
      </c>
      <c r="I493" s="1"/>
      <c r="J493" s="1" t="str">
        <f ca="1">IFERROR(__xludf.DUMMYFUNCTION("""COMPUTED_VALUE"""),"0d 00h 00m")</f>
        <v>0d 00h 00m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>
      <c r="A494" s="1">
        <f ca="1">IFERROR(__xludf.DUMMYFUNCTION("""COMPUTED_VALUE"""),160)</f>
        <v>160</v>
      </c>
      <c r="B494" s="1" t="str">
        <f ca="1">IFERROR(__xludf.DUMMYFUNCTION("""COMPUTED_VALUE"""),"E4_KA04AB6022_Jetting")</f>
        <v>E4_KA04AB6022_Jetting</v>
      </c>
      <c r="C494" s="1" t="str">
        <f ca="1">IFERROR(__xludf.DUMMYFUNCTION("""COMPUTED_VALUE"""),"e4_ka04ab6022_jetting")</f>
        <v>e4_ka04ab6022_jetting</v>
      </c>
      <c r="D494" s="2">
        <f ca="1">IFERROR(__xludf.DUMMYFUNCTION("""COMPUTED_VALUE"""),44768)</f>
        <v>44768</v>
      </c>
      <c r="E494" s="3">
        <f ca="1">IFERROR(__xludf.DUMMYFUNCTION("""COMPUTED_VALUE"""),0.998819444444961)</f>
        <v>0.99881944444496096</v>
      </c>
      <c r="F494" s="1">
        <f ca="1">IFERROR(__xludf.DUMMYFUNCTION("""COMPUTED_VALUE"""),21731)</f>
        <v>21731</v>
      </c>
      <c r="G494" s="1" t="str">
        <f ca="1">IFERROR(__xludf.DUMMYFUNCTION("""COMPUTED_VALUE"""),"12.9964/77.6769")</f>
        <v>12.9964/77.6769</v>
      </c>
      <c r="H494" s="1" t="str">
        <f ca="1">IFERROR(__xludf.DUMMYFUNCTION("""COMPUTED_VALUE"""),"K R Puram")</f>
        <v>K R Puram</v>
      </c>
      <c r="I494" s="1"/>
      <c r="J494" s="1" t="str">
        <f ca="1">IFERROR(__xludf.DUMMYFUNCTION("""COMPUTED_VALUE"""),"0d 00h 00m")</f>
        <v>0d 00h 00m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>
      <c r="A495" s="1">
        <f ca="1">IFERROR(__xludf.DUMMYFUNCTION("""COMPUTED_VALUE"""),93)</f>
        <v>93</v>
      </c>
      <c r="B495" s="1" t="str">
        <f ca="1">IFERROR(__xludf.DUMMYFUNCTION("""COMPUTED_VALUE"""),"E4_KA04AB6022_Jetting")</f>
        <v>E4_KA04AB6022_Jetting</v>
      </c>
      <c r="C495" s="1" t="str">
        <f ca="1">IFERROR(__xludf.DUMMYFUNCTION("""COMPUTED_VALUE"""),"e4_ka04ab6022_jetting")</f>
        <v>e4_ka04ab6022_jetting</v>
      </c>
      <c r="D495" s="2">
        <f ca="1">IFERROR(__xludf.DUMMYFUNCTION("""COMPUTED_VALUE"""),44778)</f>
        <v>44778</v>
      </c>
      <c r="E495" s="3">
        <f ca="1">IFERROR(__xludf.DUMMYFUNCTION("""COMPUTED_VALUE"""),0.589710648149775)</f>
        <v>0.58971064814977503</v>
      </c>
      <c r="F495" s="1">
        <f ca="1">IFERROR(__xludf.DUMMYFUNCTION("""COMPUTED_VALUE"""),22815)</f>
        <v>22815</v>
      </c>
      <c r="G495" s="1" t="str">
        <f ca="1">IFERROR(__xludf.DUMMYFUNCTION("""COMPUTED_VALUE"""),"12.9621/77.6800")</f>
        <v>12.9621/77.6800</v>
      </c>
      <c r="H495" s="1" t="str">
        <f ca="1">IFERROR(__xludf.DUMMYFUNCTION("""COMPUTED_VALUE"""),"Keerthi Regency")</f>
        <v>Keerthi Regency</v>
      </c>
      <c r="I495" s="1"/>
      <c r="J495" s="1" t="str">
        <f ca="1">IFERROR(__xludf.DUMMYFUNCTION("""COMPUTED_VALUE"""),"0d 00h 00m")</f>
        <v>0d 00h 00m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>
      <c r="A496" s="1">
        <f ca="1">IFERROR(__xludf.DUMMYFUNCTION("""COMPUTED_VALUE"""),105)</f>
        <v>105</v>
      </c>
      <c r="B496" s="1" t="str">
        <f ca="1">IFERROR(__xludf.DUMMYFUNCTION("""COMPUTED_VALUE"""),"E4_KA04AB6022_Jetting")</f>
        <v>E4_KA04AB6022_Jetting</v>
      </c>
      <c r="C496" s="1" t="str">
        <f ca="1">IFERROR(__xludf.DUMMYFUNCTION("""COMPUTED_VALUE"""),"e4_ka04ab6022_jetting")</f>
        <v>e4_ka04ab6022_jetting</v>
      </c>
      <c r="D496" s="2">
        <f ca="1">IFERROR(__xludf.DUMMYFUNCTION("""COMPUTED_VALUE"""),44823)</f>
        <v>44823</v>
      </c>
      <c r="E496" s="3">
        <f ca="1">IFERROR(__xludf.DUMMYFUNCTION("""COMPUTED_VALUE"""),0.153796296297514)</f>
        <v>0.15379629629751401</v>
      </c>
      <c r="F496" s="1">
        <f ca="1">IFERROR(__xludf.DUMMYFUNCTION("""COMPUTED_VALUE"""),24291)</f>
        <v>24291</v>
      </c>
      <c r="G496" s="1"/>
      <c r="H496" s="1"/>
      <c r="I496" s="1"/>
      <c r="J496" s="1" t="str">
        <f ca="1">IFERROR(__xludf.DUMMYFUNCTION("""COMPUTED_VALUE"""),"0d 00h 00m")</f>
        <v>0d 00h 00m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>
      <c r="A497" s="1">
        <f ca="1">IFERROR(__xludf.DUMMYFUNCTION("""COMPUTED_VALUE"""),68)</f>
        <v>68</v>
      </c>
      <c r="B497" s="1" t="str">
        <f ca="1">IFERROR(__xludf.DUMMYFUNCTION("""COMPUTED_VALUE"""),"E4_KA04AB6022_Jetting")</f>
        <v>E4_KA04AB6022_Jetting</v>
      </c>
      <c r="C497" s="1" t="str">
        <f ca="1">IFERROR(__xludf.DUMMYFUNCTION("""COMPUTED_VALUE"""),"e4_ka04ab6022_jetting")</f>
        <v>e4_ka04ab6022_jetting</v>
      </c>
      <c r="D497" s="2">
        <f ca="1">IFERROR(__xludf.DUMMYFUNCTION("""COMPUTED_VALUE"""),44823)</f>
        <v>44823</v>
      </c>
      <c r="E497" s="3">
        <f ca="1">IFERROR(__xludf.DUMMYFUNCTION("""COMPUTED_VALUE"""),0.153796296297514)</f>
        <v>0.15379629629751401</v>
      </c>
      <c r="F497" s="1">
        <f ca="1">IFERROR(__xludf.DUMMYFUNCTION("""COMPUTED_VALUE"""),24291)</f>
        <v>24291</v>
      </c>
      <c r="G497" s="1"/>
      <c r="H497" s="1"/>
      <c r="I497" s="1"/>
      <c r="J497" s="1" t="str">
        <f ca="1">IFERROR(__xludf.DUMMYFUNCTION("""COMPUTED_VALUE"""),"0d 00h 00m")</f>
        <v>0d 00h 00m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>
      <c r="A498" s="1">
        <f ca="1">IFERROR(__xludf.DUMMYFUNCTION("""COMPUTED_VALUE"""),88)</f>
        <v>88</v>
      </c>
      <c r="B498" s="1" t="str">
        <f ca="1">IFERROR(__xludf.DUMMYFUNCTION("""COMPUTED_VALUE"""),"E4_KA04D5309_Tanker")</f>
        <v>E4_KA04D5309_Tanker</v>
      </c>
      <c r="C498" s="1" t="str">
        <f ca="1">IFERROR(__xludf.DUMMYFUNCTION("""COMPUTED_VALUE"""),"e4_ka04d5309_tanker")</f>
        <v>e4_ka04d5309_tanker</v>
      </c>
      <c r="D498" s="2">
        <f ca="1">IFERROR(__xludf.DUMMYFUNCTION("""COMPUTED_VALUE"""),44700)</f>
        <v>44700</v>
      </c>
      <c r="E498" s="3">
        <f ca="1">IFERROR(__xludf.DUMMYFUNCTION("""COMPUTED_VALUE"""),0.877083333332848)</f>
        <v>0.87708333333284805</v>
      </c>
      <c r="F498" s="1">
        <f ca="1">IFERROR(__xludf.DUMMYFUNCTION("""COMPUTED_VALUE"""),34068)</f>
        <v>34068</v>
      </c>
      <c r="G498" s="1" t="str">
        <f ca="1">IFERROR(__xludf.DUMMYFUNCTION("""COMPUTED_VALUE"""),"12.9969/77.6767")</f>
        <v>12.9969/77.6767</v>
      </c>
      <c r="H498" s="1" t="str">
        <f ca="1">IFERROR(__xludf.DUMMYFUNCTION("""COMPUTED_VALUE"""),"K R Puram")</f>
        <v>K R Puram</v>
      </c>
      <c r="I498" s="1"/>
      <c r="J498" s="1" t="str">
        <f ca="1">IFERROR(__xludf.DUMMYFUNCTION("""COMPUTED_VALUE"""),"25d 15h 25m")</f>
        <v>25d 15h 25m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>
      <c r="A499" s="1">
        <f ca="1">IFERROR(__xludf.DUMMYFUNCTION("""COMPUTED_VALUE"""),86)</f>
        <v>86</v>
      </c>
      <c r="B499" s="1" t="str">
        <f ca="1">IFERROR(__xludf.DUMMYFUNCTION("""COMPUTED_VALUE"""),"E4_KA04D5309_Tanker")</f>
        <v>E4_KA04D5309_Tanker</v>
      </c>
      <c r="C499" s="1" t="str">
        <f ca="1">IFERROR(__xludf.DUMMYFUNCTION("""COMPUTED_VALUE"""),"e4_ka04d5309_tanker")</f>
        <v>e4_ka04d5309_tanker</v>
      </c>
      <c r="D499" s="2">
        <f ca="1">IFERROR(__xludf.DUMMYFUNCTION("""COMPUTED_VALUE"""),44728)</f>
        <v>44728</v>
      </c>
      <c r="E499" s="3">
        <f ca="1">IFERROR(__xludf.DUMMYFUNCTION("""COMPUTED_VALUE"""),0.917256944445398)</f>
        <v>0.91725694444539796</v>
      </c>
      <c r="F499" s="1">
        <f ca="1">IFERROR(__xludf.DUMMYFUNCTION("""COMPUTED_VALUE"""),34093)</f>
        <v>34093</v>
      </c>
      <c r="G499" s="1" t="str">
        <f ca="1">IFERROR(__xludf.DUMMYFUNCTION("""COMPUTED_VALUE"""),"12.9963/77.6770")</f>
        <v>12.9963/77.6770</v>
      </c>
      <c r="H499" s="1" t="str">
        <f ca="1">IFERROR(__xludf.DUMMYFUNCTION("""COMPUTED_VALUE"""),"K R Puram")</f>
        <v>K R Puram</v>
      </c>
      <c r="I499" s="1"/>
      <c r="J499" s="1" t="str">
        <f ca="1">IFERROR(__xludf.DUMMYFUNCTION("""COMPUTED_VALUE"""),"25d 15h 27m")</f>
        <v>25d 15h 27m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>
      <c r="A500" s="1">
        <f ca="1">IFERROR(__xludf.DUMMYFUNCTION("""COMPUTED_VALUE"""),79)</f>
        <v>79</v>
      </c>
      <c r="B500" s="1" t="str">
        <f ca="1">IFERROR(__xludf.DUMMYFUNCTION("""COMPUTED_VALUE"""),"E4_KA04D5309_Tanker")</f>
        <v>E4_KA04D5309_Tanker</v>
      </c>
      <c r="C500" s="1" t="str">
        <f ca="1">IFERROR(__xludf.DUMMYFUNCTION("""COMPUTED_VALUE"""),"e4_ka04d5309_tanker")</f>
        <v>e4_ka04d5309_tanker</v>
      </c>
      <c r="D500" s="2">
        <f ca="1">IFERROR(__xludf.DUMMYFUNCTION("""COMPUTED_VALUE"""),44747)</f>
        <v>44747</v>
      </c>
      <c r="E500" s="3">
        <f ca="1">IFERROR(__xludf.DUMMYFUNCTION("""COMPUTED_VALUE"""),0.722384259257523)</f>
        <v>0.72238425925752303</v>
      </c>
      <c r="F500" s="1">
        <f ca="1">IFERROR(__xludf.DUMMYFUNCTION("""COMPUTED_VALUE"""),34093)</f>
        <v>34093</v>
      </c>
      <c r="G500" s="1" t="str">
        <f ca="1">IFERROR(__xludf.DUMMYFUNCTION("""COMPUTED_VALUE"""),"12.9963/77.6772")</f>
        <v>12.9963/77.6772</v>
      </c>
      <c r="H500" s="1" t="str">
        <f ca="1">IFERROR(__xludf.DUMMYFUNCTION("""COMPUTED_VALUE"""),"K R Puram")</f>
        <v>K R Puram</v>
      </c>
      <c r="I500" s="1"/>
      <c r="J500" s="1" t="str">
        <f ca="1">IFERROR(__xludf.DUMMYFUNCTION("""COMPUTED_VALUE"""),"25d 15h 27m")</f>
        <v>25d 15h 27m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>
      <c r="A501" s="1">
        <f ca="1">IFERROR(__xludf.DUMMYFUNCTION("""COMPUTED_VALUE"""),111)</f>
        <v>111</v>
      </c>
      <c r="B501" s="1" t="str">
        <f ca="1">IFERROR(__xludf.DUMMYFUNCTION("""COMPUTED_VALUE"""),"E4_KA04D5309_Tanker")</f>
        <v>E4_KA04D5309_Tanker</v>
      </c>
      <c r="C501" s="1" t="str">
        <f ca="1">IFERROR(__xludf.DUMMYFUNCTION("""COMPUTED_VALUE"""),"e4_ka04d5309_tanker")</f>
        <v>e4_ka04d5309_tanker</v>
      </c>
      <c r="D501" s="2">
        <f ca="1">IFERROR(__xludf.DUMMYFUNCTION("""COMPUTED_VALUE"""),44786)</f>
        <v>44786</v>
      </c>
      <c r="E501" s="3">
        <f ca="1">IFERROR(__xludf.DUMMYFUNCTION("""COMPUTED_VALUE"""),0.018796296295477)</f>
        <v>1.8796296295477001E-2</v>
      </c>
      <c r="F501" s="1">
        <f ca="1">IFERROR(__xludf.DUMMYFUNCTION("""COMPUTED_VALUE"""),34097)</f>
        <v>34097</v>
      </c>
      <c r="G501" s="1" t="str">
        <f ca="1">IFERROR(__xludf.DUMMYFUNCTION("""COMPUTED_VALUE"""),"12.9959/77.6770")</f>
        <v>12.9959/77.6770</v>
      </c>
      <c r="H501" s="1" t="str">
        <f ca="1">IFERROR(__xludf.DUMMYFUNCTION("""COMPUTED_VALUE"""),"K R Puram")</f>
        <v>K R Puram</v>
      </c>
      <c r="I501" s="1"/>
      <c r="J501" s="1" t="str">
        <f ca="1">IFERROR(__xludf.DUMMYFUNCTION("""COMPUTED_VALUE"""),"25d 15h 28m")</f>
        <v>25d 15h 28m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>
      <c r="A502" s="1">
        <f ca="1">IFERROR(__xludf.DUMMYFUNCTION("""COMPUTED_VALUE"""),72)</f>
        <v>72</v>
      </c>
      <c r="B502" s="1" t="str">
        <f ca="1">IFERROR(__xludf.DUMMYFUNCTION("""COMPUTED_VALUE"""),"E4_KA04D5309_Tanker")</f>
        <v>E4_KA04D5309_Tanker</v>
      </c>
      <c r="C502" s="1" t="str">
        <f ca="1">IFERROR(__xludf.DUMMYFUNCTION("""COMPUTED_VALUE"""),"e4_ka04d5309_tanker")</f>
        <v>e4_ka04d5309_tanker</v>
      </c>
      <c r="D502" s="2">
        <f ca="1">IFERROR(__xludf.DUMMYFUNCTION("""COMPUTED_VALUE"""),44786)</f>
        <v>44786</v>
      </c>
      <c r="E502" s="3">
        <f ca="1">IFERROR(__xludf.DUMMYFUNCTION("""COMPUTED_VALUE"""),0.018796296295477)</f>
        <v>1.8796296295477001E-2</v>
      </c>
      <c r="F502" s="1">
        <f ca="1">IFERROR(__xludf.DUMMYFUNCTION("""COMPUTED_VALUE"""),34097)</f>
        <v>34097</v>
      </c>
      <c r="G502" s="1" t="str">
        <f ca="1">IFERROR(__xludf.DUMMYFUNCTION("""COMPUTED_VALUE"""),"12.9959/77.6770")</f>
        <v>12.9959/77.6770</v>
      </c>
      <c r="H502" s="1" t="str">
        <f ca="1">IFERROR(__xludf.DUMMYFUNCTION("""COMPUTED_VALUE"""),"K R Puram")</f>
        <v>K R Puram</v>
      </c>
      <c r="I502" s="1"/>
      <c r="J502" s="1" t="str">
        <f ca="1">IFERROR(__xludf.DUMMYFUNCTION("""COMPUTED_VALUE"""),"25d 15h 29m")</f>
        <v>25d 15h 29m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>
      <c r="A503" s="1">
        <f ca="1">IFERROR(__xludf.DUMMYFUNCTION("""COMPUTED_VALUE"""),143)</f>
        <v>143</v>
      </c>
      <c r="B503" s="1" t="str">
        <f ca="1">IFERROR(__xludf.DUMMYFUNCTION("""COMPUTED_VALUE"""),"E4_KA04D5309_Tanker")</f>
        <v>E4_KA04D5309_Tanker</v>
      </c>
      <c r="C503" s="1" t="str">
        <f ca="1">IFERROR(__xludf.DUMMYFUNCTION("""COMPUTED_VALUE"""),"e4_ka04d5309_tanker")</f>
        <v>e4_ka04d5309_tanker</v>
      </c>
      <c r="D503" s="2">
        <f ca="1">IFERROR(__xludf.DUMMYFUNCTION("""COMPUTED_VALUE"""),44860)</f>
        <v>44860</v>
      </c>
      <c r="E503" s="3">
        <f ca="1">IFERROR(__xludf.DUMMYFUNCTION("""COMPUTED_VALUE"""),0.767453703701903)</f>
        <v>0.76745370370190302</v>
      </c>
      <c r="F503" s="1">
        <f ca="1">IFERROR(__xludf.DUMMYFUNCTION("""COMPUTED_VALUE"""),34127)</f>
        <v>34127</v>
      </c>
      <c r="G503" s="1" t="str">
        <f ca="1">IFERROR(__xludf.DUMMYFUNCTION("""COMPUTED_VALUE"""),"12.9968/77.6779")</f>
        <v>12.9968/77.6779</v>
      </c>
      <c r="H503" s="1" t="str">
        <f ca="1">IFERROR(__xludf.DUMMYFUNCTION("""COMPUTED_VALUE"""),"Chattram")</f>
        <v>Chattram</v>
      </c>
      <c r="I503" s="1"/>
      <c r="J503" s="1" t="str">
        <f ca="1">IFERROR(__xludf.DUMMYFUNCTION("""COMPUTED_VALUE"""),"25d 15h 30m")</f>
        <v>25d 15h 30m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>
      <c r="A504" s="1">
        <f ca="1">IFERROR(__xludf.DUMMYFUNCTION("""COMPUTED_VALUE"""),46)</f>
        <v>46</v>
      </c>
      <c r="B504" s="1" t="str">
        <f ca="1">IFERROR(__xludf.DUMMYFUNCTION("""COMPUTED_VALUE"""),"E4_KA04D6648_Jetting")</f>
        <v>E4_KA04D6648_Jetting</v>
      </c>
      <c r="C504" s="1" t="str">
        <f ca="1">IFERROR(__xludf.DUMMYFUNCTION("""COMPUTED_VALUE"""),"e4_ka04d6648_jetting")</f>
        <v>e4_ka04d6648_jetting</v>
      </c>
      <c r="D504" s="2">
        <f ca="1">IFERROR(__xludf.DUMMYFUNCTION("""COMPUTED_VALUE"""),44586)</f>
        <v>44586</v>
      </c>
      <c r="E504" s="3">
        <f ca="1">IFERROR(__xludf.DUMMYFUNCTION("""COMPUTED_VALUE"""),0.49710648148175)</f>
        <v>0.49710648148175002</v>
      </c>
      <c r="F504" s="1">
        <f ca="1">IFERROR(__xludf.DUMMYFUNCTION("""COMPUTED_VALUE"""),13752)</f>
        <v>13752</v>
      </c>
      <c r="G504" s="1" t="str">
        <f ca="1">IFERROR(__xludf.DUMMYFUNCTION("""COMPUTED_VALUE"""),"12.9925/77.6787")</f>
        <v>12.9925/77.6787</v>
      </c>
      <c r="H504" s="1" t="str">
        <f ca="1">IFERROR(__xludf.DUMMYFUNCTION("""COMPUTED_VALUE"""),"Mahadevapura")</f>
        <v>Mahadevapura</v>
      </c>
      <c r="I504" s="1"/>
      <c r="J504" s="1" t="str">
        <f ca="1">IFERROR(__xludf.DUMMYFUNCTION("""COMPUTED_VALUE"""),"0d 18h 10m")</f>
        <v>0d 18h 10m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>
      <c r="A505" s="1">
        <f ca="1">IFERROR(__xludf.DUMMYFUNCTION("""COMPUTED_VALUE"""),40)</f>
        <v>40</v>
      </c>
      <c r="B505" s="1" t="str">
        <f ca="1">IFERROR(__xludf.DUMMYFUNCTION("""COMPUTED_VALUE"""),"E4_KA04D6648_Jetting")</f>
        <v>E4_KA04D6648_Jetting</v>
      </c>
      <c r="C505" s="1" t="str">
        <f ca="1">IFERROR(__xludf.DUMMYFUNCTION("""COMPUTED_VALUE"""),"e4_ka04d6648_jetting")</f>
        <v>e4_ka04d6648_jetting</v>
      </c>
      <c r="D505" s="2">
        <f ca="1">IFERROR(__xludf.DUMMYFUNCTION("""COMPUTED_VALUE"""),44586)</f>
        <v>44586</v>
      </c>
      <c r="E505" s="3">
        <f ca="1">IFERROR(__xludf.DUMMYFUNCTION("""COMPUTED_VALUE"""),0.49710648148175)</f>
        <v>0.49710648148175002</v>
      </c>
      <c r="F505" s="1">
        <f ca="1">IFERROR(__xludf.DUMMYFUNCTION("""COMPUTED_VALUE"""),13752)</f>
        <v>13752</v>
      </c>
      <c r="G505" s="1" t="str">
        <f ca="1">IFERROR(__xludf.DUMMYFUNCTION("""COMPUTED_VALUE"""),"12.9925/77.6787")</f>
        <v>12.9925/77.6787</v>
      </c>
      <c r="H505" s="1" t="str">
        <f ca="1">IFERROR(__xludf.DUMMYFUNCTION("""COMPUTED_VALUE"""),"Mahadevapura")</f>
        <v>Mahadevapura</v>
      </c>
      <c r="I505" s="1"/>
      <c r="J505" s="1" t="str">
        <f ca="1">IFERROR(__xludf.DUMMYFUNCTION("""COMPUTED_VALUE"""),"0d 18h 11m")</f>
        <v>0d 18h 11m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>
      <c r="A506" s="1">
        <f ca="1">IFERROR(__xludf.DUMMYFUNCTION("""COMPUTED_VALUE"""),40)</f>
        <v>40</v>
      </c>
      <c r="B506" s="1" t="str">
        <f ca="1">IFERROR(__xludf.DUMMYFUNCTION("""COMPUTED_VALUE"""),"E4_KA04D6648_Jetting")</f>
        <v>E4_KA04D6648_Jetting</v>
      </c>
      <c r="C506" s="1" t="str">
        <f ca="1">IFERROR(__xludf.DUMMYFUNCTION("""COMPUTED_VALUE"""),"e4_ka04d6648_jetting")</f>
        <v>e4_ka04d6648_jetting</v>
      </c>
      <c r="D506" s="2">
        <f ca="1">IFERROR(__xludf.DUMMYFUNCTION("""COMPUTED_VALUE"""),44586)</f>
        <v>44586</v>
      </c>
      <c r="E506" s="3">
        <f ca="1">IFERROR(__xludf.DUMMYFUNCTION("""COMPUTED_VALUE"""),0.49710648148175)</f>
        <v>0.49710648148175002</v>
      </c>
      <c r="F506" s="1">
        <f ca="1">IFERROR(__xludf.DUMMYFUNCTION("""COMPUTED_VALUE"""),13752)</f>
        <v>13752</v>
      </c>
      <c r="G506" s="1" t="str">
        <f ca="1">IFERROR(__xludf.DUMMYFUNCTION("""COMPUTED_VALUE"""),"12.9925/77.6787")</f>
        <v>12.9925/77.6787</v>
      </c>
      <c r="H506" s="1" t="str">
        <f ca="1">IFERROR(__xludf.DUMMYFUNCTION("""COMPUTED_VALUE"""),"Mahadevapura")</f>
        <v>Mahadevapura</v>
      </c>
      <c r="I506" s="1"/>
      <c r="J506" s="1" t="str">
        <f ca="1">IFERROR(__xludf.DUMMYFUNCTION("""COMPUTED_VALUE"""),"0d 18h 11m")</f>
        <v>0d 18h 11m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>
      <c r="A507" s="1">
        <f ca="1">IFERROR(__xludf.DUMMYFUNCTION("""COMPUTED_VALUE"""),40)</f>
        <v>40</v>
      </c>
      <c r="B507" s="1" t="str">
        <f ca="1">IFERROR(__xludf.DUMMYFUNCTION("""COMPUTED_VALUE"""),"E4_KA04D6648_Jetting")</f>
        <v>E4_KA04D6648_Jetting</v>
      </c>
      <c r="C507" s="1" t="str">
        <f ca="1">IFERROR(__xludf.DUMMYFUNCTION("""COMPUTED_VALUE"""),"e4_ka04d6648_jetting")</f>
        <v>e4_ka04d6648_jetting</v>
      </c>
      <c r="D507" s="2">
        <f ca="1">IFERROR(__xludf.DUMMYFUNCTION("""COMPUTED_VALUE"""),44586)</f>
        <v>44586</v>
      </c>
      <c r="E507" s="3">
        <f ca="1">IFERROR(__xludf.DUMMYFUNCTION("""COMPUTED_VALUE"""),0.49710648148175)</f>
        <v>0.49710648148175002</v>
      </c>
      <c r="F507" s="1">
        <f ca="1">IFERROR(__xludf.DUMMYFUNCTION("""COMPUTED_VALUE"""),13752)</f>
        <v>13752</v>
      </c>
      <c r="G507" s="1" t="str">
        <f ca="1">IFERROR(__xludf.DUMMYFUNCTION("""COMPUTED_VALUE"""),"12.9925/77.6787")</f>
        <v>12.9925/77.6787</v>
      </c>
      <c r="H507" s="1" t="str">
        <f ca="1">IFERROR(__xludf.DUMMYFUNCTION("""COMPUTED_VALUE"""),"Mahadevapura")</f>
        <v>Mahadevapura</v>
      </c>
      <c r="I507" s="1"/>
      <c r="J507" s="1" t="str">
        <f ca="1">IFERROR(__xludf.DUMMYFUNCTION("""COMPUTED_VALUE"""),"0d 18h 12m")</f>
        <v>0d 18h 12m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>
      <c r="A508" s="1">
        <f ca="1">IFERROR(__xludf.DUMMYFUNCTION("""COMPUTED_VALUE"""),136)</f>
        <v>136</v>
      </c>
      <c r="B508" s="1" t="str">
        <f ca="1">IFERROR(__xludf.DUMMYFUNCTION("""COMPUTED_VALUE"""),"E4_KA04D6648_Jetting")</f>
        <v>E4_KA04D6648_Jetting</v>
      </c>
      <c r="C508" s="1" t="str">
        <f ca="1">IFERROR(__xludf.DUMMYFUNCTION("""COMPUTED_VALUE"""),"e4_ka04d6648_jetting")</f>
        <v>e4_ka04d6648_jetting</v>
      </c>
      <c r="D508" s="2">
        <f ca="1">IFERROR(__xludf.DUMMYFUNCTION("""COMPUTED_VALUE"""),44829)</f>
        <v>44829</v>
      </c>
      <c r="E508" s="3">
        <f ca="1">IFERROR(__xludf.DUMMYFUNCTION("""COMPUTED_VALUE"""),0.329155092593282)</f>
        <v>0.32915509259328202</v>
      </c>
      <c r="F508" s="1">
        <f ca="1">IFERROR(__xludf.DUMMYFUNCTION("""COMPUTED_VALUE"""),13789)</f>
        <v>13789</v>
      </c>
      <c r="G508" s="1" t="str">
        <f ca="1">IFERROR(__xludf.DUMMYFUNCTION("""COMPUTED_VALUE"""),"12.9964/77.6766")</f>
        <v>12.9964/77.6766</v>
      </c>
      <c r="H508" s="1" t="str">
        <f ca="1">IFERROR(__xludf.DUMMYFUNCTION("""COMPUTED_VALUE"""),"K R Puram")</f>
        <v>K R Puram</v>
      </c>
      <c r="I508" s="1"/>
      <c r="J508" s="1" t="str">
        <f ca="1">IFERROR(__xludf.DUMMYFUNCTION("""COMPUTED_VALUE"""),"0d 18h 13m")</f>
        <v>0d 18h 13m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>
      <c r="A509" s="1">
        <f ca="1">IFERROR(__xludf.DUMMYFUNCTION("""COMPUTED_VALUE"""),104)</f>
        <v>104</v>
      </c>
      <c r="B509" s="1" t="str">
        <f ca="1">IFERROR(__xludf.DUMMYFUNCTION("""COMPUTED_VALUE"""),"E4_KA04D6648_Jetting")</f>
        <v>E4_KA04D6648_Jetting</v>
      </c>
      <c r="C509" s="1" t="str">
        <f ca="1">IFERROR(__xludf.DUMMYFUNCTION("""COMPUTED_VALUE"""),"e4_ka04d6648_jetting")</f>
        <v>e4_ka04d6648_jetting</v>
      </c>
      <c r="D509" s="2">
        <f ca="1">IFERROR(__xludf.DUMMYFUNCTION("""COMPUTED_VALUE"""),44858)</f>
        <v>44858</v>
      </c>
      <c r="E509" s="3">
        <f ca="1">IFERROR(__xludf.DUMMYFUNCTION("""COMPUTED_VALUE"""),0.669745370370947)</f>
        <v>0.66974537037094695</v>
      </c>
      <c r="F509" s="1">
        <f ca="1">IFERROR(__xludf.DUMMYFUNCTION("""COMPUTED_VALUE"""),13798)</f>
        <v>13798</v>
      </c>
      <c r="G509" s="1" t="str">
        <f ca="1">IFERROR(__xludf.DUMMYFUNCTION("""COMPUTED_VALUE"""),"12.9573/77.6939")</f>
        <v>12.9573/77.6939</v>
      </c>
      <c r="H509" s="1" t="str">
        <f ca="1">IFERROR(__xludf.DUMMYFUNCTION("""COMPUTED_VALUE"""),"Varthur Road")</f>
        <v>Varthur Road</v>
      </c>
      <c r="I509" s="1"/>
      <c r="J509" s="1" t="str">
        <f ca="1">IFERROR(__xludf.DUMMYFUNCTION("""COMPUTED_VALUE"""),"0d 18h 14m")</f>
        <v>0d 18h 14m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>
      <c r="A510" s="1">
        <f ca="1">IFERROR(__xludf.DUMMYFUNCTION("""COMPUTED_VALUE"""),123)</f>
        <v>123</v>
      </c>
      <c r="B510" s="1" t="str">
        <f ca="1">IFERROR(__xludf.DUMMYFUNCTION("""COMPUTED_VALUE"""),"E4_KA04D6650_Jetting")</f>
        <v>E4_KA04D6650_Jetting</v>
      </c>
      <c r="C510" s="1" t="str">
        <f ca="1">IFERROR(__xludf.DUMMYFUNCTION("""COMPUTED_VALUE"""),"e4_ka04d6650_jetting")</f>
        <v>e4_ka04d6650_jetting</v>
      </c>
      <c r="D510" s="2">
        <f ca="1">IFERROR(__xludf.DUMMYFUNCTION("""COMPUTED_VALUE"""),44707)</f>
        <v>44707</v>
      </c>
      <c r="E510" s="3">
        <f ca="1">IFERROR(__xludf.DUMMYFUNCTION("""COMPUTED_VALUE"""),0.491747685184236)</f>
        <v>0.49174768518423601</v>
      </c>
      <c r="F510" s="1">
        <f ca="1">IFERROR(__xludf.DUMMYFUNCTION("""COMPUTED_VALUE"""),18572)</f>
        <v>18572</v>
      </c>
      <c r="G510" s="1" t="str">
        <f ca="1">IFERROR(__xludf.DUMMYFUNCTION("""COMPUTED_VALUE"""),"12.9715/77.6816")</f>
        <v>12.9715/77.6816</v>
      </c>
      <c r="H510" s="1" t="str">
        <f ca="1">IFERROR(__xludf.DUMMYFUNCTION("""COMPUTED_VALUE"""),"Keerthi Regency")</f>
        <v>Keerthi Regency</v>
      </c>
      <c r="I510" s="1"/>
      <c r="J510" s="1" t="str">
        <f ca="1">IFERROR(__xludf.DUMMYFUNCTION("""COMPUTED_VALUE"""),"0d 19h 13m")</f>
        <v>0d 19h 13m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>
      <c r="A511" s="1">
        <f ca="1">IFERROR(__xludf.DUMMYFUNCTION("""COMPUTED_VALUE"""),66)</f>
        <v>66</v>
      </c>
      <c r="B511" s="1" t="str">
        <f ca="1">IFERROR(__xludf.DUMMYFUNCTION("""COMPUTED_VALUE"""),"E4_KA04D6650_Jetting")</f>
        <v>E4_KA04D6650_Jetting</v>
      </c>
      <c r="C511" s="1" t="str">
        <f ca="1">IFERROR(__xludf.DUMMYFUNCTION("""COMPUTED_VALUE"""),"e4_ka04d6650_jetting")</f>
        <v>e4_ka04d6650_jetting</v>
      </c>
      <c r="D511" s="2">
        <f ca="1">IFERROR(__xludf.DUMMYFUNCTION("""COMPUTED_VALUE"""),44712)</f>
        <v>44712</v>
      </c>
      <c r="E511" s="3">
        <f ca="1">IFERROR(__xludf.DUMMYFUNCTION("""COMPUTED_VALUE"""),0.528437500001018)</f>
        <v>0.52843750000101797</v>
      </c>
      <c r="F511" s="1">
        <f ca="1">IFERROR(__xludf.DUMMYFUNCTION("""COMPUTED_VALUE"""),18595)</f>
        <v>18595</v>
      </c>
      <c r="G511" s="1" t="str">
        <f ca="1">IFERROR(__xludf.DUMMYFUNCTION("""COMPUTED_VALUE"""),"12.9631/77.6744")</f>
        <v>12.9631/77.6744</v>
      </c>
      <c r="H511" s="1" t="str">
        <f ca="1">IFERROR(__xludf.DUMMYFUNCTION("""COMPUTED_VALUE"""),"Matthan Hotel")</f>
        <v>Matthan Hotel</v>
      </c>
      <c r="I511" s="1"/>
      <c r="J511" s="1" t="str">
        <f ca="1">IFERROR(__xludf.DUMMYFUNCTION("""COMPUTED_VALUE"""),"0d 19h 14m")</f>
        <v>0d 19h 14m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>
      <c r="A512" s="1">
        <f ca="1">IFERROR(__xludf.DUMMYFUNCTION("""COMPUTED_VALUE"""),89)</f>
        <v>89</v>
      </c>
      <c r="B512" s="1" t="str">
        <f ca="1">IFERROR(__xludf.DUMMYFUNCTION("""COMPUTED_VALUE"""),"E4_KA04D6650_Jetting")</f>
        <v>E4_KA04D6650_Jetting</v>
      </c>
      <c r="C512" s="1" t="str">
        <f ca="1">IFERROR(__xludf.DUMMYFUNCTION("""COMPUTED_VALUE"""),"e4_ka04d6650_jetting")</f>
        <v>e4_ka04d6650_jetting</v>
      </c>
      <c r="D512" s="2">
        <f ca="1">IFERROR(__xludf.DUMMYFUNCTION("""COMPUTED_VALUE"""),44754)</f>
        <v>44754</v>
      </c>
      <c r="E512" s="3">
        <f ca="1">IFERROR(__xludf.DUMMYFUNCTION("""COMPUTED_VALUE"""),0.474976851852261)</f>
        <v>0.47497685185226102</v>
      </c>
      <c r="F512" s="1">
        <f ca="1">IFERROR(__xludf.DUMMYFUNCTION("""COMPUTED_VALUE"""),18597)</f>
        <v>18597</v>
      </c>
      <c r="G512" s="1" t="str">
        <f ca="1">IFERROR(__xludf.DUMMYFUNCTION("""COMPUTED_VALUE"""),"12.9682/77.6835")</f>
        <v>12.9682/77.6835</v>
      </c>
      <c r="H512" s="1" t="str">
        <f ca="1">IFERROR(__xludf.DUMMYFUNCTION("""COMPUTED_VALUE"""),"Keerthi Regency")</f>
        <v>Keerthi Regency</v>
      </c>
      <c r="I512" s="1"/>
      <c r="J512" s="1" t="str">
        <f ca="1">IFERROR(__xludf.DUMMYFUNCTION("""COMPUTED_VALUE"""),"0d 19h 15m")</f>
        <v>0d 19h 15m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>
      <c r="A513" s="1">
        <f ca="1">IFERROR(__xludf.DUMMYFUNCTION("""COMPUTED_VALUE"""),72)</f>
        <v>72</v>
      </c>
      <c r="B513" s="1" t="str">
        <f ca="1">IFERROR(__xludf.DUMMYFUNCTION("""COMPUTED_VALUE"""),"E4_KA04D6650_Jetting")</f>
        <v>E4_KA04D6650_Jetting</v>
      </c>
      <c r="C513" s="1" t="str">
        <f ca="1">IFERROR(__xludf.DUMMYFUNCTION("""COMPUTED_VALUE"""),"e4_ka04d6650_jetting")</f>
        <v>e4_ka04d6650_jetting</v>
      </c>
      <c r="D513" s="2">
        <f ca="1">IFERROR(__xludf.DUMMYFUNCTION("""COMPUTED_VALUE"""),44754)</f>
        <v>44754</v>
      </c>
      <c r="E513" s="3">
        <f ca="1">IFERROR(__xludf.DUMMYFUNCTION("""COMPUTED_VALUE"""),0.474976851852261)</f>
        <v>0.47497685185226102</v>
      </c>
      <c r="F513" s="1">
        <f ca="1">IFERROR(__xludf.DUMMYFUNCTION("""COMPUTED_VALUE"""),18597)</f>
        <v>18597</v>
      </c>
      <c r="G513" s="1" t="str">
        <f ca="1">IFERROR(__xludf.DUMMYFUNCTION("""COMPUTED_VALUE"""),"12.9682/77.6835")</f>
        <v>12.9682/77.6835</v>
      </c>
      <c r="H513" s="1" t="str">
        <f ca="1">IFERROR(__xludf.DUMMYFUNCTION("""COMPUTED_VALUE"""),"Keerthi Regency")</f>
        <v>Keerthi Regency</v>
      </c>
      <c r="I513" s="1"/>
      <c r="J513" s="1" t="str">
        <f ca="1">IFERROR(__xludf.DUMMYFUNCTION("""COMPUTED_VALUE"""),"0d 19h 16m")</f>
        <v>0d 19h 16m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>
      <c r="A514" s="1">
        <f ca="1">IFERROR(__xludf.DUMMYFUNCTION("""COMPUTED_VALUE"""),151)</f>
        <v>151</v>
      </c>
      <c r="B514" s="1" t="str">
        <f ca="1">IFERROR(__xludf.DUMMYFUNCTION("""COMPUTED_VALUE"""),"E4_KA04D6650_Jetting")</f>
        <v>E4_KA04D6650_Jetting</v>
      </c>
      <c r="C514" s="1" t="str">
        <f ca="1">IFERROR(__xludf.DUMMYFUNCTION("""COMPUTED_VALUE"""),"e4_ka04d6650_jetting")</f>
        <v>e4_ka04d6650_jetting</v>
      </c>
      <c r="D514" s="2">
        <f ca="1">IFERROR(__xludf.DUMMYFUNCTION("""COMPUTED_VALUE"""),44830)</f>
        <v>44830</v>
      </c>
      <c r="E514" s="3">
        <f ca="1">IFERROR(__xludf.DUMMYFUNCTION("""COMPUTED_VALUE"""),0.704560185185982)</f>
        <v>0.70456018518598196</v>
      </c>
      <c r="F514" s="1">
        <f ca="1">IFERROR(__xludf.DUMMYFUNCTION("""COMPUTED_VALUE"""),18620)</f>
        <v>18620</v>
      </c>
      <c r="G514" s="1" t="str">
        <f ca="1">IFERROR(__xludf.DUMMYFUNCTION("""COMPUTED_VALUE"""),"12.9796/77.6800")</f>
        <v>12.9796/77.6800</v>
      </c>
      <c r="H514" s="1" t="str">
        <f ca="1">IFERROR(__xludf.DUMMYFUNCTION("""COMPUTED_VALUE"""),"Vignan Nagar")</f>
        <v>Vignan Nagar</v>
      </c>
      <c r="I514" s="1"/>
      <c r="J514" s="1" t="str">
        <f ca="1">IFERROR(__xludf.DUMMYFUNCTION("""COMPUTED_VALUE"""),"0d 19h 17m")</f>
        <v>0d 19h 17m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>
      <c r="A515" s="1">
        <f ca="1">IFERROR(__xludf.DUMMYFUNCTION("""COMPUTED_VALUE"""),113)</f>
        <v>113</v>
      </c>
      <c r="B515" s="1" t="str">
        <f ca="1">IFERROR(__xludf.DUMMYFUNCTION("""COMPUTED_VALUE"""),"E4_KA04D6650_Jetting")</f>
        <v>E4_KA04D6650_Jetting</v>
      </c>
      <c r="C515" s="1" t="str">
        <f ca="1">IFERROR(__xludf.DUMMYFUNCTION("""COMPUTED_VALUE"""),"e4_ka04d6650_jetting")</f>
        <v>e4_ka04d6650_jetting</v>
      </c>
      <c r="D515" s="2">
        <f ca="1">IFERROR(__xludf.DUMMYFUNCTION("""COMPUTED_VALUE"""),44859)</f>
        <v>44859</v>
      </c>
      <c r="E515" s="3">
        <f ca="1">IFERROR(__xludf.DUMMYFUNCTION("""COMPUTED_VALUE"""),0.573206018518249)</f>
        <v>0.57320601851824904</v>
      </c>
      <c r="F515" s="1">
        <f ca="1">IFERROR(__xludf.DUMMYFUNCTION("""COMPUTED_VALUE"""),18693)</f>
        <v>18693</v>
      </c>
      <c r="G515" s="1" t="str">
        <f ca="1">IFERROR(__xludf.DUMMYFUNCTION("""COMPUTED_VALUE"""),"12.9948/77.6773")</f>
        <v>12.9948/77.6773</v>
      </c>
      <c r="H515" s="1" t="str">
        <f ca="1">IFERROR(__xludf.DUMMYFUNCTION("""COMPUTED_VALUE"""),"K R Puram")</f>
        <v>K R Puram</v>
      </c>
      <c r="I515" s="1"/>
      <c r="J515" s="1" t="str">
        <f ca="1">IFERROR(__xludf.DUMMYFUNCTION("""COMPUTED_VALUE"""),"0d 19h 17m")</f>
        <v>0d 19h 17m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>
      <c r="A516" s="1">
        <f ca="1">IFERROR(__xludf.DUMMYFUNCTION("""COMPUTED_VALUE"""),1)</f>
        <v>1</v>
      </c>
      <c r="B516" s="1" t="str">
        <f ca="1">IFERROR(__xludf.DUMMYFUNCTION("""COMPUTED_VALUE"""),"EE_WWMNH_A_V_KA53B3470_SUCTION")</f>
        <v>EE_WWMNH_A_V_KA53B3470_SUCTION</v>
      </c>
      <c r="C516" s="1" t="str">
        <f ca="1">IFERROR(__xludf.DUMMYFUNCTION("""COMPUTED_VALUE"""),"ee_wwmnh_a_v_ka53b3470_suction")</f>
        <v>ee_wwmnh_a_v_ka53b3470_suction</v>
      </c>
      <c r="D516" s="2">
        <f ca="1">IFERROR(__xludf.DUMMYFUNCTION("""COMPUTED_VALUE"""),41640)</f>
        <v>41640</v>
      </c>
      <c r="E516" s="3">
        <f ca="1">IFERROR(__xludf.DUMMYFUNCTION("""COMPUTED_VALUE"""),0.229374999998981)</f>
        <v>0.22937499999898101</v>
      </c>
      <c r="F516" s="1">
        <f ca="1">IFERROR(__xludf.DUMMYFUNCTION("""COMPUTED_VALUE"""),22823)</f>
        <v>22823</v>
      </c>
      <c r="G516" s="1"/>
      <c r="H516" s="1"/>
      <c r="I516" s="1"/>
      <c r="J516" s="1" t="str">
        <f ca="1">IFERROR(__xludf.DUMMYFUNCTION("""COMPUTED_VALUE"""),"0d 00h 03m")</f>
        <v>0d 00h 03m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>
      <c r="A517" s="1">
        <f ca="1">IFERROR(__xludf.DUMMYFUNCTION("""COMPUTED_VALUE"""),1)</f>
        <v>1</v>
      </c>
      <c r="B517" s="1" t="str">
        <f ca="1">IFERROR(__xludf.DUMMYFUNCTION("""COMPUTED_VALUE"""),"EE_WWMNH_A_V_KA53B3470_SUCTION")</f>
        <v>EE_WWMNH_A_V_KA53B3470_SUCTION</v>
      </c>
      <c r="C517" s="1" t="str">
        <f ca="1">IFERROR(__xludf.DUMMYFUNCTION("""COMPUTED_VALUE"""),"ee_wwmnh_a_v_ka53b3470_suction")</f>
        <v>ee_wwmnh_a_v_ka53b3470_suction</v>
      </c>
      <c r="D517" s="2">
        <f ca="1">IFERROR(__xludf.DUMMYFUNCTION("""COMPUTED_VALUE"""),41640)</f>
        <v>41640</v>
      </c>
      <c r="E517" s="3">
        <f ca="1">IFERROR(__xludf.DUMMYFUNCTION("""COMPUTED_VALUE"""),0.229374999998981)</f>
        <v>0.22937499999898101</v>
      </c>
      <c r="F517" s="1">
        <f ca="1">IFERROR(__xludf.DUMMYFUNCTION("""COMPUTED_VALUE"""),22823)</f>
        <v>22823</v>
      </c>
      <c r="G517" s="1"/>
      <c r="H517" s="1"/>
      <c r="I517" s="1"/>
      <c r="J517" s="1" t="str">
        <f ca="1">IFERROR(__xludf.DUMMYFUNCTION("""COMPUTED_VALUE"""),"0d 00h 04m")</f>
        <v>0d 00h 04m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>
      <c r="A518" s="1">
        <f ca="1">IFERROR(__xludf.DUMMYFUNCTION("""COMPUTED_VALUE"""),1)</f>
        <v>1</v>
      </c>
      <c r="B518" s="1" t="str">
        <f ca="1">IFERROR(__xludf.DUMMYFUNCTION("""COMPUTED_VALUE"""),"EE_WWMNH_A_V_KA53B3470_SUCTION")</f>
        <v>EE_WWMNH_A_V_KA53B3470_SUCTION</v>
      </c>
      <c r="C518" s="1" t="str">
        <f ca="1">IFERROR(__xludf.DUMMYFUNCTION("""COMPUTED_VALUE"""),"ee_wwmnh_a_v_ka53b3470_suction")</f>
        <v>ee_wwmnh_a_v_ka53b3470_suction</v>
      </c>
      <c r="D518" s="2">
        <f ca="1">IFERROR(__xludf.DUMMYFUNCTION("""COMPUTED_VALUE"""),41640)</f>
        <v>41640</v>
      </c>
      <c r="E518" s="3">
        <f ca="1">IFERROR(__xludf.DUMMYFUNCTION("""COMPUTED_VALUE"""),0.229374999998981)</f>
        <v>0.22937499999898101</v>
      </c>
      <c r="F518" s="1">
        <f ca="1">IFERROR(__xludf.DUMMYFUNCTION("""COMPUTED_VALUE"""),22823)</f>
        <v>22823</v>
      </c>
      <c r="G518" s="1"/>
      <c r="H518" s="1"/>
      <c r="I518" s="1"/>
      <c r="J518" s="1" t="str">
        <f ca="1">IFERROR(__xludf.DUMMYFUNCTION("""COMPUTED_VALUE"""),"0d 00h 06m")</f>
        <v>0d 00h 06m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>
      <c r="A519" s="1">
        <f ca="1">IFERROR(__xludf.DUMMYFUNCTION("""COMPUTED_VALUE"""),1)</f>
        <v>1</v>
      </c>
      <c r="B519" s="1" t="str">
        <f ca="1">IFERROR(__xludf.DUMMYFUNCTION("""COMPUTED_VALUE"""),"EE_WWMNH_A_V_KA53B3470_SUCTION")</f>
        <v>EE_WWMNH_A_V_KA53B3470_SUCTION</v>
      </c>
      <c r="C519" s="1" t="str">
        <f ca="1">IFERROR(__xludf.DUMMYFUNCTION("""COMPUTED_VALUE"""),"ee_wwmnh_a_v_ka53b3470_suction")</f>
        <v>ee_wwmnh_a_v_ka53b3470_suction</v>
      </c>
      <c r="D519" s="2">
        <f ca="1">IFERROR(__xludf.DUMMYFUNCTION("""COMPUTED_VALUE"""),41640)</f>
        <v>41640</v>
      </c>
      <c r="E519" s="3">
        <f ca="1">IFERROR(__xludf.DUMMYFUNCTION("""COMPUTED_VALUE"""),0.229374999998981)</f>
        <v>0.22937499999898101</v>
      </c>
      <c r="F519" s="1">
        <f ca="1">IFERROR(__xludf.DUMMYFUNCTION("""COMPUTED_VALUE"""),22823)</f>
        <v>22823</v>
      </c>
      <c r="G519" s="1"/>
      <c r="H519" s="1"/>
      <c r="I519" s="1"/>
      <c r="J519" s="1" t="str">
        <f ca="1">IFERROR(__xludf.DUMMYFUNCTION("""COMPUTED_VALUE"""),"0d 00h 08m")</f>
        <v>0d 00h 08m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>
      <c r="A520" s="1">
        <f ca="1">IFERROR(__xludf.DUMMYFUNCTION("""COMPUTED_VALUE"""),1)</f>
        <v>1</v>
      </c>
      <c r="B520" s="1" t="str">
        <f ca="1">IFERROR(__xludf.DUMMYFUNCTION("""COMPUTED_VALUE"""),"EE_WWMNH_A_V_KA53B3470_SUCTION")</f>
        <v>EE_WWMNH_A_V_KA53B3470_SUCTION</v>
      </c>
      <c r="C520" s="1" t="str">
        <f ca="1">IFERROR(__xludf.DUMMYFUNCTION("""COMPUTED_VALUE"""),"ee_wwmnh_a_v_ka53b3470_suction")</f>
        <v>ee_wwmnh_a_v_ka53b3470_suction</v>
      </c>
      <c r="D520" s="2">
        <f ca="1">IFERROR(__xludf.DUMMYFUNCTION("""COMPUTED_VALUE"""),41640)</f>
        <v>41640</v>
      </c>
      <c r="E520" s="3">
        <f ca="1">IFERROR(__xludf.DUMMYFUNCTION("""COMPUTED_VALUE"""),0.229374999998981)</f>
        <v>0.22937499999898101</v>
      </c>
      <c r="F520" s="1">
        <f ca="1">IFERROR(__xludf.DUMMYFUNCTION("""COMPUTED_VALUE"""),22823)</f>
        <v>22823</v>
      </c>
      <c r="G520" s="1"/>
      <c r="H520" s="1"/>
      <c r="I520" s="1"/>
      <c r="J520" s="1" t="str">
        <f ca="1">IFERROR(__xludf.DUMMYFUNCTION("""COMPUTED_VALUE"""),"0d 00h 00m")</f>
        <v>0d 00h 00m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>
      <c r="A521" s="1">
        <f ca="1">IFERROR(__xludf.DUMMYFUNCTION("""COMPUTED_VALUE"""),1)</f>
        <v>1</v>
      </c>
      <c r="B521" s="1" t="str">
        <f ca="1">IFERROR(__xludf.DUMMYFUNCTION("""COMPUTED_VALUE"""),"EE_WWMNH_A_V_KA53B3470_SUCTION")</f>
        <v>EE_WWMNH_A_V_KA53B3470_SUCTION</v>
      </c>
      <c r="C521" s="1" t="str">
        <f ca="1">IFERROR(__xludf.DUMMYFUNCTION("""COMPUTED_VALUE"""),"ee_wwmnh_a_v_ka53b3470_suction")</f>
        <v>ee_wwmnh_a_v_ka53b3470_suction</v>
      </c>
      <c r="D521" s="2">
        <f ca="1">IFERROR(__xludf.DUMMYFUNCTION("""COMPUTED_VALUE"""),41640)</f>
        <v>41640</v>
      </c>
      <c r="E521" s="3">
        <f ca="1">IFERROR(__xludf.DUMMYFUNCTION("""COMPUTED_VALUE"""),0.229374999998981)</f>
        <v>0.22937499999898101</v>
      </c>
      <c r="F521" s="1">
        <f ca="1">IFERROR(__xludf.DUMMYFUNCTION("""COMPUTED_VALUE"""),22823)</f>
        <v>22823</v>
      </c>
      <c r="G521" s="1"/>
      <c r="H521" s="1"/>
      <c r="I521" s="1"/>
      <c r="J521" s="1" t="str">
        <f ca="1">IFERROR(__xludf.DUMMYFUNCTION("""COMPUTED_VALUE"""),"0d 00h 01m")</f>
        <v>0d 00h 01m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>
      <c r="A522" s="1">
        <f ca="1">IFERROR(__xludf.DUMMYFUNCTION("""COMPUTED_VALUE"""),1)</f>
        <v>1</v>
      </c>
      <c r="B522" s="1" t="str">
        <f ca="1">IFERROR(__xludf.DUMMYFUNCTION("""COMPUTED_VALUE"""),"EE_WWMNH_A_V_KA53B3470_SUCTION")</f>
        <v>EE_WWMNH_A_V_KA53B3470_SUCTION</v>
      </c>
      <c r="C522" s="1" t="str">
        <f ca="1">IFERROR(__xludf.DUMMYFUNCTION("""COMPUTED_VALUE"""),"ee_wwmnh_a_v_ka53b3470_suction")</f>
        <v>ee_wwmnh_a_v_ka53b3470_suction</v>
      </c>
      <c r="D522" s="2">
        <f ca="1">IFERROR(__xludf.DUMMYFUNCTION("""COMPUTED_VALUE"""),41640)</f>
        <v>41640</v>
      </c>
      <c r="E522" s="3">
        <f ca="1">IFERROR(__xludf.DUMMYFUNCTION("""COMPUTED_VALUE"""),0.229374999998981)</f>
        <v>0.22937499999898101</v>
      </c>
      <c r="F522" s="1">
        <f ca="1">IFERROR(__xludf.DUMMYFUNCTION("""COMPUTED_VALUE"""),22823)</f>
        <v>22823</v>
      </c>
      <c r="G522" s="1"/>
      <c r="H522" s="1"/>
      <c r="I522" s="1"/>
      <c r="J522" s="1" t="str">
        <f ca="1">IFERROR(__xludf.DUMMYFUNCTION("""COMPUTED_VALUE"""),"0d 00h 02m")</f>
        <v>0d 00h 02m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>
      <c r="A523" s="1">
        <f ca="1">IFERROR(__xludf.DUMMYFUNCTION("""COMPUTED_VALUE"""),38)</f>
        <v>38</v>
      </c>
      <c r="B523" s="1" t="str">
        <f ca="1">IFERROR(__xludf.DUMMYFUNCTION("""COMPUTED_VALUE"""),"EE_WWMNH_A_V_KA53B3471_SUCTION")</f>
        <v>EE_WWMNH_A_V_KA53B3471_SUCTION</v>
      </c>
      <c r="C523" s="1" t="str">
        <f ca="1">IFERROR(__xludf.DUMMYFUNCTION("""COMPUTED_VALUE"""),"ee_wwmnh_a_v_ka53b3471_suction")</f>
        <v>ee_wwmnh_a_v_ka53b3471_suction</v>
      </c>
      <c r="D523" s="2">
        <f ca="1">IFERROR(__xludf.DUMMYFUNCTION("""COMPUTED_VALUE"""),41640)</f>
        <v>41640</v>
      </c>
      <c r="E523" s="3">
        <f ca="1">IFERROR(__xludf.DUMMYFUNCTION("""COMPUTED_VALUE"""),0.232511574075033)</f>
        <v>0.23251157407503301</v>
      </c>
      <c r="F523" s="1">
        <f ca="1">IFERROR(__xludf.DUMMYFUNCTION("""COMPUTED_VALUE"""),49767)</f>
        <v>49767</v>
      </c>
      <c r="G523" s="1"/>
      <c r="H523" s="1"/>
      <c r="I523" s="1"/>
      <c r="J523" s="1" t="str">
        <f ca="1">IFERROR(__xludf.DUMMYFUNCTION("""COMPUTED_VALUE"""),"0d 00h 00m")</f>
        <v>0d 00h 00m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>
      <c r="A524" s="1">
        <f ca="1">IFERROR(__xludf.DUMMYFUNCTION("""COMPUTED_VALUE"""),38)</f>
        <v>38</v>
      </c>
      <c r="B524" s="1" t="str">
        <f ca="1">IFERROR(__xludf.DUMMYFUNCTION("""COMPUTED_VALUE"""),"EE_WWMNH_A_V_KA53B3471_SUCTION")</f>
        <v>EE_WWMNH_A_V_KA53B3471_SUCTION</v>
      </c>
      <c r="C524" s="1" t="str">
        <f ca="1">IFERROR(__xludf.DUMMYFUNCTION("""COMPUTED_VALUE"""),"ee_wwmnh_a_v_ka53b3471_suction")</f>
        <v>ee_wwmnh_a_v_ka53b3471_suction</v>
      </c>
      <c r="D524" s="2">
        <f ca="1">IFERROR(__xludf.DUMMYFUNCTION("""COMPUTED_VALUE"""),41640)</f>
        <v>41640</v>
      </c>
      <c r="E524" s="3">
        <f ca="1">IFERROR(__xludf.DUMMYFUNCTION("""COMPUTED_VALUE"""),0.232511574075033)</f>
        <v>0.23251157407503301</v>
      </c>
      <c r="F524" s="1">
        <f ca="1">IFERROR(__xludf.DUMMYFUNCTION("""COMPUTED_VALUE"""),49767)</f>
        <v>49767</v>
      </c>
      <c r="G524" s="1"/>
      <c r="H524" s="1"/>
      <c r="I524" s="1"/>
      <c r="J524" s="1" t="str">
        <f ca="1">IFERROR(__xludf.DUMMYFUNCTION("""COMPUTED_VALUE"""),"0d 00h 00m")</f>
        <v>0d 00h 00m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>
      <c r="A525" s="1">
        <f ca="1">IFERROR(__xludf.DUMMYFUNCTION("""COMPUTED_VALUE"""),38)</f>
        <v>38</v>
      </c>
      <c r="B525" s="1" t="str">
        <f ca="1">IFERROR(__xludf.DUMMYFUNCTION("""COMPUTED_VALUE"""),"EE_WWMNH_A_V_KA53B3471_SUCTION")</f>
        <v>EE_WWMNH_A_V_KA53B3471_SUCTION</v>
      </c>
      <c r="C525" s="1" t="str">
        <f ca="1">IFERROR(__xludf.DUMMYFUNCTION("""COMPUTED_VALUE"""),"ee_wwmnh_a_v_ka53b3471_suction")</f>
        <v>ee_wwmnh_a_v_ka53b3471_suction</v>
      </c>
      <c r="D525" s="2">
        <f ca="1">IFERROR(__xludf.DUMMYFUNCTION("""COMPUTED_VALUE"""),41640)</f>
        <v>41640</v>
      </c>
      <c r="E525" s="3">
        <f ca="1">IFERROR(__xludf.DUMMYFUNCTION("""COMPUTED_VALUE"""),0.232511574075033)</f>
        <v>0.23251157407503301</v>
      </c>
      <c r="F525" s="1">
        <f ca="1">IFERROR(__xludf.DUMMYFUNCTION("""COMPUTED_VALUE"""),49767)</f>
        <v>49767</v>
      </c>
      <c r="G525" s="1"/>
      <c r="H525" s="1"/>
      <c r="I525" s="1"/>
      <c r="J525" s="1" t="str">
        <f ca="1">IFERROR(__xludf.DUMMYFUNCTION("""COMPUTED_VALUE"""),"0d 00h 00m")</f>
        <v>0d 00h 00m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>
      <c r="A526" s="1">
        <f ca="1">IFERROR(__xludf.DUMMYFUNCTION("""COMPUTED_VALUE"""),38)</f>
        <v>38</v>
      </c>
      <c r="B526" s="1" t="str">
        <f ca="1">IFERROR(__xludf.DUMMYFUNCTION("""COMPUTED_VALUE"""),"EE_WWMNH_A_V_KA53B3471_SUCTION")</f>
        <v>EE_WWMNH_A_V_KA53B3471_SUCTION</v>
      </c>
      <c r="C526" s="1" t="str">
        <f ca="1">IFERROR(__xludf.DUMMYFUNCTION("""COMPUTED_VALUE"""),"ee_wwmnh_a_v_ka53b3471_suction")</f>
        <v>ee_wwmnh_a_v_ka53b3471_suction</v>
      </c>
      <c r="D526" s="2">
        <f ca="1">IFERROR(__xludf.DUMMYFUNCTION("""COMPUTED_VALUE"""),41640)</f>
        <v>41640</v>
      </c>
      <c r="E526" s="3">
        <f ca="1">IFERROR(__xludf.DUMMYFUNCTION("""COMPUTED_VALUE"""),0.232511574075033)</f>
        <v>0.23251157407503301</v>
      </c>
      <c r="F526" s="1">
        <f ca="1">IFERROR(__xludf.DUMMYFUNCTION("""COMPUTED_VALUE"""),49767)</f>
        <v>49767</v>
      </c>
      <c r="G526" s="1"/>
      <c r="H526" s="1"/>
      <c r="I526" s="1"/>
      <c r="J526" s="1" t="str">
        <f ca="1">IFERROR(__xludf.DUMMYFUNCTION("""COMPUTED_VALUE"""),"0d 00h 00m")</f>
        <v>0d 00h 00m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>
      <c r="A527" s="1">
        <f ca="1">IFERROR(__xludf.DUMMYFUNCTION("""COMPUTED_VALUE"""),38)</f>
        <v>38</v>
      </c>
      <c r="B527" s="1" t="str">
        <f ca="1">IFERROR(__xludf.DUMMYFUNCTION("""COMPUTED_VALUE"""),"EE_WWMNH_A_V_KA53B3471_SUCTION")</f>
        <v>EE_WWMNH_A_V_KA53B3471_SUCTION</v>
      </c>
      <c r="C527" s="1" t="str">
        <f ca="1">IFERROR(__xludf.DUMMYFUNCTION("""COMPUTED_VALUE"""),"ee_wwmnh_a_v_ka53b3471_suction")</f>
        <v>ee_wwmnh_a_v_ka53b3471_suction</v>
      </c>
      <c r="D527" s="2">
        <f ca="1">IFERROR(__xludf.DUMMYFUNCTION("""COMPUTED_VALUE"""),41640)</f>
        <v>41640</v>
      </c>
      <c r="E527" s="3">
        <f ca="1">IFERROR(__xludf.DUMMYFUNCTION("""COMPUTED_VALUE"""),0.232511574075033)</f>
        <v>0.23251157407503301</v>
      </c>
      <c r="F527" s="1">
        <f ca="1">IFERROR(__xludf.DUMMYFUNCTION("""COMPUTED_VALUE"""),49767)</f>
        <v>49767</v>
      </c>
      <c r="G527" s="1"/>
      <c r="H527" s="1"/>
      <c r="I527" s="1"/>
      <c r="J527" s="1" t="str">
        <f ca="1">IFERROR(__xludf.DUMMYFUNCTION("""COMPUTED_VALUE"""),"0d 00h 00m")</f>
        <v>0d 00h 00m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>
      <c r="A528" s="1">
        <f ca="1">IFERROR(__xludf.DUMMYFUNCTION("""COMPUTED_VALUE"""),38)</f>
        <v>38</v>
      </c>
      <c r="B528" s="1" t="str">
        <f ca="1">IFERROR(__xludf.DUMMYFUNCTION("""COMPUTED_VALUE"""),"EE_WWMNH_A_V_KA53B3471_SUCTION")</f>
        <v>EE_WWMNH_A_V_KA53B3471_SUCTION</v>
      </c>
      <c r="C528" s="1" t="str">
        <f ca="1">IFERROR(__xludf.DUMMYFUNCTION("""COMPUTED_VALUE"""),"ee_wwmnh_a_v_ka53b3471_suction")</f>
        <v>ee_wwmnh_a_v_ka53b3471_suction</v>
      </c>
      <c r="D528" s="2">
        <f ca="1">IFERROR(__xludf.DUMMYFUNCTION("""COMPUTED_VALUE"""),41640)</f>
        <v>41640</v>
      </c>
      <c r="E528" s="3">
        <f ca="1">IFERROR(__xludf.DUMMYFUNCTION("""COMPUTED_VALUE"""),0.232511574075033)</f>
        <v>0.23251157407503301</v>
      </c>
      <c r="F528" s="1">
        <f ca="1">IFERROR(__xludf.DUMMYFUNCTION("""COMPUTED_VALUE"""),49767)</f>
        <v>49767</v>
      </c>
      <c r="G528" s="1"/>
      <c r="H528" s="1"/>
      <c r="I528" s="1"/>
      <c r="J528" s="1" t="str">
        <f ca="1">IFERROR(__xludf.DUMMYFUNCTION("""COMPUTED_VALUE"""),"0d 00h 00m")</f>
        <v>0d 00h 00m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>
      <c r="A529" s="1">
        <f ca="1">IFERROR(__xludf.DUMMYFUNCTION("""COMPUTED_VALUE"""),38)</f>
        <v>38</v>
      </c>
      <c r="B529" s="1" t="str">
        <f ca="1">IFERROR(__xludf.DUMMYFUNCTION("""COMPUTED_VALUE"""),"EE_WWMNH_A_V_KA53B3471_SUCTION")</f>
        <v>EE_WWMNH_A_V_KA53B3471_SUCTION</v>
      </c>
      <c r="C529" s="1" t="str">
        <f ca="1">IFERROR(__xludf.DUMMYFUNCTION("""COMPUTED_VALUE"""),"ee_wwmnh_a_v_ka53b3471_suction")</f>
        <v>ee_wwmnh_a_v_ka53b3471_suction</v>
      </c>
      <c r="D529" s="2">
        <f ca="1">IFERROR(__xludf.DUMMYFUNCTION("""COMPUTED_VALUE"""),41640)</f>
        <v>41640</v>
      </c>
      <c r="E529" s="3">
        <f ca="1">IFERROR(__xludf.DUMMYFUNCTION("""COMPUTED_VALUE"""),0.232511574075033)</f>
        <v>0.23251157407503301</v>
      </c>
      <c r="F529" s="1">
        <f ca="1">IFERROR(__xludf.DUMMYFUNCTION("""COMPUTED_VALUE"""),49767)</f>
        <v>49767</v>
      </c>
      <c r="G529" s="1"/>
      <c r="H529" s="1"/>
      <c r="I529" s="1"/>
      <c r="J529" s="1" t="str">
        <f ca="1">IFERROR(__xludf.DUMMYFUNCTION("""COMPUTED_VALUE"""),"0d 00h 00m")</f>
        <v>0d 00h 00m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>
      <c r="A530" s="1">
        <f ca="1">IFERROR(__xludf.DUMMYFUNCTION("""COMPUTED_VALUE"""),57)</f>
        <v>57</v>
      </c>
      <c r="B530" s="1" t="str">
        <f ca="1">IFERROR(__xludf.DUMMYFUNCTION("""COMPUTED_VALUE"""),"EE_WWMNK_T_V_KA53B3469_JETTING")</f>
        <v>EE_WWMNK_T_V_KA53B3469_JETTING</v>
      </c>
      <c r="C530" s="1" t="str">
        <f ca="1">IFERROR(__xludf.DUMMYFUNCTION("""COMPUTED_VALUE"""),"ee_wwmnk_t_v_ka53b3469_jetting")</f>
        <v>ee_wwmnk_t_v_ka53b3469_jetting</v>
      </c>
      <c r="D530" s="2">
        <f ca="1">IFERROR(__xludf.DUMMYFUNCTION("""COMPUTED_VALUE"""),41640)</f>
        <v>41640</v>
      </c>
      <c r="E530" s="3">
        <f ca="1">IFERROR(__xludf.DUMMYFUNCTION("""COMPUTED_VALUE"""),0.432361111110367)</f>
        <v>0.43236111111036701</v>
      </c>
      <c r="F530" s="1">
        <f ca="1">IFERROR(__xludf.DUMMYFUNCTION("""COMPUTED_VALUE"""),107687)</f>
        <v>107687</v>
      </c>
      <c r="G530" s="1" t="str">
        <f ca="1">IFERROR(__xludf.DUMMYFUNCTION("""COMPUTED_VALUE"""),"12.9475/77.6231")</f>
        <v>12.9475/77.6231</v>
      </c>
      <c r="H530" s="1" t="str">
        <f ca="1">IFERROR(__xludf.DUMMYFUNCTION("""COMPUTED_VALUE"""),"Vivek Nagar")</f>
        <v>Vivek Nagar</v>
      </c>
      <c r="I530" s="1"/>
      <c r="J530" s="1" t="str">
        <f ca="1">IFERROR(__xludf.DUMMYFUNCTION("""COMPUTED_VALUE"""),"0d 00h 01m")</f>
        <v>0d 00h 01m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>
      <c r="A531" s="1">
        <f ca="1">IFERROR(__xludf.DUMMYFUNCTION("""COMPUTED_VALUE"""),57)</f>
        <v>57</v>
      </c>
      <c r="B531" s="1" t="str">
        <f ca="1">IFERROR(__xludf.DUMMYFUNCTION("""COMPUTED_VALUE"""),"EE_WWMNK_T_V_KA53B3469_JETTING")</f>
        <v>EE_WWMNK_T_V_KA53B3469_JETTING</v>
      </c>
      <c r="C531" s="1" t="str">
        <f ca="1">IFERROR(__xludf.DUMMYFUNCTION("""COMPUTED_VALUE"""),"ee_wwmnk_t_v_ka53b3469_jetting")</f>
        <v>ee_wwmnk_t_v_ka53b3469_jetting</v>
      </c>
      <c r="D531" s="2">
        <f ca="1">IFERROR(__xludf.DUMMYFUNCTION("""COMPUTED_VALUE"""),41640)</f>
        <v>41640</v>
      </c>
      <c r="E531" s="3">
        <f ca="1">IFERROR(__xludf.DUMMYFUNCTION("""COMPUTED_VALUE"""),0.432361111110367)</f>
        <v>0.43236111111036701</v>
      </c>
      <c r="F531" s="1">
        <f ca="1">IFERROR(__xludf.DUMMYFUNCTION("""COMPUTED_VALUE"""),107687)</f>
        <v>107687</v>
      </c>
      <c r="G531" s="1" t="str">
        <f ca="1">IFERROR(__xludf.DUMMYFUNCTION("""COMPUTED_VALUE"""),"12.9475/77.6231")</f>
        <v>12.9475/77.6231</v>
      </c>
      <c r="H531" s="1" t="str">
        <f ca="1">IFERROR(__xludf.DUMMYFUNCTION("""COMPUTED_VALUE"""),"Vivek Nagar")</f>
        <v>Vivek Nagar</v>
      </c>
      <c r="I531" s="1"/>
      <c r="J531" s="1" t="str">
        <f ca="1">IFERROR(__xludf.DUMMYFUNCTION("""COMPUTED_VALUE"""),"0d 00h 00m")</f>
        <v>0d 00h 00m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>
      <c r="A532" s="1">
        <f ca="1">IFERROR(__xludf.DUMMYFUNCTION("""COMPUTED_VALUE"""),56)</f>
        <v>56</v>
      </c>
      <c r="B532" s="1" t="str">
        <f ca="1">IFERROR(__xludf.DUMMYFUNCTION("""COMPUTED_VALUE"""),"EE_WWMNK_T_V_KA53B3469_JETTING")</f>
        <v>EE_WWMNK_T_V_KA53B3469_JETTING</v>
      </c>
      <c r="C532" s="1" t="str">
        <f ca="1">IFERROR(__xludf.DUMMYFUNCTION("""COMPUTED_VALUE"""),"ee_wwmnk_t_v_ka53b3469_jetting")</f>
        <v>ee_wwmnk_t_v_ka53b3469_jetting</v>
      </c>
      <c r="D532" s="2">
        <f ca="1">IFERROR(__xludf.DUMMYFUNCTION("""COMPUTED_VALUE"""),41640)</f>
        <v>41640</v>
      </c>
      <c r="E532" s="3">
        <f ca="1">IFERROR(__xludf.DUMMYFUNCTION("""COMPUTED_VALUE"""),0.432361111110367)</f>
        <v>0.43236111111036701</v>
      </c>
      <c r="F532" s="1">
        <f ca="1">IFERROR(__xludf.DUMMYFUNCTION("""COMPUTED_VALUE"""),107687)</f>
        <v>107687</v>
      </c>
      <c r="G532" s="1" t="str">
        <f ca="1">IFERROR(__xludf.DUMMYFUNCTION("""COMPUTED_VALUE"""),"12.9475/77.6231")</f>
        <v>12.9475/77.6231</v>
      </c>
      <c r="H532" s="1" t="str">
        <f ca="1">IFERROR(__xludf.DUMMYFUNCTION("""COMPUTED_VALUE"""),"Vivek Nagar")</f>
        <v>Vivek Nagar</v>
      </c>
      <c r="I532" s="1"/>
      <c r="J532" s="1" t="str">
        <f ca="1">IFERROR(__xludf.DUMMYFUNCTION("""COMPUTED_VALUE"""),"0d 00h 00m")</f>
        <v>0d 00h 00m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>
      <c r="A533" s="1">
        <f ca="1">IFERROR(__xludf.DUMMYFUNCTION("""COMPUTED_VALUE"""),56)</f>
        <v>56</v>
      </c>
      <c r="B533" s="1" t="str">
        <f ca="1">IFERROR(__xludf.DUMMYFUNCTION("""COMPUTED_VALUE"""),"EE_WWMNK_T_V_KA53B3469_JETTING")</f>
        <v>EE_WWMNK_T_V_KA53B3469_JETTING</v>
      </c>
      <c r="C533" s="1" t="str">
        <f ca="1">IFERROR(__xludf.DUMMYFUNCTION("""COMPUTED_VALUE"""),"ee_wwmnk_t_v_ka53b3469_jetting")</f>
        <v>ee_wwmnk_t_v_ka53b3469_jetting</v>
      </c>
      <c r="D533" s="2">
        <f ca="1">IFERROR(__xludf.DUMMYFUNCTION("""COMPUTED_VALUE"""),41640)</f>
        <v>41640</v>
      </c>
      <c r="E533" s="3">
        <f ca="1">IFERROR(__xludf.DUMMYFUNCTION("""COMPUTED_VALUE"""),0.432361111110367)</f>
        <v>0.43236111111036701</v>
      </c>
      <c r="F533" s="1">
        <f ca="1">IFERROR(__xludf.DUMMYFUNCTION("""COMPUTED_VALUE"""),107687)</f>
        <v>107687</v>
      </c>
      <c r="G533" s="1" t="str">
        <f ca="1">IFERROR(__xludf.DUMMYFUNCTION("""COMPUTED_VALUE"""),"12.9475/77.6231")</f>
        <v>12.9475/77.6231</v>
      </c>
      <c r="H533" s="1" t="str">
        <f ca="1">IFERROR(__xludf.DUMMYFUNCTION("""COMPUTED_VALUE"""),"Vivek Nagar")</f>
        <v>Vivek Nagar</v>
      </c>
      <c r="I533" s="1"/>
      <c r="J533" s="1" t="str">
        <f ca="1">IFERROR(__xludf.DUMMYFUNCTION("""COMPUTED_VALUE"""),"0d 00h 00m")</f>
        <v>0d 00h 00m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>
      <c r="A534" s="1">
        <f ca="1">IFERROR(__xludf.DUMMYFUNCTION("""COMPUTED_VALUE"""),56)</f>
        <v>56</v>
      </c>
      <c r="B534" s="1" t="str">
        <f ca="1">IFERROR(__xludf.DUMMYFUNCTION("""COMPUTED_VALUE"""),"EE_WWMNK_T_V_KA53B3469_JETTING")</f>
        <v>EE_WWMNK_T_V_KA53B3469_JETTING</v>
      </c>
      <c r="C534" s="1" t="str">
        <f ca="1">IFERROR(__xludf.DUMMYFUNCTION("""COMPUTED_VALUE"""),"ee_wwmnk_t_v_ka53b3469_jetting")</f>
        <v>ee_wwmnk_t_v_ka53b3469_jetting</v>
      </c>
      <c r="D534" s="2">
        <f ca="1">IFERROR(__xludf.DUMMYFUNCTION("""COMPUTED_VALUE"""),41640)</f>
        <v>41640</v>
      </c>
      <c r="E534" s="3">
        <f ca="1">IFERROR(__xludf.DUMMYFUNCTION("""COMPUTED_VALUE"""),0.432361111110367)</f>
        <v>0.43236111111036701</v>
      </c>
      <c r="F534" s="1">
        <f ca="1">IFERROR(__xludf.DUMMYFUNCTION("""COMPUTED_VALUE"""),107687)</f>
        <v>107687</v>
      </c>
      <c r="G534" s="1" t="str">
        <f ca="1">IFERROR(__xludf.DUMMYFUNCTION("""COMPUTED_VALUE"""),"12.9475/77.6231")</f>
        <v>12.9475/77.6231</v>
      </c>
      <c r="H534" s="1" t="str">
        <f ca="1">IFERROR(__xludf.DUMMYFUNCTION("""COMPUTED_VALUE"""),"Vivek Nagar")</f>
        <v>Vivek Nagar</v>
      </c>
      <c r="I534" s="1"/>
      <c r="J534" s="1" t="str">
        <f ca="1">IFERROR(__xludf.DUMMYFUNCTION("""COMPUTED_VALUE"""),"0d 00h 00m")</f>
        <v>0d 00h 00m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>
      <c r="A535" s="1">
        <f ca="1">IFERROR(__xludf.DUMMYFUNCTION("""COMPUTED_VALUE"""),56)</f>
        <v>56</v>
      </c>
      <c r="B535" s="1" t="str">
        <f ca="1">IFERROR(__xludf.DUMMYFUNCTION("""COMPUTED_VALUE"""),"EE_WWMNK_T_V_KA53B3469_JETTING")</f>
        <v>EE_WWMNK_T_V_KA53B3469_JETTING</v>
      </c>
      <c r="C535" s="1" t="str">
        <f ca="1">IFERROR(__xludf.DUMMYFUNCTION("""COMPUTED_VALUE"""),"ee_wwmnk_t_v_ka53b3469_jetting")</f>
        <v>ee_wwmnk_t_v_ka53b3469_jetting</v>
      </c>
      <c r="D535" s="2">
        <f ca="1">IFERROR(__xludf.DUMMYFUNCTION("""COMPUTED_VALUE"""),41640)</f>
        <v>41640</v>
      </c>
      <c r="E535" s="3">
        <f ca="1">IFERROR(__xludf.DUMMYFUNCTION("""COMPUTED_VALUE"""),0.432361111110367)</f>
        <v>0.43236111111036701</v>
      </c>
      <c r="F535" s="1">
        <f ca="1">IFERROR(__xludf.DUMMYFUNCTION("""COMPUTED_VALUE"""),107687)</f>
        <v>107687</v>
      </c>
      <c r="G535" s="1" t="str">
        <f ca="1">IFERROR(__xludf.DUMMYFUNCTION("""COMPUTED_VALUE"""),"12.9475/77.6231")</f>
        <v>12.9475/77.6231</v>
      </c>
      <c r="H535" s="1" t="str">
        <f ca="1">IFERROR(__xludf.DUMMYFUNCTION("""COMPUTED_VALUE"""),"Vivek Nagar")</f>
        <v>Vivek Nagar</v>
      </c>
      <c r="I535" s="1"/>
      <c r="J535" s="1" t="str">
        <f ca="1">IFERROR(__xludf.DUMMYFUNCTION("""COMPUTED_VALUE"""),"0d 00h 00m")</f>
        <v>0d 00h 00m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>
      <c r="A536" s="1">
        <f ca="1">IFERROR(__xludf.DUMMYFUNCTION("""COMPUTED_VALUE"""),56)</f>
        <v>56</v>
      </c>
      <c r="B536" s="1" t="str">
        <f ca="1">IFERROR(__xludf.DUMMYFUNCTION("""COMPUTED_VALUE"""),"EE_WWMNK_T_V_KA53B3469_JETTING")</f>
        <v>EE_WWMNK_T_V_KA53B3469_JETTING</v>
      </c>
      <c r="C536" s="1" t="str">
        <f ca="1">IFERROR(__xludf.DUMMYFUNCTION("""COMPUTED_VALUE"""),"ee_wwmnk_t_v_ka53b3469_jetting")</f>
        <v>ee_wwmnk_t_v_ka53b3469_jetting</v>
      </c>
      <c r="D536" s="2">
        <f ca="1">IFERROR(__xludf.DUMMYFUNCTION("""COMPUTED_VALUE"""),41640)</f>
        <v>41640</v>
      </c>
      <c r="E536" s="3">
        <f ca="1">IFERROR(__xludf.DUMMYFUNCTION("""COMPUTED_VALUE"""),0.432361111110367)</f>
        <v>0.43236111111036701</v>
      </c>
      <c r="F536" s="1">
        <f ca="1">IFERROR(__xludf.DUMMYFUNCTION("""COMPUTED_VALUE"""),107687)</f>
        <v>107687</v>
      </c>
      <c r="G536" s="1" t="str">
        <f ca="1">IFERROR(__xludf.DUMMYFUNCTION("""COMPUTED_VALUE"""),"12.9475/77.6231")</f>
        <v>12.9475/77.6231</v>
      </c>
      <c r="H536" s="1" t="str">
        <f ca="1">IFERROR(__xludf.DUMMYFUNCTION("""COMPUTED_VALUE"""),"Vivek Nagar")</f>
        <v>Vivek Nagar</v>
      </c>
      <c r="I536" s="1"/>
      <c r="J536" s="1" t="str">
        <f ca="1">IFERROR(__xludf.DUMMYFUNCTION("""COMPUTED_VALUE"""),"0d 00h 00m")</f>
        <v>0d 00h 00m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>
      <c r="A537" s="1">
        <f ca="1">IFERROR(__xludf.DUMMYFUNCTION("""COMPUTED_VALUE"""),140)</f>
        <v>140</v>
      </c>
      <c r="B537" s="1" t="str">
        <f ca="1">IFERROR(__xludf.DUMMYFUNCTION("""COMPUTED_VALUE"""),"N11_KA04AA7682_DESILTING")</f>
        <v>N11_KA04AA7682_DESILTING</v>
      </c>
      <c r="C537" s="1" t="str">
        <f ca="1">IFERROR(__xludf.DUMMYFUNCTION("""COMPUTED_VALUE"""),"n11_ka04aa7682_desilting")</f>
        <v>n11_ka04aa7682_desilting</v>
      </c>
      <c r="D537" s="2">
        <f ca="1">IFERROR(__xludf.DUMMYFUNCTION("""COMPUTED_VALUE"""),44974)</f>
        <v>44974</v>
      </c>
      <c r="E537" s="3">
        <f ca="1">IFERROR(__xludf.DUMMYFUNCTION("""COMPUTED_VALUE"""),0.43210648148306)</f>
        <v>0.43210648148306002</v>
      </c>
      <c r="F537" s="1">
        <f ca="1">IFERROR(__xludf.DUMMYFUNCTION("""COMPUTED_VALUE"""),53504)</f>
        <v>53504</v>
      </c>
      <c r="G537" s="1" t="str">
        <f ca="1">IFERROR(__xludf.DUMMYFUNCTION("""COMPUTED_VALUE"""),"13.0578/77.5733")</f>
        <v>13.0578/77.5733</v>
      </c>
      <c r="H537" s="1" t="str">
        <f ca="1">IFERROR(__xludf.DUMMYFUNCTION("""COMPUTED_VALUE"""),"Kodigehalli")</f>
        <v>Kodigehalli</v>
      </c>
      <c r="I537" s="1"/>
      <c r="J537" s="1" t="str">
        <f ca="1">IFERROR(__xludf.DUMMYFUNCTION("""COMPUTED_VALUE"""),"397d 01h 07m")</f>
        <v>397d 01h 07m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>
      <c r="A538" s="1">
        <f ca="1">IFERROR(__xludf.DUMMYFUNCTION("""COMPUTED_VALUE"""),132)</f>
        <v>132</v>
      </c>
      <c r="B538" s="1" t="str">
        <f ca="1">IFERROR(__xludf.DUMMYFUNCTION("""COMPUTED_VALUE"""),"N11_KA04AA7682_DESILTING")</f>
        <v>N11_KA04AA7682_DESILTING</v>
      </c>
      <c r="C538" s="1" t="str">
        <f ca="1">IFERROR(__xludf.DUMMYFUNCTION("""COMPUTED_VALUE"""),"n11_ka04aa7682_desilting")</f>
        <v>n11_ka04aa7682_desilting</v>
      </c>
      <c r="D538" s="2">
        <f ca="1">IFERROR(__xludf.DUMMYFUNCTION("""COMPUTED_VALUE"""),44974)</f>
        <v>44974</v>
      </c>
      <c r="E538" s="3">
        <f ca="1">IFERROR(__xludf.DUMMYFUNCTION("""COMPUTED_VALUE"""),0.43210648148306)</f>
        <v>0.43210648148306002</v>
      </c>
      <c r="F538" s="1">
        <f ca="1">IFERROR(__xludf.DUMMYFUNCTION("""COMPUTED_VALUE"""),53504)</f>
        <v>53504</v>
      </c>
      <c r="G538" s="1" t="str">
        <f ca="1">IFERROR(__xludf.DUMMYFUNCTION("""COMPUTED_VALUE"""),"13.0578/77.5733")</f>
        <v>13.0578/77.5733</v>
      </c>
      <c r="H538" s="1" t="str">
        <f ca="1">IFERROR(__xludf.DUMMYFUNCTION("""COMPUTED_VALUE"""),"Kodigehalli")</f>
        <v>Kodigehalli</v>
      </c>
      <c r="I538" s="1"/>
      <c r="J538" s="1" t="str">
        <f ca="1">IFERROR(__xludf.DUMMYFUNCTION("""COMPUTED_VALUE"""),"397d 01h 08m")</f>
        <v>397d 01h 08m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>
      <c r="A539" s="1">
        <f ca="1">IFERROR(__xludf.DUMMYFUNCTION("""COMPUTED_VALUE"""),129)</f>
        <v>129</v>
      </c>
      <c r="B539" s="1" t="str">
        <f ca="1">IFERROR(__xludf.DUMMYFUNCTION("""COMPUTED_VALUE"""),"N11_KA04AA7682_DESILTING")</f>
        <v>N11_KA04AA7682_DESILTING</v>
      </c>
      <c r="C539" s="1" t="str">
        <f ca="1">IFERROR(__xludf.DUMMYFUNCTION("""COMPUTED_VALUE"""),"n11_ka04aa7682_desilting")</f>
        <v>n11_ka04aa7682_desilting</v>
      </c>
      <c r="D539" s="2">
        <f ca="1">IFERROR(__xludf.DUMMYFUNCTION("""COMPUTED_VALUE"""),44974)</f>
        <v>44974</v>
      </c>
      <c r="E539" s="3">
        <f ca="1">IFERROR(__xludf.DUMMYFUNCTION("""COMPUTED_VALUE"""),0.43210648148306)</f>
        <v>0.43210648148306002</v>
      </c>
      <c r="F539" s="1">
        <f ca="1">IFERROR(__xludf.DUMMYFUNCTION("""COMPUTED_VALUE"""),53504)</f>
        <v>53504</v>
      </c>
      <c r="G539" s="1" t="str">
        <f ca="1">IFERROR(__xludf.DUMMYFUNCTION("""COMPUTED_VALUE"""),"13.0578/77.5733")</f>
        <v>13.0578/77.5733</v>
      </c>
      <c r="H539" s="1" t="str">
        <f ca="1">IFERROR(__xludf.DUMMYFUNCTION("""COMPUTED_VALUE"""),"Kodigehalli")</f>
        <v>Kodigehalli</v>
      </c>
      <c r="I539" s="1"/>
      <c r="J539" s="1" t="str">
        <f ca="1">IFERROR(__xludf.DUMMYFUNCTION("""COMPUTED_VALUE"""),"397d 01h 09m")</f>
        <v>397d 01h 09m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>
      <c r="A540" s="1">
        <f ca="1">IFERROR(__xludf.DUMMYFUNCTION("""COMPUTED_VALUE"""),129)</f>
        <v>129</v>
      </c>
      <c r="B540" s="1" t="str">
        <f ca="1">IFERROR(__xludf.DUMMYFUNCTION("""COMPUTED_VALUE"""),"N11_KA04AA7682_DESILTING")</f>
        <v>N11_KA04AA7682_DESILTING</v>
      </c>
      <c r="C540" s="1" t="str">
        <f ca="1">IFERROR(__xludf.DUMMYFUNCTION("""COMPUTED_VALUE"""),"n11_ka04aa7682_desilting")</f>
        <v>n11_ka04aa7682_desilting</v>
      </c>
      <c r="D540" s="2">
        <f ca="1">IFERROR(__xludf.DUMMYFUNCTION("""COMPUTED_VALUE"""),44974)</f>
        <v>44974</v>
      </c>
      <c r="E540" s="3">
        <f ca="1">IFERROR(__xludf.DUMMYFUNCTION("""COMPUTED_VALUE"""),0.43210648148306)</f>
        <v>0.43210648148306002</v>
      </c>
      <c r="F540" s="1">
        <f ca="1">IFERROR(__xludf.DUMMYFUNCTION("""COMPUTED_VALUE"""),53504)</f>
        <v>53504</v>
      </c>
      <c r="G540" s="1" t="str">
        <f ca="1">IFERROR(__xludf.DUMMYFUNCTION("""COMPUTED_VALUE"""),"13.0578/77.5733")</f>
        <v>13.0578/77.5733</v>
      </c>
      <c r="H540" s="1" t="str">
        <f ca="1">IFERROR(__xludf.DUMMYFUNCTION("""COMPUTED_VALUE"""),"Kodigehalli")</f>
        <v>Kodigehalli</v>
      </c>
      <c r="I540" s="1"/>
      <c r="J540" s="1" t="str">
        <f ca="1">IFERROR(__xludf.DUMMYFUNCTION("""COMPUTED_VALUE"""),"397d 01h 10m")</f>
        <v>397d 01h 10m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>
      <c r="A541" s="1">
        <f ca="1">IFERROR(__xludf.DUMMYFUNCTION("""COMPUTED_VALUE"""),47)</f>
        <v>47</v>
      </c>
      <c r="B541" s="1" t="str">
        <f ca="1">IFERROR(__xludf.DUMMYFUNCTION("""COMPUTED_VALUE"""),"N11_KA04C5142_JETTING")</f>
        <v>N11_KA04C5142_JETTING</v>
      </c>
      <c r="C541" s="1" t="str">
        <f ca="1">IFERROR(__xludf.DUMMYFUNCTION("""COMPUTED_VALUE"""),"n11_ka04c5142_jetting")</f>
        <v>n11_ka04c5142_jetting</v>
      </c>
      <c r="D541" s="2">
        <f ca="1">IFERROR(__xludf.DUMMYFUNCTION("""COMPUTED_VALUE"""),41640)</f>
        <v>41640</v>
      </c>
      <c r="E541" s="3">
        <f ca="1">IFERROR(__xludf.DUMMYFUNCTION("""COMPUTED_VALUE"""),0.262812500001018)</f>
        <v>0.26281250000101802</v>
      </c>
      <c r="F541" s="1">
        <f ca="1">IFERROR(__xludf.DUMMYFUNCTION("""COMPUTED_VALUE"""),39490)</f>
        <v>39490</v>
      </c>
      <c r="G541" s="1" t="str">
        <f ca="1">IFERROR(__xludf.DUMMYFUNCTION("""COMPUTED_VALUE"""),"13.0590/77.5874")</f>
        <v>13.0590/77.5874</v>
      </c>
      <c r="H541" s="1" t="str">
        <f ca="1">IFERROR(__xludf.DUMMYFUNCTION("""COMPUTED_VALUE"""),"Chairman's Club &amp; Resort")</f>
        <v>Chairman's Club &amp; Resort</v>
      </c>
      <c r="I541" s="1"/>
      <c r="J541" s="1" t="str">
        <f ca="1">IFERROR(__xludf.DUMMYFUNCTION("""COMPUTED_VALUE"""),"0d 00h 00m")</f>
        <v>0d 00h 00m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>
      <c r="A542" s="1">
        <f ca="1">IFERROR(__xludf.DUMMYFUNCTION("""COMPUTED_VALUE"""),47)</f>
        <v>47</v>
      </c>
      <c r="B542" s="1" t="str">
        <f ca="1">IFERROR(__xludf.DUMMYFUNCTION("""COMPUTED_VALUE"""),"N11_KA04C5142_JETTING")</f>
        <v>N11_KA04C5142_JETTING</v>
      </c>
      <c r="C542" s="1" t="str">
        <f ca="1">IFERROR(__xludf.DUMMYFUNCTION("""COMPUTED_VALUE"""),"n11_ka04c5142_jetting")</f>
        <v>n11_ka04c5142_jetting</v>
      </c>
      <c r="D542" s="2">
        <f ca="1">IFERROR(__xludf.DUMMYFUNCTION("""COMPUTED_VALUE"""),41640)</f>
        <v>41640</v>
      </c>
      <c r="E542" s="3">
        <f ca="1">IFERROR(__xludf.DUMMYFUNCTION("""COMPUTED_VALUE"""),0.262812500001018)</f>
        <v>0.26281250000101802</v>
      </c>
      <c r="F542" s="1">
        <f ca="1">IFERROR(__xludf.DUMMYFUNCTION("""COMPUTED_VALUE"""),39490)</f>
        <v>39490</v>
      </c>
      <c r="G542" s="1" t="str">
        <f ca="1">IFERROR(__xludf.DUMMYFUNCTION("""COMPUTED_VALUE"""),"13.0590/77.5874")</f>
        <v>13.0590/77.5874</v>
      </c>
      <c r="H542" s="1" t="str">
        <f ca="1">IFERROR(__xludf.DUMMYFUNCTION("""COMPUTED_VALUE"""),"Chairman's Club &amp; Resort")</f>
        <v>Chairman's Club &amp; Resort</v>
      </c>
      <c r="I542" s="1"/>
      <c r="J542" s="1" t="str">
        <f ca="1">IFERROR(__xludf.DUMMYFUNCTION("""COMPUTED_VALUE"""),"0d 00h 00m")</f>
        <v>0d 00h 00m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>
      <c r="A543" s="1">
        <f ca="1">IFERROR(__xludf.DUMMYFUNCTION("""COMPUTED_VALUE"""),47)</f>
        <v>47</v>
      </c>
      <c r="B543" s="1" t="str">
        <f ca="1">IFERROR(__xludf.DUMMYFUNCTION("""COMPUTED_VALUE"""),"N11_KA04C5142_JETTING")</f>
        <v>N11_KA04C5142_JETTING</v>
      </c>
      <c r="C543" s="1" t="str">
        <f ca="1">IFERROR(__xludf.DUMMYFUNCTION("""COMPUTED_VALUE"""),"n11_ka04c5142_jetting")</f>
        <v>n11_ka04c5142_jetting</v>
      </c>
      <c r="D543" s="2">
        <f ca="1">IFERROR(__xludf.DUMMYFUNCTION("""COMPUTED_VALUE"""),41640)</f>
        <v>41640</v>
      </c>
      <c r="E543" s="3">
        <f ca="1">IFERROR(__xludf.DUMMYFUNCTION("""COMPUTED_VALUE"""),0.262812500001018)</f>
        <v>0.26281250000101802</v>
      </c>
      <c r="F543" s="1">
        <f ca="1">IFERROR(__xludf.DUMMYFUNCTION("""COMPUTED_VALUE"""),39490)</f>
        <v>39490</v>
      </c>
      <c r="G543" s="1" t="str">
        <f ca="1">IFERROR(__xludf.DUMMYFUNCTION("""COMPUTED_VALUE"""),"13.0590/77.5874")</f>
        <v>13.0590/77.5874</v>
      </c>
      <c r="H543" s="1" t="str">
        <f ca="1">IFERROR(__xludf.DUMMYFUNCTION("""COMPUTED_VALUE"""),"Chairman's Club &amp; Resort")</f>
        <v>Chairman's Club &amp; Resort</v>
      </c>
      <c r="I543" s="1"/>
      <c r="J543" s="1" t="str">
        <f ca="1">IFERROR(__xludf.DUMMYFUNCTION("""COMPUTED_VALUE"""),"0d 00h 00m")</f>
        <v>0d 00h 00m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>
      <c r="A544" s="1">
        <f ca="1">IFERROR(__xludf.DUMMYFUNCTION("""COMPUTED_VALUE"""),47)</f>
        <v>47</v>
      </c>
      <c r="B544" s="1" t="str">
        <f ca="1">IFERROR(__xludf.DUMMYFUNCTION("""COMPUTED_VALUE"""),"N11_KA04C5142_JETTING")</f>
        <v>N11_KA04C5142_JETTING</v>
      </c>
      <c r="C544" s="1" t="str">
        <f ca="1">IFERROR(__xludf.DUMMYFUNCTION("""COMPUTED_VALUE"""),"n11_ka04c5142_jetting")</f>
        <v>n11_ka04c5142_jetting</v>
      </c>
      <c r="D544" s="2">
        <f ca="1">IFERROR(__xludf.DUMMYFUNCTION("""COMPUTED_VALUE"""),41640)</f>
        <v>41640</v>
      </c>
      <c r="E544" s="3">
        <f ca="1">IFERROR(__xludf.DUMMYFUNCTION("""COMPUTED_VALUE"""),0.262812500001018)</f>
        <v>0.26281250000101802</v>
      </c>
      <c r="F544" s="1">
        <f ca="1">IFERROR(__xludf.DUMMYFUNCTION("""COMPUTED_VALUE"""),39490)</f>
        <v>39490</v>
      </c>
      <c r="G544" s="1" t="str">
        <f ca="1">IFERROR(__xludf.DUMMYFUNCTION("""COMPUTED_VALUE"""),"13.0590/77.5874")</f>
        <v>13.0590/77.5874</v>
      </c>
      <c r="H544" s="1" t="str">
        <f ca="1">IFERROR(__xludf.DUMMYFUNCTION("""COMPUTED_VALUE"""),"Chairman's Club &amp; Resort")</f>
        <v>Chairman's Club &amp; Resort</v>
      </c>
      <c r="I544" s="1"/>
      <c r="J544" s="1" t="str">
        <f ca="1">IFERROR(__xludf.DUMMYFUNCTION("""COMPUTED_VALUE"""),"0d 00h 00m")</f>
        <v>0d 00h 00m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>
      <c r="A545" s="1">
        <f ca="1">IFERROR(__xludf.DUMMYFUNCTION("""COMPUTED_VALUE"""),47)</f>
        <v>47</v>
      </c>
      <c r="B545" s="1" t="str">
        <f ca="1">IFERROR(__xludf.DUMMYFUNCTION("""COMPUTED_VALUE"""),"N11_KA04C5142_JETTING")</f>
        <v>N11_KA04C5142_JETTING</v>
      </c>
      <c r="C545" s="1" t="str">
        <f ca="1">IFERROR(__xludf.DUMMYFUNCTION("""COMPUTED_VALUE"""),"n11_ka04c5142_jetting")</f>
        <v>n11_ka04c5142_jetting</v>
      </c>
      <c r="D545" s="2">
        <f ca="1">IFERROR(__xludf.DUMMYFUNCTION("""COMPUTED_VALUE"""),41640)</f>
        <v>41640</v>
      </c>
      <c r="E545" s="3">
        <f ca="1">IFERROR(__xludf.DUMMYFUNCTION("""COMPUTED_VALUE"""),0.262812500001018)</f>
        <v>0.26281250000101802</v>
      </c>
      <c r="F545" s="1">
        <f ca="1">IFERROR(__xludf.DUMMYFUNCTION("""COMPUTED_VALUE"""),39490)</f>
        <v>39490</v>
      </c>
      <c r="G545" s="1" t="str">
        <f ca="1">IFERROR(__xludf.DUMMYFUNCTION("""COMPUTED_VALUE"""),"13.0590/77.5874")</f>
        <v>13.0590/77.5874</v>
      </c>
      <c r="H545" s="1" t="str">
        <f ca="1">IFERROR(__xludf.DUMMYFUNCTION("""COMPUTED_VALUE"""),"Chairman's Club &amp; Resort")</f>
        <v>Chairman's Club &amp; Resort</v>
      </c>
      <c r="I545" s="1"/>
      <c r="J545" s="1" t="str">
        <f ca="1">IFERROR(__xludf.DUMMYFUNCTION("""COMPUTED_VALUE"""),"0d 00h 00m")</f>
        <v>0d 00h 00m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>
      <c r="A546" s="1">
        <f ca="1">IFERROR(__xludf.DUMMYFUNCTION("""COMPUTED_VALUE"""),47)</f>
        <v>47</v>
      </c>
      <c r="B546" s="1" t="str">
        <f ca="1">IFERROR(__xludf.DUMMYFUNCTION("""COMPUTED_VALUE"""),"N11_KA04C5142_JETTING")</f>
        <v>N11_KA04C5142_JETTING</v>
      </c>
      <c r="C546" s="1" t="str">
        <f ca="1">IFERROR(__xludf.DUMMYFUNCTION("""COMPUTED_VALUE"""),"n11_ka04c5142_jetting")</f>
        <v>n11_ka04c5142_jetting</v>
      </c>
      <c r="D546" s="2">
        <f ca="1">IFERROR(__xludf.DUMMYFUNCTION("""COMPUTED_VALUE"""),41640)</f>
        <v>41640</v>
      </c>
      <c r="E546" s="3">
        <f ca="1">IFERROR(__xludf.DUMMYFUNCTION("""COMPUTED_VALUE"""),0.262812500001018)</f>
        <v>0.26281250000101802</v>
      </c>
      <c r="F546" s="1">
        <f ca="1">IFERROR(__xludf.DUMMYFUNCTION("""COMPUTED_VALUE"""),39490)</f>
        <v>39490</v>
      </c>
      <c r="G546" s="1" t="str">
        <f ca="1">IFERROR(__xludf.DUMMYFUNCTION("""COMPUTED_VALUE"""),"13.0590/77.5874")</f>
        <v>13.0590/77.5874</v>
      </c>
      <c r="H546" s="1" t="str">
        <f ca="1">IFERROR(__xludf.DUMMYFUNCTION("""COMPUTED_VALUE"""),"Chairman's Club &amp; Resort")</f>
        <v>Chairman's Club &amp; Resort</v>
      </c>
      <c r="I546" s="1"/>
      <c r="J546" s="1" t="str">
        <f ca="1">IFERROR(__xludf.DUMMYFUNCTION("""COMPUTED_VALUE"""),"0d 00h 00m")</f>
        <v>0d 00h 00m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>
      <c r="A547" s="1">
        <f ca="1">IFERROR(__xludf.DUMMYFUNCTION("""COMPUTED_VALUE"""),47)</f>
        <v>47</v>
      </c>
      <c r="B547" s="1" t="str">
        <f ca="1">IFERROR(__xludf.DUMMYFUNCTION("""COMPUTED_VALUE"""),"N11_KA04C5142_JETTING")</f>
        <v>N11_KA04C5142_JETTING</v>
      </c>
      <c r="C547" s="1" t="str">
        <f ca="1">IFERROR(__xludf.DUMMYFUNCTION("""COMPUTED_VALUE"""),"n11_ka04c5142_jetting")</f>
        <v>n11_ka04c5142_jetting</v>
      </c>
      <c r="D547" s="2">
        <f ca="1">IFERROR(__xludf.DUMMYFUNCTION("""COMPUTED_VALUE"""),41640)</f>
        <v>41640</v>
      </c>
      <c r="E547" s="3">
        <f ca="1">IFERROR(__xludf.DUMMYFUNCTION("""COMPUTED_VALUE"""),0.262812500001018)</f>
        <v>0.26281250000101802</v>
      </c>
      <c r="F547" s="1">
        <f ca="1">IFERROR(__xludf.DUMMYFUNCTION("""COMPUTED_VALUE"""),39490)</f>
        <v>39490</v>
      </c>
      <c r="G547" s="1" t="str">
        <f ca="1">IFERROR(__xludf.DUMMYFUNCTION("""COMPUTED_VALUE"""),"13.0590/77.5874")</f>
        <v>13.0590/77.5874</v>
      </c>
      <c r="H547" s="1" t="str">
        <f ca="1">IFERROR(__xludf.DUMMYFUNCTION("""COMPUTED_VALUE"""),"Chairman's Club &amp; Resort")</f>
        <v>Chairman's Club &amp; Resort</v>
      </c>
      <c r="I547" s="1"/>
      <c r="J547" s="1" t="str">
        <f ca="1">IFERROR(__xludf.DUMMYFUNCTION("""COMPUTED_VALUE"""),"0d 00h 00m")</f>
        <v>0d 00h 00m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>
      <c r="A548" s="1">
        <f ca="1">IFERROR(__xludf.DUMMYFUNCTION("""COMPUTED_VALUE"""),53)</f>
        <v>53</v>
      </c>
      <c r="B548" s="1" t="str">
        <f ca="1">IFERROR(__xludf.DUMMYFUNCTION("""COMPUTED_VALUE"""),"N11_KA04D6659_JETTING")</f>
        <v>N11_KA04D6659_JETTING</v>
      </c>
      <c r="C548" s="1" t="str">
        <f ca="1">IFERROR(__xludf.DUMMYFUNCTION("""COMPUTED_VALUE"""),"n11_ka04d6659_jetting")</f>
        <v>n11_ka04d6659_jetting</v>
      </c>
      <c r="D548" s="2">
        <f ca="1">IFERROR(__xludf.DUMMYFUNCTION("""COMPUTED_VALUE"""),41640)</f>
        <v>41640</v>
      </c>
      <c r="E548" s="3">
        <f ca="1">IFERROR(__xludf.DUMMYFUNCTION("""COMPUTED_VALUE"""),0.400590277778974)</f>
        <v>0.40059027777897399</v>
      </c>
      <c r="F548" s="1">
        <f ca="1">IFERROR(__xludf.DUMMYFUNCTION("""COMPUTED_VALUE"""),64346)</f>
        <v>64346</v>
      </c>
      <c r="G548" s="1" t="str">
        <f ca="1">IFERROR(__xludf.DUMMYFUNCTION("""COMPUTED_VALUE"""),"13.0518/77.6306")</f>
        <v>13.0518/77.6306</v>
      </c>
      <c r="H548" s="1" t="str">
        <f ca="1">IFERROR(__xludf.DUMMYFUNCTION("""COMPUTED_VALUE"""),"Tansandra")</f>
        <v>Tansandra</v>
      </c>
      <c r="I548" s="1"/>
      <c r="J548" s="1" t="str">
        <f ca="1">IFERROR(__xludf.DUMMYFUNCTION("""COMPUTED_VALUE"""),"0d 00h 00m")</f>
        <v>0d 00h 00m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>
      <c r="A549" s="1">
        <f ca="1">IFERROR(__xludf.DUMMYFUNCTION("""COMPUTED_VALUE"""),53)</f>
        <v>53</v>
      </c>
      <c r="B549" s="1" t="str">
        <f ca="1">IFERROR(__xludf.DUMMYFUNCTION("""COMPUTED_VALUE"""),"N11_KA04D6659_JETTING")</f>
        <v>N11_KA04D6659_JETTING</v>
      </c>
      <c r="C549" s="1" t="str">
        <f ca="1">IFERROR(__xludf.DUMMYFUNCTION("""COMPUTED_VALUE"""),"n11_ka04d6659_jetting")</f>
        <v>n11_ka04d6659_jetting</v>
      </c>
      <c r="D549" s="2">
        <f ca="1">IFERROR(__xludf.DUMMYFUNCTION("""COMPUTED_VALUE"""),41640)</f>
        <v>41640</v>
      </c>
      <c r="E549" s="3">
        <f ca="1">IFERROR(__xludf.DUMMYFUNCTION("""COMPUTED_VALUE"""),0.400590277778974)</f>
        <v>0.40059027777897399</v>
      </c>
      <c r="F549" s="1">
        <f ca="1">IFERROR(__xludf.DUMMYFUNCTION("""COMPUTED_VALUE"""),64346)</f>
        <v>64346</v>
      </c>
      <c r="G549" s="1" t="str">
        <f ca="1">IFERROR(__xludf.DUMMYFUNCTION("""COMPUTED_VALUE"""),"13.0518/77.6306")</f>
        <v>13.0518/77.6306</v>
      </c>
      <c r="H549" s="1" t="str">
        <f ca="1">IFERROR(__xludf.DUMMYFUNCTION("""COMPUTED_VALUE"""),"Tansandra")</f>
        <v>Tansandra</v>
      </c>
      <c r="I549" s="1"/>
      <c r="J549" s="1" t="str">
        <f ca="1">IFERROR(__xludf.DUMMYFUNCTION("""COMPUTED_VALUE"""),"0d 00h 00m")</f>
        <v>0d 00h 00m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>
      <c r="A550" s="1">
        <f ca="1">IFERROR(__xludf.DUMMYFUNCTION("""COMPUTED_VALUE"""),52)</f>
        <v>52</v>
      </c>
      <c r="B550" s="1" t="str">
        <f ca="1">IFERROR(__xludf.DUMMYFUNCTION("""COMPUTED_VALUE"""),"N11_KA04D6659_JETTING")</f>
        <v>N11_KA04D6659_JETTING</v>
      </c>
      <c r="C550" s="1" t="str">
        <f ca="1">IFERROR(__xludf.DUMMYFUNCTION("""COMPUTED_VALUE"""),"n11_ka04d6659_jetting")</f>
        <v>n11_ka04d6659_jetting</v>
      </c>
      <c r="D550" s="2">
        <f ca="1">IFERROR(__xludf.DUMMYFUNCTION("""COMPUTED_VALUE"""),41640)</f>
        <v>41640</v>
      </c>
      <c r="E550" s="3">
        <f ca="1">IFERROR(__xludf.DUMMYFUNCTION("""COMPUTED_VALUE"""),0.400590277778974)</f>
        <v>0.40059027777897399</v>
      </c>
      <c r="F550" s="1">
        <f ca="1">IFERROR(__xludf.DUMMYFUNCTION("""COMPUTED_VALUE"""),64346)</f>
        <v>64346</v>
      </c>
      <c r="G550" s="1" t="str">
        <f ca="1">IFERROR(__xludf.DUMMYFUNCTION("""COMPUTED_VALUE"""),"13.0518/77.6306")</f>
        <v>13.0518/77.6306</v>
      </c>
      <c r="H550" s="1" t="str">
        <f ca="1">IFERROR(__xludf.DUMMYFUNCTION("""COMPUTED_VALUE"""),"Tansandra")</f>
        <v>Tansandra</v>
      </c>
      <c r="I550" s="1"/>
      <c r="J550" s="1" t="str">
        <f ca="1">IFERROR(__xludf.DUMMYFUNCTION("""COMPUTED_VALUE"""),"0d 00h 00m")</f>
        <v>0d 00h 00m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>
      <c r="A551" s="1">
        <f ca="1">IFERROR(__xludf.DUMMYFUNCTION("""COMPUTED_VALUE"""),52)</f>
        <v>52</v>
      </c>
      <c r="B551" s="1" t="str">
        <f ca="1">IFERROR(__xludf.DUMMYFUNCTION("""COMPUTED_VALUE"""),"N11_KA04D6659_JETTING")</f>
        <v>N11_KA04D6659_JETTING</v>
      </c>
      <c r="C551" s="1" t="str">
        <f ca="1">IFERROR(__xludf.DUMMYFUNCTION("""COMPUTED_VALUE"""),"n11_ka04d6659_jetting")</f>
        <v>n11_ka04d6659_jetting</v>
      </c>
      <c r="D551" s="2">
        <f ca="1">IFERROR(__xludf.DUMMYFUNCTION("""COMPUTED_VALUE"""),41640)</f>
        <v>41640</v>
      </c>
      <c r="E551" s="3">
        <f ca="1">IFERROR(__xludf.DUMMYFUNCTION("""COMPUTED_VALUE"""),0.400590277778974)</f>
        <v>0.40059027777897399</v>
      </c>
      <c r="F551" s="1">
        <f ca="1">IFERROR(__xludf.DUMMYFUNCTION("""COMPUTED_VALUE"""),64346)</f>
        <v>64346</v>
      </c>
      <c r="G551" s="1" t="str">
        <f ca="1">IFERROR(__xludf.DUMMYFUNCTION("""COMPUTED_VALUE"""),"13.0518/77.6306")</f>
        <v>13.0518/77.6306</v>
      </c>
      <c r="H551" s="1" t="str">
        <f ca="1">IFERROR(__xludf.DUMMYFUNCTION("""COMPUTED_VALUE"""),"Tansandra")</f>
        <v>Tansandra</v>
      </c>
      <c r="I551" s="1"/>
      <c r="J551" s="1" t="str">
        <f ca="1">IFERROR(__xludf.DUMMYFUNCTION("""COMPUTED_VALUE"""),"0d 00h 00m")</f>
        <v>0d 00h 00m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>
      <c r="A552" s="1">
        <f ca="1">IFERROR(__xludf.DUMMYFUNCTION("""COMPUTED_VALUE"""),52)</f>
        <v>52</v>
      </c>
      <c r="B552" s="1" t="str">
        <f ca="1">IFERROR(__xludf.DUMMYFUNCTION("""COMPUTED_VALUE"""),"N11_KA04D6659_JETTING")</f>
        <v>N11_KA04D6659_JETTING</v>
      </c>
      <c r="C552" s="1" t="str">
        <f ca="1">IFERROR(__xludf.DUMMYFUNCTION("""COMPUTED_VALUE"""),"n11_ka04d6659_jetting")</f>
        <v>n11_ka04d6659_jetting</v>
      </c>
      <c r="D552" s="2">
        <f ca="1">IFERROR(__xludf.DUMMYFUNCTION("""COMPUTED_VALUE"""),41640)</f>
        <v>41640</v>
      </c>
      <c r="E552" s="3">
        <f ca="1">IFERROR(__xludf.DUMMYFUNCTION("""COMPUTED_VALUE"""),0.400590277778974)</f>
        <v>0.40059027777897399</v>
      </c>
      <c r="F552" s="1">
        <f ca="1">IFERROR(__xludf.DUMMYFUNCTION("""COMPUTED_VALUE"""),64346)</f>
        <v>64346</v>
      </c>
      <c r="G552" s="1" t="str">
        <f ca="1">IFERROR(__xludf.DUMMYFUNCTION("""COMPUTED_VALUE"""),"13.0518/77.6306")</f>
        <v>13.0518/77.6306</v>
      </c>
      <c r="H552" s="1" t="str">
        <f ca="1">IFERROR(__xludf.DUMMYFUNCTION("""COMPUTED_VALUE"""),"Tansandra")</f>
        <v>Tansandra</v>
      </c>
      <c r="I552" s="1"/>
      <c r="J552" s="1" t="str">
        <f ca="1">IFERROR(__xludf.DUMMYFUNCTION("""COMPUTED_VALUE"""),"0d 00h 00m")</f>
        <v>0d 00h 00m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>
      <c r="A553" s="1">
        <f ca="1">IFERROR(__xludf.DUMMYFUNCTION("""COMPUTED_VALUE"""),52)</f>
        <v>52</v>
      </c>
      <c r="B553" s="1" t="str">
        <f ca="1">IFERROR(__xludf.DUMMYFUNCTION("""COMPUTED_VALUE"""),"N11_KA04D6659_JETTING")</f>
        <v>N11_KA04D6659_JETTING</v>
      </c>
      <c r="C553" s="1" t="str">
        <f ca="1">IFERROR(__xludf.DUMMYFUNCTION("""COMPUTED_VALUE"""),"n11_ka04d6659_jetting")</f>
        <v>n11_ka04d6659_jetting</v>
      </c>
      <c r="D553" s="2">
        <f ca="1">IFERROR(__xludf.DUMMYFUNCTION("""COMPUTED_VALUE"""),41640)</f>
        <v>41640</v>
      </c>
      <c r="E553" s="3">
        <f ca="1">IFERROR(__xludf.DUMMYFUNCTION("""COMPUTED_VALUE"""),0.400590277778974)</f>
        <v>0.40059027777897399</v>
      </c>
      <c r="F553" s="1">
        <f ca="1">IFERROR(__xludf.DUMMYFUNCTION("""COMPUTED_VALUE"""),64346)</f>
        <v>64346</v>
      </c>
      <c r="G553" s="1" t="str">
        <f ca="1">IFERROR(__xludf.DUMMYFUNCTION("""COMPUTED_VALUE"""),"13.0518/77.6306")</f>
        <v>13.0518/77.6306</v>
      </c>
      <c r="H553" s="1" t="str">
        <f ca="1">IFERROR(__xludf.DUMMYFUNCTION("""COMPUTED_VALUE"""),"Tansandra")</f>
        <v>Tansandra</v>
      </c>
      <c r="I553" s="1"/>
      <c r="J553" s="1" t="str">
        <f ca="1">IFERROR(__xludf.DUMMYFUNCTION("""COMPUTED_VALUE"""),"0d 00h 00m")</f>
        <v>0d 00h 00m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>
      <c r="A554" s="1">
        <f ca="1">IFERROR(__xludf.DUMMYFUNCTION("""COMPUTED_VALUE"""),52)</f>
        <v>52</v>
      </c>
      <c r="B554" s="1" t="str">
        <f ca="1">IFERROR(__xludf.DUMMYFUNCTION("""COMPUTED_VALUE"""),"N11_KA04D6659_JETTING")</f>
        <v>N11_KA04D6659_JETTING</v>
      </c>
      <c r="C554" s="1" t="str">
        <f ca="1">IFERROR(__xludf.DUMMYFUNCTION("""COMPUTED_VALUE"""),"n11_ka04d6659_jetting")</f>
        <v>n11_ka04d6659_jetting</v>
      </c>
      <c r="D554" s="2">
        <f ca="1">IFERROR(__xludf.DUMMYFUNCTION("""COMPUTED_VALUE"""),41640)</f>
        <v>41640</v>
      </c>
      <c r="E554" s="3">
        <f ca="1">IFERROR(__xludf.DUMMYFUNCTION("""COMPUTED_VALUE"""),0.400590277778974)</f>
        <v>0.40059027777897399</v>
      </c>
      <c r="F554" s="1">
        <f ca="1">IFERROR(__xludf.DUMMYFUNCTION("""COMPUTED_VALUE"""),64346)</f>
        <v>64346</v>
      </c>
      <c r="G554" s="1" t="str">
        <f ca="1">IFERROR(__xludf.DUMMYFUNCTION("""COMPUTED_VALUE"""),"13.0518/77.6306")</f>
        <v>13.0518/77.6306</v>
      </c>
      <c r="H554" s="1" t="str">
        <f ca="1">IFERROR(__xludf.DUMMYFUNCTION("""COMPUTED_VALUE"""),"Tansandra")</f>
        <v>Tansandra</v>
      </c>
      <c r="I554" s="1"/>
      <c r="J554" s="1" t="str">
        <f ca="1">IFERROR(__xludf.DUMMYFUNCTION("""COMPUTED_VALUE"""),"0d 00h 00m")</f>
        <v>0d 00h 00m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>
      <c r="A555" s="1">
        <f ca="1">IFERROR(__xludf.DUMMYFUNCTION("""COMPUTED_VALUE"""),140)</f>
        <v>140</v>
      </c>
      <c r="B555" s="1" t="str">
        <f ca="1">IFERROR(__xludf.DUMMYFUNCTION("""COMPUTED_VALUE"""),"N12_KA04A6215_JETTING")</f>
        <v>N12_KA04A6215_JETTING</v>
      </c>
      <c r="C555" s="1" t="str">
        <f ca="1">IFERROR(__xludf.DUMMYFUNCTION("""COMPUTED_VALUE"""),"n12_ka04a6215_jetting")</f>
        <v>n12_ka04a6215_jetting</v>
      </c>
      <c r="D555" s="2">
        <f ca="1">IFERROR(__xludf.DUMMYFUNCTION("""COMPUTED_VALUE"""),45157)</f>
        <v>45157</v>
      </c>
      <c r="E555" s="3">
        <f ca="1">IFERROR(__xludf.DUMMYFUNCTION("""COMPUTED_VALUE"""),0.452187499999126)</f>
        <v>0.452187499999126</v>
      </c>
      <c r="F555" s="1">
        <f ca="1">IFERROR(__xludf.DUMMYFUNCTION("""COMPUTED_VALUE"""),17588)</f>
        <v>17588</v>
      </c>
      <c r="G555" s="1" t="str">
        <f ca="1">IFERROR(__xludf.DUMMYFUNCTION("""COMPUTED_VALUE"""),"13.0253/77.6075")</f>
        <v>13.0253/77.6075</v>
      </c>
      <c r="H555" s="1" t="str">
        <f ca="1">IFERROR(__xludf.DUMMYFUNCTION("""COMPUTED_VALUE"""),"Sultanpalya")</f>
        <v>Sultanpalya</v>
      </c>
      <c r="I555" s="1"/>
      <c r="J555" s="1" t="str">
        <f ca="1">IFERROR(__xludf.DUMMYFUNCTION("""COMPUTED_VALUE"""),"214d 00h 40m")</f>
        <v>214d 00h 40m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>
      <c r="A556" s="1">
        <f ca="1">IFERROR(__xludf.DUMMYFUNCTION("""COMPUTED_VALUE"""),137)</f>
        <v>137</v>
      </c>
      <c r="B556" s="1" t="str">
        <f ca="1">IFERROR(__xludf.DUMMYFUNCTION("""COMPUTED_VALUE"""),"N12_KA04A6215_JETTING")</f>
        <v>N12_KA04A6215_JETTING</v>
      </c>
      <c r="C556" s="1" t="str">
        <f ca="1">IFERROR(__xludf.DUMMYFUNCTION("""COMPUTED_VALUE"""),"n12_ka04a6215_jetting")</f>
        <v>n12_ka04a6215_jetting</v>
      </c>
      <c r="D556" s="2">
        <f ca="1">IFERROR(__xludf.DUMMYFUNCTION("""COMPUTED_VALUE"""),45157)</f>
        <v>45157</v>
      </c>
      <c r="E556" s="3">
        <f ca="1">IFERROR(__xludf.DUMMYFUNCTION("""COMPUTED_VALUE"""),0.452187499999126)</f>
        <v>0.452187499999126</v>
      </c>
      <c r="F556" s="1">
        <f ca="1">IFERROR(__xludf.DUMMYFUNCTION("""COMPUTED_VALUE"""),17588)</f>
        <v>17588</v>
      </c>
      <c r="G556" s="1" t="str">
        <f ca="1">IFERROR(__xludf.DUMMYFUNCTION("""COMPUTED_VALUE"""),"13.0253/77.6075")</f>
        <v>13.0253/77.6075</v>
      </c>
      <c r="H556" s="1" t="str">
        <f ca="1">IFERROR(__xludf.DUMMYFUNCTION("""COMPUTED_VALUE"""),"SultÄnpÄlya")</f>
        <v>SultÄnpÄlya</v>
      </c>
      <c r="I556" s="1"/>
      <c r="J556" s="1" t="str">
        <f ca="1">IFERROR(__xludf.DUMMYFUNCTION("""COMPUTED_VALUE"""),"214d 00h 41m")</f>
        <v>214d 00h 41m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>
      <c r="A557" s="1">
        <f ca="1">IFERROR(__xludf.DUMMYFUNCTION("""COMPUTED_VALUE"""),86)</f>
        <v>86</v>
      </c>
      <c r="B557" s="1" t="str">
        <f ca="1">IFERROR(__xludf.DUMMYFUNCTION("""COMPUTED_VALUE"""),"N12_KA04AA1780_DESILTING")</f>
        <v>N12_KA04AA1780_DESILTING</v>
      </c>
      <c r="C557" s="1" t="str">
        <f ca="1">IFERROR(__xludf.DUMMYFUNCTION("""COMPUTED_VALUE"""),"n12_ka04aa1780_desilting")</f>
        <v>n12_ka04aa1780_desilting</v>
      </c>
      <c r="D557" s="2">
        <f ca="1">IFERROR(__xludf.DUMMYFUNCTION("""COMPUTED_VALUE"""),41640)</f>
        <v>41640</v>
      </c>
      <c r="E557" s="3">
        <f ca="1">IFERROR(__xludf.DUMMYFUNCTION("""COMPUTED_VALUE"""),0.690219907406572)</f>
        <v>0.69021990740657202</v>
      </c>
      <c r="F557" s="1">
        <f ca="1">IFERROR(__xludf.DUMMYFUNCTION("""COMPUTED_VALUE"""),15647)</f>
        <v>15647</v>
      </c>
      <c r="G557" s="1" t="str">
        <f ca="1">IFERROR(__xludf.DUMMYFUNCTION("""COMPUTED_VALUE"""),"13.0411/77.5882")</f>
        <v>13.0411/77.5882</v>
      </c>
      <c r="H557" s="1" t="str">
        <f ca="1">IFERROR(__xludf.DUMMYFUNCTION("""COMPUTED_VALUE"""),"Hebbal")</f>
        <v>Hebbal</v>
      </c>
      <c r="I557" s="1"/>
      <c r="J557" s="1" t="str">
        <f ca="1">IFERROR(__xludf.DUMMYFUNCTION("""COMPUTED_VALUE"""),"0d 16h 34m")</f>
        <v>0d 16h 34m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>
      <c r="A558" s="1">
        <f ca="1">IFERROR(__xludf.DUMMYFUNCTION("""COMPUTED_VALUE"""),86)</f>
        <v>86</v>
      </c>
      <c r="B558" s="1" t="str">
        <f ca="1">IFERROR(__xludf.DUMMYFUNCTION("""COMPUTED_VALUE"""),"N12_KA04AA1780_DESILTING")</f>
        <v>N12_KA04AA1780_DESILTING</v>
      </c>
      <c r="C558" s="1" t="str">
        <f ca="1">IFERROR(__xludf.DUMMYFUNCTION("""COMPUTED_VALUE"""),"n12_ka04aa1780_desilting")</f>
        <v>n12_ka04aa1780_desilting</v>
      </c>
      <c r="D558" s="2">
        <f ca="1">IFERROR(__xludf.DUMMYFUNCTION("""COMPUTED_VALUE"""),41640)</f>
        <v>41640</v>
      </c>
      <c r="E558" s="3">
        <f ca="1">IFERROR(__xludf.DUMMYFUNCTION("""COMPUTED_VALUE"""),0.690219907406572)</f>
        <v>0.69021990740657202</v>
      </c>
      <c r="F558" s="1">
        <f ca="1">IFERROR(__xludf.DUMMYFUNCTION("""COMPUTED_VALUE"""),15647)</f>
        <v>15647</v>
      </c>
      <c r="G558" s="1" t="str">
        <f ca="1">IFERROR(__xludf.DUMMYFUNCTION("""COMPUTED_VALUE"""),"13.0411/77.5882")</f>
        <v>13.0411/77.5882</v>
      </c>
      <c r="H558" s="1" t="str">
        <f ca="1">IFERROR(__xludf.DUMMYFUNCTION("""COMPUTED_VALUE"""),"Hebbal")</f>
        <v>Hebbal</v>
      </c>
      <c r="I558" s="1"/>
      <c r="J558" s="1" t="str">
        <f ca="1">IFERROR(__xludf.DUMMYFUNCTION("""COMPUTED_VALUE"""),"0d 16h 35m")</f>
        <v>0d 16h 35m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>
      <c r="A559" s="1">
        <f ca="1">IFERROR(__xludf.DUMMYFUNCTION("""COMPUTED_VALUE"""),83)</f>
        <v>83</v>
      </c>
      <c r="B559" s="1" t="str">
        <f ca="1">IFERROR(__xludf.DUMMYFUNCTION("""COMPUTED_VALUE"""),"N12_KA04AA1780_DESILTING")</f>
        <v>N12_KA04AA1780_DESILTING</v>
      </c>
      <c r="C559" s="1" t="str">
        <f ca="1">IFERROR(__xludf.DUMMYFUNCTION("""COMPUTED_VALUE"""),"n12_ka04aa1780_desilting")</f>
        <v>n12_ka04aa1780_desilting</v>
      </c>
      <c r="D559" s="2">
        <f ca="1">IFERROR(__xludf.DUMMYFUNCTION("""COMPUTED_VALUE"""),41640)</f>
        <v>41640</v>
      </c>
      <c r="E559" s="3">
        <f ca="1">IFERROR(__xludf.DUMMYFUNCTION("""COMPUTED_VALUE"""),0.690219907406572)</f>
        <v>0.69021990740657202</v>
      </c>
      <c r="F559" s="1">
        <f ca="1">IFERROR(__xludf.DUMMYFUNCTION("""COMPUTED_VALUE"""),15647)</f>
        <v>15647</v>
      </c>
      <c r="G559" s="1" t="str">
        <f ca="1">IFERROR(__xludf.DUMMYFUNCTION("""COMPUTED_VALUE"""),"13.0411/77.5882")</f>
        <v>13.0411/77.5882</v>
      </c>
      <c r="H559" s="1" t="str">
        <f ca="1">IFERROR(__xludf.DUMMYFUNCTION("""COMPUTED_VALUE"""),"Hebbal")</f>
        <v>Hebbal</v>
      </c>
      <c r="I559" s="1"/>
      <c r="J559" s="1" t="str">
        <f ca="1">IFERROR(__xludf.DUMMYFUNCTION("""COMPUTED_VALUE"""),"0d 16h 38m")</f>
        <v>0d 16h 38m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>
      <c r="A560" s="1">
        <f ca="1">IFERROR(__xludf.DUMMYFUNCTION("""COMPUTED_VALUE"""),83)</f>
        <v>83</v>
      </c>
      <c r="B560" s="1" t="str">
        <f ca="1">IFERROR(__xludf.DUMMYFUNCTION("""COMPUTED_VALUE"""),"N12_KA04AA1780_DESILTING")</f>
        <v>N12_KA04AA1780_DESILTING</v>
      </c>
      <c r="C560" s="1" t="str">
        <f ca="1">IFERROR(__xludf.DUMMYFUNCTION("""COMPUTED_VALUE"""),"n12_ka04aa1780_desilting")</f>
        <v>n12_ka04aa1780_desilting</v>
      </c>
      <c r="D560" s="2">
        <f ca="1">IFERROR(__xludf.DUMMYFUNCTION("""COMPUTED_VALUE"""),41640)</f>
        <v>41640</v>
      </c>
      <c r="E560" s="3">
        <f ca="1">IFERROR(__xludf.DUMMYFUNCTION("""COMPUTED_VALUE"""),0.690219907406572)</f>
        <v>0.69021990740657202</v>
      </c>
      <c r="F560" s="1">
        <f ca="1">IFERROR(__xludf.DUMMYFUNCTION("""COMPUTED_VALUE"""),15647)</f>
        <v>15647</v>
      </c>
      <c r="G560" s="1" t="str">
        <f ca="1">IFERROR(__xludf.DUMMYFUNCTION("""COMPUTED_VALUE"""),"13.0411/77.5882")</f>
        <v>13.0411/77.5882</v>
      </c>
      <c r="H560" s="1" t="str">
        <f ca="1">IFERROR(__xludf.DUMMYFUNCTION("""COMPUTED_VALUE"""),"Hebbal")</f>
        <v>Hebbal</v>
      </c>
      <c r="I560" s="1"/>
      <c r="J560" s="1" t="str">
        <f ca="1">IFERROR(__xludf.DUMMYFUNCTION("""COMPUTED_VALUE"""),"0d 16h 39m")</f>
        <v>0d 16h 39m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>
      <c r="A561" s="1">
        <f ca="1">IFERROR(__xludf.DUMMYFUNCTION("""COMPUTED_VALUE"""),83)</f>
        <v>83</v>
      </c>
      <c r="B561" s="1" t="str">
        <f ca="1">IFERROR(__xludf.DUMMYFUNCTION("""COMPUTED_VALUE"""),"N12_KA04AA1780_DESILTING")</f>
        <v>N12_KA04AA1780_DESILTING</v>
      </c>
      <c r="C561" s="1" t="str">
        <f ca="1">IFERROR(__xludf.DUMMYFUNCTION("""COMPUTED_VALUE"""),"n12_ka04aa1780_desilting")</f>
        <v>n12_ka04aa1780_desilting</v>
      </c>
      <c r="D561" s="2">
        <f ca="1">IFERROR(__xludf.DUMMYFUNCTION("""COMPUTED_VALUE"""),41640)</f>
        <v>41640</v>
      </c>
      <c r="E561" s="3">
        <f ca="1">IFERROR(__xludf.DUMMYFUNCTION("""COMPUTED_VALUE"""),0.690219907406572)</f>
        <v>0.69021990740657202</v>
      </c>
      <c r="F561" s="1">
        <f ca="1">IFERROR(__xludf.DUMMYFUNCTION("""COMPUTED_VALUE"""),15647)</f>
        <v>15647</v>
      </c>
      <c r="G561" s="1" t="str">
        <f ca="1">IFERROR(__xludf.DUMMYFUNCTION("""COMPUTED_VALUE"""),"13.0411/77.5882")</f>
        <v>13.0411/77.5882</v>
      </c>
      <c r="H561" s="1" t="str">
        <f ca="1">IFERROR(__xludf.DUMMYFUNCTION("""COMPUTED_VALUE"""),"Hebbal")</f>
        <v>Hebbal</v>
      </c>
      <c r="I561" s="1"/>
      <c r="J561" s="1" t="str">
        <f ca="1">IFERROR(__xludf.DUMMYFUNCTION("""COMPUTED_VALUE"""),"0d 16h 40m")</f>
        <v>0d 16h 40m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>
      <c r="A562" s="1">
        <f ca="1">IFERROR(__xludf.DUMMYFUNCTION("""COMPUTED_VALUE"""),83)</f>
        <v>83</v>
      </c>
      <c r="B562" s="1" t="str">
        <f ca="1">IFERROR(__xludf.DUMMYFUNCTION("""COMPUTED_VALUE"""),"N12_KA04AA1780_DESILTING")</f>
        <v>N12_KA04AA1780_DESILTING</v>
      </c>
      <c r="C562" s="1" t="str">
        <f ca="1">IFERROR(__xludf.DUMMYFUNCTION("""COMPUTED_VALUE"""),"n12_ka04aa1780_desilting")</f>
        <v>n12_ka04aa1780_desilting</v>
      </c>
      <c r="D562" s="2">
        <f ca="1">IFERROR(__xludf.DUMMYFUNCTION("""COMPUTED_VALUE"""),41640)</f>
        <v>41640</v>
      </c>
      <c r="E562" s="3">
        <f ca="1">IFERROR(__xludf.DUMMYFUNCTION("""COMPUTED_VALUE"""),0.690219907406572)</f>
        <v>0.69021990740657202</v>
      </c>
      <c r="F562" s="1">
        <f ca="1">IFERROR(__xludf.DUMMYFUNCTION("""COMPUTED_VALUE"""),15647)</f>
        <v>15647</v>
      </c>
      <c r="G562" s="1" t="str">
        <f ca="1">IFERROR(__xludf.DUMMYFUNCTION("""COMPUTED_VALUE"""),"13.0411/77.5882")</f>
        <v>13.0411/77.5882</v>
      </c>
      <c r="H562" s="1" t="str">
        <f ca="1">IFERROR(__xludf.DUMMYFUNCTION("""COMPUTED_VALUE"""),"Hebbal")</f>
        <v>Hebbal</v>
      </c>
      <c r="I562" s="1"/>
      <c r="J562" s="1" t="str">
        <f ca="1">IFERROR(__xludf.DUMMYFUNCTION("""COMPUTED_VALUE"""),"0d 16h 41m")</f>
        <v>0d 16h 41m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>
      <c r="A563" s="1">
        <f ca="1">IFERROR(__xludf.DUMMYFUNCTION("""COMPUTED_VALUE"""),83)</f>
        <v>83</v>
      </c>
      <c r="B563" s="1" t="str">
        <f ca="1">IFERROR(__xludf.DUMMYFUNCTION("""COMPUTED_VALUE"""),"N12_KA04AA1780_DESILTING")</f>
        <v>N12_KA04AA1780_DESILTING</v>
      </c>
      <c r="C563" s="1" t="str">
        <f ca="1">IFERROR(__xludf.DUMMYFUNCTION("""COMPUTED_VALUE"""),"n12_ka04aa1780_desilting")</f>
        <v>n12_ka04aa1780_desilting</v>
      </c>
      <c r="D563" s="2">
        <f ca="1">IFERROR(__xludf.DUMMYFUNCTION("""COMPUTED_VALUE"""),41640)</f>
        <v>41640</v>
      </c>
      <c r="E563" s="3">
        <f ca="1">IFERROR(__xludf.DUMMYFUNCTION("""COMPUTED_VALUE"""),0.690219907406572)</f>
        <v>0.69021990740657202</v>
      </c>
      <c r="F563" s="1">
        <f ca="1">IFERROR(__xludf.DUMMYFUNCTION("""COMPUTED_VALUE"""),15647)</f>
        <v>15647</v>
      </c>
      <c r="G563" s="1" t="str">
        <f ca="1">IFERROR(__xludf.DUMMYFUNCTION("""COMPUTED_VALUE"""),"13.0411/77.5882")</f>
        <v>13.0411/77.5882</v>
      </c>
      <c r="H563" s="1" t="str">
        <f ca="1">IFERROR(__xludf.DUMMYFUNCTION("""COMPUTED_VALUE"""),"Hebbal")</f>
        <v>Hebbal</v>
      </c>
      <c r="I563" s="1"/>
      <c r="J563" s="1" t="str">
        <f ca="1">IFERROR(__xludf.DUMMYFUNCTION("""COMPUTED_VALUE"""),"0d 16h 42m")</f>
        <v>0d 16h 42m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>
      <c r="A564" s="1">
        <f ca="1">IFERROR(__xludf.DUMMYFUNCTION("""COMPUTED_VALUE"""),92)</f>
        <v>92</v>
      </c>
      <c r="B564" s="1" t="str">
        <f ca="1">IFERROR(__xludf.DUMMYFUNCTION("""COMPUTED_VALUE"""),"N12_KA04AA1781_DESILTING")</f>
        <v>N12_KA04AA1781_DESILTING</v>
      </c>
      <c r="C564" s="1" t="str">
        <f ca="1">IFERROR(__xludf.DUMMYFUNCTION("""COMPUTED_VALUE"""),"n12_ka04aa1781_desilting")</f>
        <v>n12_ka04aa1781_desilting</v>
      </c>
      <c r="D564" s="2">
        <f ca="1">IFERROR(__xludf.DUMMYFUNCTION("""COMPUTED_VALUE"""),41640)</f>
        <v>41640</v>
      </c>
      <c r="E564" s="3">
        <f ca="1">IFERROR(__xludf.DUMMYFUNCTION("""COMPUTED_VALUE"""),0.705509259259997)</f>
        <v>0.70550925925999697</v>
      </c>
      <c r="F564" s="1">
        <f ca="1">IFERROR(__xludf.DUMMYFUNCTION("""COMPUTED_VALUE"""),12774)</f>
        <v>12774</v>
      </c>
      <c r="G564" s="1" t="str">
        <f ca="1">IFERROR(__xludf.DUMMYFUNCTION("""COMPUTED_VALUE"""),"13.0193/77.6019")</f>
        <v>13.0193/77.6019</v>
      </c>
      <c r="H564" s="1" t="str">
        <f ca="1">IFERROR(__xludf.DUMMYFUNCTION("""COMPUTED_VALUE"""),"Mysore Lancers Lines")</f>
        <v>Mysore Lancers Lines</v>
      </c>
      <c r="I564" s="1"/>
      <c r="J564" s="1" t="str">
        <f ca="1">IFERROR(__xludf.DUMMYFUNCTION("""COMPUTED_VALUE"""),"0d 00h 00m")</f>
        <v>0d 00h 00m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>
      <c r="A565" s="1">
        <f ca="1">IFERROR(__xludf.DUMMYFUNCTION("""COMPUTED_VALUE"""),92)</f>
        <v>92</v>
      </c>
      <c r="B565" s="1" t="str">
        <f ca="1">IFERROR(__xludf.DUMMYFUNCTION("""COMPUTED_VALUE"""),"N12_KA04AA1781_DESILTING")</f>
        <v>N12_KA04AA1781_DESILTING</v>
      </c>
      <c r="C565" s="1" t="str">
        <f ca="1">IFERROR(__xludf.DUMMYFUNCTION("""COMPUTED_VALUE"""),"n12_ka04aa1781_desilting")</f>
        <v>n12_ka04aa1781_desilting</v>
      </c>
      <c r="D565" s="2">
        <f ca="1">IFERROR(__xludf.DUMMYFUNCTION("""COMPUTED_VALUE"""),41640)</f>
        <v>41640</v>
      </c>
      <c r="E565" s="3">
        <f ca="1">IFERROR(__xludf.DUMMYFUNCTION("""COMPUTED_VALUE"""),0.705509259259997)</f>
        <v>0.70550925925999697</v>
      </c>
      <c r="F565" s="1">
        <f ca="1">IFERROR(__xludf.DUMMYFUNCTION("""COMPUTED_VALUE"""),12774)</f>
        <v>12774</v>
      </c>
      <c r="G565" s="1" t="str">
        <f ca="1">IFERROR(__xludf.DUMMYFUNCTION("""COMPUTED_VALUE"""),"13.0193/77.6019")</f>
        <v>13.0193/77.6019</v>
      </c>
      <c r="H565" s="1" t="str">
        <f ca="1">IFERROR(__xludf.DUMMYFUNCTION("""COMPUTED_VALUE"""),"Mysore Lancers Lines")</f>
        <v>Mysore Lancers Lines</v>
      </c>
      <c r="I565" s="1"/>
      <c r="J565" s="1" t="str">
        <f ca="1">IFERROR(__xludf.DUMMYFUNCTION("""COMPUTED_VALUE"""),"0d 00h 00m")</f>
        <v>0d 00h 00m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>
      <c r="A566" s="1">
        <f ca="1">IFERROR(__xludf.DUMMYFUNCTION("""COMPUTED_VALUE"""),89)</f>
        <v>89</v>
      </c>
      <c r="B566" s="1" t="str">
        <f ca="1">IFERROR(__xludf.DUMMYFUNCTION("""COMPUTED_VALUE"""),"N12_KA04AA1781_DESILTING")</f>
        <v>N12_KA04AA1781_DESILTING</v>
      </c>
      <c r="C566" s="1" t="str">
        <f ca="1">IFERROR(__xludf.DUMMYFUNCTION("""COMPUTED_VALUE"""),"n12_ka04aa1781_desilting")</f>
        <v>n12_ka04aa1781_desilting</v>
      </c>
      <c r="D566" s="2">
        <f ca="1">IFERROR(__xludf.DUMMYFUNCTION("""COMPUTED_VALUE"""),41640)</f>
        <v>41640</v>
      </c>
      <c r="E566" s="3">
        <f ca="1">IFERROR(__xludf.DUMMYFUNCTION("""COMPUTED_VALUE"""),0.705509259259997)</f>
        <v>0.70550925925999697</v>
      </c>
      <c r="F566" s="1">
        <f ca="1">IFERROR(__xludf.DUMMYFUNCTION("""COMPUTED_VALUE"""),12774)</f>
        <v>12774</v>
      </c>
      <c r="G566" s="1" t="str">
        <f ca="1">IFERROR(__xludf.DUMMYFUNCTION("""COMPUTED_VALUE"""),"13.0193/77.6019")</f>
        <v>13.0193/77.6019</v>
      </c>
      <c r="H566" s="1" t="str">
        <f ca="1">IFERROR(__xludf.DUMMYFUNCTION("""COMPUTED_VALUE"""),"Mysore Lancers Lines")</f>
        <v>Mysore Lancers Lines</v>
      </c>
      <c r="I566" s="1"/>
      <c r="J566" s="1" t="str">
        <f ca="1">IFERROR(__xludf.DUMMYFUNCTION("""COMPUTED_VALUE"""),"0d 00h 00m")</f>
        <v>0d 00h 00m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>
      <c r="A567" s="1">
        <f ca="1">IFERROR(__xludf.DUMMYFUNCTION("""COMPUTED_VALUE"""),89)</f>
        <v>89</v>
      </c>
      <c r="B567" s="1" t="str">
        <f ca="1">IFERROR(__xludf.DUMMYFUNCTION("""COMPUTED_VALUE"""),"N12_KA04AA1781_DESILTING")</f>
        <v>N12_KA04AA1781_DESILTING</v>
      </c>
      <c r="C567" s="1" t="str">
        <f ca="1">IFERROR(__xludf.DUMMYFUNCTION("""COMPUTED_VALUE"""),"n12_ka04aa1781_desilting")</f>
        <v>n12_ka04aa1781_desilting</v>
      </c>
      <c r="D567" s="2">
        <f ca="1">IFERROR(__xludf.DUMMYFUNCTION("""COMPUTED_VALUE"""),41640)</f>
        <v>41640</v>
      </c>
      <c r="E567" s="3">
        <f ca="1">IFERROR(__xludf.DUMMYFUNCTION("""COMPUTED_VALUE"""),0.705509259259997)</f>
        <v>0.70550925925999697</v>
      </c>
      <c r="F567" s="1">
        <f ca="1">IFERROR(__xludf.DUMMYFUNCTION("""COMPUTED_VALUE"""),12774)</f>
        <v>12774</v>
      </c>
      <c r="G567" s="1" t="str">
        <f ca="1">IFERROR(__xludf.DUMMYFUNCTION("""COMPUTED_VALUE"""),"13.0193/77.6019")</f>
        <v>13.0193/77.6019</v>
      </c>
      <c r="H567" s="1" t="str">
        <f ca="1">IFERROR(__xludf.DUMMYFUNCTION("""COMPUTED_VALUE"""),"Mysore Lancers Lines")</f>
        <v>Mysore Lancers Lines</v>
      </c>
      <c r="I567" s="1"/>
      <c r="J567" s="1" t="str">
        <f ca="1">IFERROR(__xludf.DUMMYFUNCTION("""COMPUTED_VALUE"""),"0d 00h 00m")</f>
        <v>0d 00h 00m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>
      <c r="A568" s="1">
        <f ca="1">IFERROR(__xludf.DUMMYFUNCTION("""COMPUTED_VALUE"""),89)</f>
        <v>89</v>
      </c>
      <c r="B568" s="1" t="str">
        <f ca="1">IFERROR(__xludf.DUMMYFUNCTION("""COMPUTED_VALUE"""),"N12_KA04AA1781_DESILTING")</f>
        <v>N12_KA04AA1781_DESILTING</v>
      </c>
      <c r="C568" s="1" t="str">
        <f ca="1">IFERROR(__xludf.DUMMYFUNCTION("""COMPUTED_VALUE"""),"n12_ka04aa1781_desilting")</f>
        <v>n12_ka04aa1781_desilting</v>
      </c>
      <c r="D568" s="2">
        <f ca="1">IFERROR(__xludf.DUMMYFUNCTION("""COMPUTED_VALUE"""),41640)</f>
        <v>41640</v>
      </c>
      <c r="E568" s="3">
        <f ca="1">IFERROR(__xludf.DUMMYFUNCTION("""COMPUTED_VALUE"""),0.705509259259997)</f>
        <v>0.70550925925999697</v>
      </c>
      <c r="F568" s="1">
        <f ca="1">IFERROR(__xludf.DUMMYFUNCTION("""COMPUTED_VALUE"""),12774)</f>
        <v>12774</v>
      </c>
      <c r="G568" s="1" t="str">
        <f ca="1">IFERROR(__xludf.DUMMYFUNCTION("""COMPUTED_VALUE"""),"13.0193/77.6019")</f>
        <v>13.0193/77.6019</v>
      </c>
      <c r="H568" s="1" t="str">
        <f ca="1">IFERROR(__xludf.DUMMYFUNCTION("""COMPUTED_VALUE"""),"Mysore Lancers Lines")</f>
        <v>Mysore Lancers Lines</v>
      </c>
      <c r="I568" s="1"/>
      <c r="J568" s="1" t="str">
        <f ca="1">IFERROR(__xludf.DUMMYFUNCTION("""COMPUTED_VALUE"""),"0d 00h 00m")</f>
        <v>0d 00h 00m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>
      <c r="A569" s="1">
        <f ca="1">IFERROR(__xludf.DUMMYFUNCTION("""COMPUTED_VALUE"""),89)</f>
        <v>89</v>
      </c>
      <c r="B569" s="1" t="str">
        <f ca="1">IFERROR(__xludf.DUMMYFUNCTION("""COMPUTED_VALUE"""),"N12_KA04AA1781_DESILTING")</f>
        <v>N12_KA04AA1781_DESILTING</v>
      </c>
      <c r="C569" s="1" t="str">
        <f ca="1">IFERROR(__xludf.DUMMYFUNCTION("""COMPUTED_VALUE"""),"n12_ka04aa1781_desilting")</f>
        <v>n12_ka04aa1781_desilting</v>
      </c>
      <c r="D569" s="2">
        <f ca="1">IFERROR(__xludf.DUMMYFUNCTION("""COMPUTED_VALUE"""),41640)</f>
        <v>41640</v>
      </c>
      <c r="E569" s="3">
        <f ca="1">IFERROR(__xludf.DUMMYFUNCTION("""COMPUTED_VALUE"""),0.705509259259997)</f>
        <v>0.70550925925999697</v>
      </c>
      <c r="F569" s="1">
        <f ca="1">IFERROR(__xludf.DUMMYFUNCTION("""COMPUTED_VALUE"""),12774)</f>
        <v>12774</v>
      </c>
      <c r="G569" s="1" t="str">
        <f ca="1">IFERROR(__xludf.DUMMYFUNCTION("""COMPUTED_VALUE"""),"13.0193/77.6019")</f>
        <v>13.0193/77.6019</v>
      </c>
      <c r="H569" s="1" t="str">
        <f ca="1">IFERROR(__xludf.DUMMYFUNCTION("""COMPUTED_VALUE"""),"Mysore Lancers Lines")</f>
        <v>Mysore Lancers Lines</v>
      </c>
      <c r="I569" s="1"/>
      <c r="J569" s="1" t="str">
        <f ca="1">IFERROR(__xludf.DUMMYFUNCTION("""COMPUTED_VALUE"""),"0d 00h 00m")</f>
        <v>0d 00h 00m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>
      <c r="A570" s="1">
        <f ca="1">IFERROR(__xludf.DUMMYFUNCTION("""COMPUTED_VALUE"""),89)</f>
        <v>89</v>
      </c>
      <c r="B570" s="1" t="str">
        <f ca="1">IFERROR(__xludf.DUMMYFUNCTION("""COMPUTED_VALUE"""),"N12_KA04AA1781_DESILTING")</f>
        <v>N12_KA04AA1781_DESILTING</v>
      </c>
      <c r="C570" s="1" t="str">
        <f ca="1">IFERROR(__xludf.DUMMYFUNCTION("""COMPUTED_VALUE"""),"n12_ka04aa1781_desilting")</f>
        <v>n12_ka04aa1781_desilting</v>
      </c>
      <c r="D570" s="2">
        <f ca="1">IFERROR(__xludf.DUMMYFUNCTION("""COMPUTED_VALUE"""),41640)</f>
        <v>41640</v>
      </c>
      <c r="E570" s="3">
        <f ca="1">IFERROR(__xludf.DUMMYFUNCTION("""COMPUTED_VALUE"""),0.705509259259997)</f>
        <v>0.70550925925999697</v>
      </c>
      <c r="F570" s="1">
        <f ca="1">IFERROR(__xludf.DUMMYFUNCTION("""COMPUTED_VALUE"""),12774)</f>
        <v>12774</v>
      </c>
      <c r="G570" s="1" t="str">
        <f ca="1">IFERROR(__xludf.DUMMYFUNCTION("""COMPUTED_VALUE"""),"13.0193/77.6019")</f>
        <v>13.0193/77.6019</v>
      </c>
      <c r="H570" s="1" t="str">
        <f ca="1">IFERROR(__xludf.DUMMYFUNCTION("""COMPUTED_VALUE"""),"Mysore Lancers Lines")</f>
        <v>Mysore Lancers Lines</v>
      </c>
      <c r="I570" s="1"/>
      <c r="J570" s="1" t="str">
        <f ca="1">IFERROR(__xludf.DUMMYFUNCTION("""COMPUTED_VALUE"""),"0d 00h 00m")</f>
        <v>0d 00h 00m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>
      <c r="A571" s="1">
        <f ca="1">IFERROR(__xludf.DUMMYFUNCTION("""COMPUTED_VALUE"""),109)</f>
        <v>109</v>
      </c>
      <c r="B571" s="1" t="str">
        <f ca="1">IFERROR(__xludf.DUMMYFUNCTION("""COMPUTED_VALUE"""),"N12_KA04AA1783_DESILTING")</f>
        <v>N12_KA04AA1783_DESILTING</v>
      </c>
      <c r="C571" s="1" t="str">
        <f ca="1">IFERROR(__xludf.DUMMYFUNCTION("""COMPUTED_VALUE"""),"n12_ka04aa1783_desilting")</f>
        <v>n12_ka04aa1783_desilting</v>
      </c>
      <c r="D571" s="2">
        <f ca="1">IFERROR(__xludf.DUMMYFUNCTION("""COMPUTED_VALUE"""),43846)</f>
        <v>43846</v>
      </c>
      <c r="E571" s="3">
        <f ca="1">IFERROR(__xludf.DUMMYFUNCTION("""COMPUTED_VALUE"""),0.564236111109494)</f>
        <v>0.56423611110949401</v>
      </c>
      <c r="F571" s="1">
        <f ca="1">IFERROR(__xludf.DUMMYFUNCTION("""COMPUTED_VALUE"""),23445)</f>
        <v>23445</v>
      </c>
      <c r="G571" s="1" t="str">
        <f ca="1">IFERROR(__xludf.DUMMYFUNCTION("""COMPUTED_VALUE"""),"13.0298/77.5887")</f>
        <v>13.0298/77.5887</v>
      </c>
      <c r="H571" s="1" t="str">
        <f ca="1">IFERROR(__xludf.DUMMYFUNCTION("""COMPUTED_VALUE"""),"CBI")</f>
        <v>CBI</v>
      </c>
      <c r="I571" s="1"/>
      <c r="J571" s="1" t="str">
        <f ca="1">IFERROR(__xludf.DUMMYFUNCTION("""COMPUTED_VALUE"""),"879d 00h 30m")</f>
        <v>879d 00h 30m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>
      <c r="A572" s="1">
        <f ca="1">IFERROR(__xludf.DUMMYFUNCTION("""COMPUTED_VALUE"""),109)</f>
        <v>109</v>
      </c>
      <c r="B572" s="1" t="str">
        <f ca="1">IFERROR(__xludf.DUMMYFUNCTION("""COMPUTED_VALUE"""),"N12_KA04AA1783_DESILTING")</f>
        <v>N12_KA04AA1783_DESILTING</v>
      </c>
      <c r="C572" s="1" t="str">
        <f ca="1">IFERROR(__xludf.DUMMYFUNCTION("""COMPUTED_VALUE"""),"n12_ka04aa1783_desilting")</f>
        <v>n12_ka04aa1783_desilting</v>
      </c>
      <c r="D572" s="2">
        <f ca="1">IFERROR(__xludf.DUMMYFUNCTION("""COMPUTED_VALUE"""),43846)</f>
        <v>43846</v>
      </c>
      <c r="E572" s="3">
        <f ca="1">IFERROR(__xludf.DUMMYFUNCTION("""COMPUTED_VALUE"""),0.564236111109494)</f>
        <v>0.56423611110949401</v>
      </c>
      <c r="F572" s="1">
        <f ca="1">IFERROR(__xludf.DUMMYFUNCTION("""COMPUTED_VALUE"""),23445)</f>
        <v>23445</v>
      </c>
      <c r="G572" s="1" t="str">
        <f ca="1">IFERROR(__xludf.DUMMYFUNCTION("""COMPUTED_VALUE"""),"13.0298/77.5887")</f>
        <v>13.0298/77.5887</v>
      </c>
      <c r="H572" s="1" t="str">
        <f ca="1">IFERROR(__xludf.DUMMYFUNCTION("""COMPUTED_VALUE"""),"CBI")</f>
        <v>CBI</v>
      </c>
      <c r="I572" s="1"/>
      <c r="J572" s="1" t="str">
        <f ca="1">IFERROR(__xludf.DUMMYFUNCTION("""COMPUTED_VALUE"""),"879d 00h 31m")</f>
        <v>879d 00h 31m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>
      <c r="A573" s="1">
        <f ca="1">IFERROR(__xludf.DUMMYFUNCTION("""COMPUTED_VALUE"""),106)</f>
        <v>106</v>
      </c>
      <c r="B573" s="1" t="str">
        <f ca="1">IFERROR(__xludf.DUMMYFUNCTION("""COMPUTED_VALUE"""),"N12_KA04AA1783_DESILTING")</f>
        <v>N12_KA04AA1783_DESILTING</v>
      </c>
      <c r="C573" s="1" t="str">
        <f ca="1">IFERROR(__xludf.DUMMYFUNCTION("""COMPUTED_VALUE"""),"n12_ka04aa1783_desilting")</f>
        <v>n12_ka04aa1783_desilting</v>
      </c>
      <c r="D573" s="2">
        <f ca="1">IFERROR(__xludf.DUMMYFUNCTION("""COMPUTED_VALUE"""),43846)</f>
        <v>43846</v>
      </c>
      <c r="E573" s="3">
        <f ca="1">IFERROR(__xludf.DUMMYFUNCTION("""COMPUTED_VALUE"""),0.564236111109494)</f>
        <v>0.56423611110949401</v>
      </c>
      <c r="F573" s="1">
        <f ca="1">IFERROR(__xludf.DUMMYFUNCTION("""COMPUTED_VALUE"""),23445)</f>
        <v>23445</v>
      </c>
      <c r="G573" s="1" t="str">
        <f ca="1">IFERROR(__xludf.DUMMYFUNCTION("""COMPUTED_VALUE"""),"13.0298/77.5887")</f>
        <v>13.0298/77.5887</v>
      </c>
      <c r="H573" s="1" t="str">
        <f ca="1">IFERROR(__xludf.DUMMYFUNCTION("""COMPUTED_VALUE"""),"CBI")</f>
        <v>CBI</v>
      </c>
      <c r="I573" s="1"/>
      <c r="J573" s="1" t="str">
        <f ca="1">IFERROR(__xludf.DUMMYFUNCTION("""COMPUTED_VALUE"""),"879d 00h 34m")</f>
        <v>879d 00h 34m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>
      <c r="A574" s="1">
        <f ca="1">IFERROR(__xludf.DUMMYFUNCTION("""COMPUTED_VALUE"""),106)</f>
        <v>106</v>
      </c>
      <c r="B574" s="1" t="str">
        <f ca="1">IFERROR(__xludf.DUMMYFUNCTION("""COMPUTED_VALUE"""),"N12_KA04AA1783_DESILTING")</f>
        <v>N12_KA04AA1783_DESILTING</v>
      </c>
      <c r="C574" s="1" t="str">
        <f ca="1">IFERROR(__xludf.DUMMYFUNCTION("""COMPUTED_VALUE"""),"n12_ka04aa1783_desilting")</f>
        <v>n12_ka04aa1783_desilting</v>
      </c>
      <c r="D574" s="2">
        <f ca="1">IFERROR(__xludf.DUMMYFUNCTION("""COMPUTED_VALUE"""),43846)</f>
        <v>43846</v>
      </c>
      <c r="E574" s="3">
        <f ca="1">IFERROR(__xludf.DUMMYFUNCTION("""COMPUTED_VALUE"""),0.564236111109494)</f>
        <v>0.56423611110949401</v>
      </c>
      <c r="F574" s="1">
        <f ca="1">IFERROR(__xludf.DUMMYFUNCTION("""COMPUTED_VALUE"""),23445)</f>
        <v>23445</v>
      </c>
      <c r="G574" s="1" t="str">
        <f ca="1">IFERROR(__xludf.DUMMYFUNCTION("""COMPUTED_VALUE"""),"13.0298/77.5887")</f>
        <v>13.0298/77.5887</v>
      </c>
      <c r="H574" s="1" t="str">
        <f ca="1">IFERROR(__xludf.DUMMYFUNCTION("""COMPUTED_VALUE"""),"CBI")</f>
        <v>CBI</v>
      </c>
      <c r="I574" s="1"/>
      <c r="J574" s="1" t="str">
        <f ca="1">IFERROR(__xludf.DUMMYFUNCTION("""COMPUTED_VALUE"""),"879d 00h 35m")</f>
        <v>879d 00h 35m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>
      <c r="A575" s="1">
        <f ca="1">IFERROR(__xludf.DUMMYFUNCTION("""COMPUTED_VALUE"""),106)</f>
        <v>106</v>
      </c>
      <c r="B575" s="1" t="str">
        <f ca="1">IFERROR(__xludf.DUMMYFUNCTION("""COMPUTED_VALUE"""),"N12_KA04AA1783_DESILTING")</f>
        <v>N12_KA04AA1783_DESILTING</v>
      </c>
      <c r="C575" s="1" t="str">
        <f ca="1">IFERROR(__xludf.DUMMYFUNCTION("""COMPUTED_VALUE"""),"n12_ka04aa1783_desilting")</f>
        <v>n12_ka04aa1783_desilting</v>
      </c>
      <c r="D575" s="2">
        <f ca="1">IFERROR(__xludf.DUMMYFUNCTION("""COMPUTED_VALUE"""),43846)</f>
        <v>43846</v>
      </c>
      <c r="E575" s="3">
        <f ca="1">IFERROR(__xludf.DUMMYFUNCTION("""COMPUTED_VALUE"""),0.564236111109494)</f>
        <v>0.56423611110949401</v>
      </c>
      <c r="F575" s="1">
        <f ca="1">IFERROR(__xludf.DUMMYFUNCTION("""COMPUTED_VALUE"""),23445)</f>
        <v>23445</v>
      </c>
      <c r="G575" s="1" t="str">
        <f ca="1">IFERROR(__xludf.DUMMYFUNCTION("""COMPUTED_VALUE"""),"13.0298/77.5887")</f>
        <v>13.0298/77.5887</v>
      </c>
      <c r="H575" s="1" t="str">
        <f ca="1">IFERROR(__xludf.DUMMYFUNCTION("""COMPUTED_VALUE"""),"CBI")</f>
        <v>CBI</v>
      </c>
      <c r="I575" s="1"/>
      <c r="J575" s="1" t="str">
        <f ca="1">IFERROR(__xludf.DUMMYFUNCTION("""COMPUTED_VALUE"""),"879d 00h 36m")</f>
        <v>879d 00h 36m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>
      <c r="A576" s="1">
        <f ca="1">IFERROR(__xludf.DUMMYFUNCTION("""COMPUTED_VALUE"""),106)</f>
        <v>106</v>
      </c>
      <c r="B576" s="1" t="str">
        <f ca="1">IFERROR(__xludf.DUMMYFUNCTION("""COMPUTED_VALUE"""),"N12_KA04AA1783_DESILTING")</f>
        <v>N12_KA04AA1783_DESILTING</v>
      </c>
      <c r="C576" s="1" t="str">
        <f ca="1">IFERROR(__xludf.DUMMYFUNCTION("""COMPUTED_VALUE"""),"n12_ka04aa1783_desilting")</f>
        <v>n12_ka04aa1783_desilting</v>
      </c>
      <c r="D576" s="2">
        <f ca="1">IFERROR(__xludf.DUMMYFUNCTION("""COMPUTED_VALUE"""),43846)</f>
        <v>43846</v>
      </c>
      <c r="E576" s="3">
        <f ca="1">IFERROR(__xludf.DUMMYFUNCTION("""COMPUTED_VALUE"""),0.564236111109494)</f>
        <v>0.56423611110949401</v>
      </c>
      <c r="F576" s="1">
        <f ca="1">IFERROR(__xludf.DUMMYFUNCTION("""COMPUTED_VALUE"""),23445)</f>
        <v>23445</v>
      </c>
      <c r="G576" s="1" t="str">
        <f ca="1">IFERROR(__xludf.DUMMYFUNCTION("""COMPUTED_VALUE"""),"13.0298/77.5887")</f>
        <v>13.0298/77.5887</v>
      </c>
      <c r="H576" s="1" t="str">
        <f ca="1">IFERROR(__xludf.DUMMYFUNCTION("""COMPUTED_VALUE"""),"CBI")</f>
        <v>CBI</v>
      </c>
      <c r="I576" s="1"/>
      <c r="J576" s="1" t="str">
        <f ca="1">IFERROR(__xludf.DUMMYFUNCTION("""COMPUTED_VALUE"""),"879d 00h 37m")</f>
        <v>879d 00h 37m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>
      <c r="A577" s="1">
        <f ca="1">IFERROR(__xludf.DUMMYFUNCTION("""COMPUTED_VALUE"""),106)</f>
        <v>106</v>
      </c>
      <c r="B577" s="1" t="str">
        <f ca="1">IFERROR(__xludf.DUMMYFUNCTION("""COMPUTED_VALUE"""),"N12_KA04AA1783_DESILTING")</f>
        <v>N12_KA04AA1783_DESILTING</v>
      </c>
      <c r="C577" s="1" t="str">
        <f ca="1">IFERROR(__xludf.DUMMYFUNCTION("""COMPUTED_VALUE"""),"n12_ka04aa1783_desilting")</f>
        <v>n12_ka04aa1783_desilting</v>
      </c>
      <c r="D577" s="2">
        <f ca="1">IFERROR(__xludf.DUMMYFUNCTION("""COMPUTED_VALUE"""),43846)</f>
        <v>43846</v>
      </c>
      <c r="E577" s="3">
        <f ca="1">IFERROR(__xludf.DUMMYFUNCTION("""COMPUTED_VALUE"""),0.564236111109494)</f>
        <v>0.56423611110949401</v>
      </c>
      <c r="F577" s="1">
        <f ca="1">IFERROR(__xludf.DUMMYFUNCTION("""COMPUTED_VALUE"""),23445)</f>
        <v>23445</v>
      </c>
      <c r="G577" s="1" t="str">
        <f ca="1">IFERROR(__xludf.DUMMYFUNCTION("""COMPUTED_VALUE"""),"13.0298/77.5887")</f>
        <v>13.0298/77.5887</v>
      </c>
      <c r="H577" s="1" t="str">
        <f ca="1">IFERROR(__xludf.DUMMYFUNCTION("""COMPUTED_VALUE"""),"CBI")</f>
        <v>CBI</v>
      </c>
      <c r="I577" s="1"/>
      <c r="J577" s="1" t="str">
        <f ca="1">IFERROR(__xludf.DUMMYFUNCTION("""COMPUTED_VALUE"""),"879d 00h 38m")</f>
        <v>879d 00h 38m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>
      <c r="A578" s="1">
        <f ca="1">IFERROR(__xludf.DUMMYFUNCTION("""COMPUTED_VALUE"""),62)</f>
        <v>62</v>
      </c>
      <c r="B578" s="1" t="str">
        <f ca="1">IFERROR(__xludf.DUMMYFUNCTION("""COMPUTED_VALUE"""),"N12_KA04AA1784_DESILTING")</f>
        <v>N12_KA04AA1784_DESILTING</v>
      </c>
      <c r="C578" s="1" t="str">
        <f ca="1">IFERROR(__xludf.DUMMYFUNCTION("""COMPUTED_VALUE"""),"n12_ka04aa1784_desilting")</f>
        <v>n12_ka04aa1784_desilting</v>
      </c>
      <c r="D578" s="2">
        <f ca="1">IFERROR(__xludf.DUMMYFUNCTION("""COMPUTED_VALUE"""),41640)</f>
        <v>41640</v>
      </c>
      <c r="E578" s="3">
        <f ca="1">IFERROR(__xludf.DUMMYFUNCTION("""COMPUTED_VALUE"""),0.508541666666133)</f>
        <v>0.50854166666613299</v>
      </c>
      <c r="F578" s="1">
        <f ca="1">IFERROR(__xludf.DUMMYFUNCTION("""COMPUTED_VALUE"""),15696)</f>
        <v>15696</v>
      </c>
      <c r="G578" s="1" t="str">
        <f ca="1">IFERROR(__xludf.DUMMYFUNCTION("""COMPUTED_VALUE"""),"13.0179/77.6056")</f>
        <v>13.0179/77.6056</v>
      </c>
      <c r="H578" s="1" t="str">
        <f ca="1">IFERROR(__xludf.DUMMYFUNCTION("""COMPUTED_VALUE"""),"Keval Bhairsandra")</f>
        <v>Keval Bhairsandra</v>
      </c>
      <c r="I578" s="1"/>
      <c r="J578" s="1" t="str">
        <f ca="1">IFERROR(__xludf.DUMMYFUNCTION("""COMPUTED_VALUE"""),"7d 22h 05m")</f>
        <v>7d 22h 05m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>
      <c r="A579" s="1">
        <f ca="1">IFERROR(__xludf.DUMMYFUNCTION("""COMPUTED_VALUE"""),62)</f>
        <v>62</v>
      </c>
      <c r="B579" s="1" t="str">
        <f ca="1">IFERROR(__xludf.DUMMYFUNCTION("""COMPUTED_VALUE"""),"N12_KA04AA1784_DESILTING")</f>
        <v>N12_KA04AA1784_DESILTING</v>
      </c>
      <c r="C579" s="1" t="str">
        <f ca="1">IFERROR(__xludf.DUMMYFUNCTION("""COMPUTED_VALUE"""),"n12_ka04aa1784_desilting")</f>
        <v>n12_ka04aa1784_desilting</v>
      </c>
      <c r="D579" s="2">
        <f ca="1">IFERROR(__xludf.DUMMYFUNCTION("""COMPUTED_VALUE"""),41640)</f>
        <v>41640</v>
      </c>
      <c r="E579" s="3">
        <f ca="1">IFERROR(__xludf.DUMMYFUNCTION("""COMPUTED_VALUE"""),0.508541666666133)</f>
        <v>0.50854166666613299</v>
      </c>
      <c r="F579" s="1">
        <f ca="1">IFERROR(__xludf.DUMMYFUNCTION("""COMPUTED_VALUE"""),15696)</f>
        <v>15696</v>
      </c>
      <c r="G579" s="1" t="str">
        <f ca="1">IFERROR(__xludf.DUMMYFUNCTION("""COMPUTED_VALUE"""),"13.0179/77.6056")</f>
        <v>13.0179/77.6056</v>
      </c>
      <c r="H579" s="1" t="str">
        <f ca="1">IFERROR(__xludf.DUMMYFUNCTION("""COMPUTED_VALUE"""),"Keval Bhairsandra")</f>
        <v>Keval Bhairsandra</v>
      </c>
      <c r="I579" s="1"/>
      <c r="J579" s="1" t="str">
        <f ca="1">IFERROR(__xludf.DUMMYFUNCTION("""COMPUTED_VALUE"""),"7d 22h 06m")</f>
        <v>7d 22h 06m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>
      <c r="A580" s="1">
        <f ca="1">IFERROR(__xludf.DUMMYFUNCTION("""COMPUTED_VALUE"""),61)</f>
        <v>61</v>
      </c>
      <c r="B580" s="1" t="str">
        <f ca="1">IFERROR(__xludf.DUMMYFUNCTION("""COMPUTED_VALUE"""),"N12_KA04AA1784_DESILTING")</f>
        <v>N12_KA04AA1784_DESILTING</v>
      </c>
      <c r="C580" s="1" t="str">
        <f ca="1">IFERROR(__xludf.DUMMYFUNCTION("""COMPUTED_VALUE"""),"n12_ka04aa1784_desilting")</f>
        <v>n12_ka04aa1784_desilting</v>
      </c>
      <c r="D580" s="2">
        <f ca="1">IFERROR(__xludf.DUMMYFUNCTION("""COMPUTED_VALUE"""),41640)</f>
        <v>41640</v>
      </c>
      <c r="E580" s="3">
        <f ca="1">IFERROR(__xludf.DUMMYFUNCTION("""COMPUTED_VALUE"""),0.508541666666133)</f>
        <v>0.50854166666613299</v>
      </c>
      <c r="F580" s="1">
        <f ca="1">IFERROR(__xludf.DUMMYFUNCTION("""COMPUTED_VALUE"""),15696)</f>
        <v>15696</v>
      </c>
      <c r="G580" s="1" t="str">
        <f ca="1">IFERROR(__xludf.DUMMYFUNCTION("""COMPUTED_VALUE"""),"13.0179/77.6056")</f>
        <v>13.0179/77.6056</v>
      </c>
      <c r="H580" s="1" t="str">
        <f ca="1">IFERROR(__xludf.DUMMYFUNCTION("""COMPUTED_VALUE"""),"Keval Bhairsandra")</f>
        <v>Keval Bhairsandra</v>
      </c>
      <c r="I580" s="1"/>
      <c r="J580" s="1" t="str">
        <f ca="1">IFERROR(__xludf.DUMMYFUNCTION("""COMPUTED_VALUE"""),"7d 22h 09m")</f>
        <v>7d 22h 09m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>
      <c r="A581" s="1">
        <f ca="1">IFERROR(__xludf.DUMMYFUNCTION("""COMPUTED_VALUE"""),61)</f>
        <v>61</v>
      </c>
      <c r="B581" s="1" t="str">
        <f ca="1">IFERROR(__xludf.DUMMYFUNCTION("""COMPUTED_VALUE"""),"N12_KA04AA1784_DESILTING")</f>
        <v>N12_KA04AA1784_DESILTING</v>
      </c>
      <c r="C581" s="1" t="str">
        <f ca="1">IFERROR(__xludf.DUMMYFUNCTION("""COMPUTED_VALUE"""),"n12_ka04aa1784_desilting")</f>
        <v>n12_ka04aa1784_desilting</v>
      </c>
      <c r="D581" s="2">
        <f ca="1">IFERROR(__xludf.DUMMYFUNCTION("""COMPUTED_VALUE"""),41640)</f>
        <v>41640</v>
      </c>
      <c r="E581" s="3">
        <f ca="1">IFERROR(__xludf.DUMMYFUNCTION("""COMPUTED_VALUE"""),0.508541666666133)</f>
        <v>0.50854166666613299</v>
      </c>
      <c r="F581" s="1">
        <f ca="1">IFERROR(__xludf.DUMMYFUNCTION("""COMPUTED_VALUE"""),15696)</f>
        <v>15696</v>
      </c>
      <c r="G581" s="1" t="str">
        <f ca="1">IFERROR(__xludf.DUMMYFUNCTION("""COMPUTED_VALUE"""),"13.0179/77.6056")</f>
        <v>13.0179/77.6056</v>
      </c>
      <c r="H581" s="1" t="str">
        <f ca="1">IFERROR(__xludf.DUMMYFUNCTION("""COMPUTED_VALUE"""),"Keval Bhairsandra")</f>
        <v>Keval Bhairsandra</v>
      </c>
      <c r="I581" s="1"/>
      <c r="J581" s="1" t="str">
        <f ca="1">IFERROR(__xludf.DUMMYFUNCTION("""COMPUTED_VALUE"""),"7d 22h 10m")</f>
        <v>7d 22h 10m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>
      <c r="A582" s="1">
        <f ca="1">IFERROR(__xludf.DUMMYFUNCTION("""COMPUTED_VALUE"""),61)</f>
        <v>61</v>
      </c>
      <c r="B582" s="1" t="str">
        <f ca="1">IFERROR(__xludf.DUMMYFUNCTION("""COMPUTED_VALUE"""),"N12_KA04AA1784_DESILTING")</f>
        <v>N12_KA04AA1784_DESILTING</v>
      </c>
      <c r="C582" s="1" t="str">
        <f ca="1">IFERROR(__xludf.DUMMYFUNCTION("""COMPUTED_VALUE"""),"n12_ka04aa1784_desilting")</f>
        <v>n12_ka04aa1784_desilting</v>
      </c>
      <c r="D582" s="2">
        <f ca="1">IFERROR(__xludf.DUMMYFUNCTION("""COMPUTED_VALUE"""),41640)</f>
        <v>41640</v>
      </c>
      <c r="E582" s="3">
        <f ca="1">IFERROR(__xludf.DUMMYFUNCTION("""COMPUTED_VALUE"""),0.508541666666133)</f>
        <v>0.50854166666613299</v>
      </c>
      <c r="F582" s="1">
        <f ca="1">IFERROR(__xludf.DUMMYFUNCTION("""COMPUTED_VALUE"""),15696)</f>
        <v>15696</v>
      </c>
      <c r="G582" s="1" t="str">
        <f ca="1">IFERROR(__xludf.DUMMYFUNCTION("""COMPUTED_VALUE"""),"13.0179/77.6056")</f>
        <v>13.0179/77.6056</v>
      </c>
      <c r="H582" s="1" t="str">
        <f ca="1">IFERROR(__xludf.DUMMYFUNCTION("""COMPUTED_VALUE"""),"Keval Bhairsandra")</f>
        <v>Keval Bhairsandra</v>
      </c>
      <c r="I582" s="1"/>
      <c r="J582" s="1" t="str">
        <f ca="1">IFERROR(__xludf.DUMMYFUNCTION("""COMPUTED_VALUE"""),"7d 22h 11m")</f>
        <v>7d 22h 11m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>
      <c r="A583" s="1">
        <f ca="1">IFERROR(__xludf.DUMMYFUNCTION("""COMPUTED_VALUE"""),61)</f>
        <v>61</v>
      </c>
      <c r="B583" s="1" t="str">
        <f ca="1">IFERROR(__xludf.DUMMYFUNCTION("""COMPUTED_VALUE"""),"N12_KA04AA1784_DESILTING")</f>
        <v>N12_KA04AA1784_DESILTING</v>
      </c>
      <c r="C583" s="1" t="str">
        <f ca="1">IFERROR(__xludf.DUMMYFUNCTION("""COMPUTED_VALUE"""),"n12_ka04aa1784_desilting")</f>
        <v>n12_ka04aa1784_desilting</v>
      </c>
      <c r="D583" s="2">
        <f ca="1">IFERROR(__xludf.DUMMYFUNCTION("""COMPUTED_VALUE"""),41640)</f>
        <v>41640</v>
      </c>
      <c r="E583" s="3">
        <f ca="1">IFERROR(__xludf.DUMMYFUNCTION("""COMPUTED_VALUE"""),0.508541666666133)</f>
        <v>0.50854166666613299</v>
      </c>
      <c r="F583" s="1">
        <f ca="1">IFERROR(__xludf.DUMMYFUNCTION("""COMPUTED_VALUE"""),15696)</f>
        <v>15696</v>
      </c>
      <c r="G583" s="1" t="str">
        <f ca="1">IFERROR(__xludf.DUMMYFUNCTION("""COMPUTED_VALUE"""),"13.0179/77.6056")</f>
        <v>13.0179/77.6056</v>
      </c>
      <c r="H583" s="1" t="str">
        <f ca="1">IFERROR(__xludf.DUMMYFUNCTION("""COMPUTED_VALUE"""),"Keval Bhairsandra")</f>
        <v>Keval Bhairsandra</v>
      </c>
      <c r="I583" s="1"/>
      <c r="J583" s="1" t="str">
        <f ca="1">IFERROR(__xludf.DUMMYFUNCTION("""COMPUTED_VALUE"""),"7d 22h 12m")</f>
        <v>7d 22h 12m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>
      <c r="A584" s="1">
        <f ca="1">IFERROR(__xludf.DUMMYFUNCTION("""COMPUTED_VALUE"""),61)</f>
        <v>61</v>
      </c>
      <c r="B584" s="1" t="str">
        <f ca="1">IFERROR(__xludf.DUMMYFUNCTION("""COMPUTED_VALUE"""),"N12_KA04AA1784_DESILTING")</f>
        <v>N12_KA04AA1784_DESILTING</v>
      </c>
      <c r="C584" s="1" t="str">
        <f ca="1">IFERROR(__xludf.DUMMYFUNCTION("""COMPUTED_VALUE"""),"n12_ka04aa1784_desilting")</f>
        <v>n12_ka04aa1784_desilting</v>
      </c>
      <c r="D584" s="2">
        <f ca="1">IFERROR(__xludf.DUMMYFUNCTION("""COMPUTED_VALUE"""),41640)</f>
        <v>41640</v>
      </c>
      <c r="E584" s="3">
        <f ca="1">IFERROR(__xludf.DUMMYFUNCTION("""COMPUTED_VALUE"""),0.508541666666133)</f>
        <v>0.50854166666613299</v>
      </c>
      <c r="F584" s="1">
        <f ca="1">IFERROR(__xludf.DUMMYFUNCTION("""COMPUTED_VALUE"""),15696)</f>
        <v>15696</v>
      </c>
      <c r="G584" s="1" t="str">
        <f ca="1">IFERROR(__xludf.DUMMYFUNCTION("""COMPUTED_VALUE"""),"13.0179/77.6056")</f>
        <v>13.0179/77.6056</v>
      </c>
      <c r="H584" s="1" t="str">
        <f ca="1">IFERROR(__xludf.DUMMYFUNCTION("""COMPUTED_VALUE"""),"KÄval Bhairsandra")</f>
        <v>KÄval Bhairsandra</v>
      </c>
      <c r="I584" s="1"/>
      <c r="J584" s="1" t="str">
        <f ca="1">IFERROR(__xludf.DUMMYFUNCTION("""COMPUTED_VALUE"""),"7d 22h 13m")</f>
        <v>7d 22h 13m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>
      <c r="A585" s="1">
        <f ca="1">IFERROR(__xludf.DUMMYFUNCTION("""COMPUTED_VALUE"""),81)</f>
        <v>81</v>
      </c>
      <c r="B585" s="1" t="str">
        <f ca="1">IFERROR(__xludf.DUMMYFUNCTION("""COMPUTED_VALUE"""),"N12_KA04B7114_TANKER")</f>
        <v>N12_KA04B7114_TANKER</v>
      </c>
      <c r="C585" s="1" t="str">
        <f ca="1">IFERROR(__xludf.DUMMYFUNCTION("""COMPUTED_VALUE"""),"n12_ka04b7114_tanker")</f>
        <v>n12_ka04b7114_tanker</v>
      </c>
      <c r="D585" s="2">
        <f ca="1">IFERROR(__xludf.DUMMYFUNCTION("""COMPUTED_VALUE"""),41640)</f>
        <v>41640</v>
      </c>
      <c r="E585" s="3">
        <f ca="1">IFERROR(__xludf.DUMMYFUNCTION("""COMPUTED_VALUE"""),0.670092592594301)</f>
        <v>0.67009259259430098</v>
      </c>
      <c r="F585" s="1">
        <f ca="1">IFERROR(__xludf.DUMMYFUNCTION("""COMPUTED_VALUE"""),37588)</f>
        <v>37588</v>
      </c>
      <c r="G585" s="1" t="str">
        <f ca="1">IFERROR(__xludf.DUMMYFUNCTION("""COMPUTED_VALUE"""),"13.0291/77.6107")</f>
        <v>13.0291/77.6107</v>
      </c>
      <c r="H585" s="1" t="str">
        <f ca="1">IFERROR(__xludf.DUMMYFUNCTION("""COMPUTED_VALUE"""),"Shampura")</f>
        <v>Shampura</v>
      </c>
      <c r="I585" s="1"/>
      <c r="J585" s="1" t="str">
        <f ca="1">IFERROR(__xludf.DUMMYFUNCTION("""COMPUTED_VALUE"""),"0d 00h 00m")</f>
        <v>0d 00h 00m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>
      <c r="A586" s="1">
        <f ca="1">IFERROR(__xludf.DUMMYFUNCTION("""COMPUTED_VALUE"""),81)</f>
        <v>81</v>
      </c>
      <c r="B586" s="1" t="str">
        <f ca="1">IFERROR(__xludf.DUMMYFUNCTION("""COMPUTED_VALUE"""),"N12_KA04B7114_TANKER")</f>
        <v>N12_KA04B7114_TANKER</v>
      </c>
      <c r="C586" s="1" t="str">
        <f ca="1">IFERROR(__xludf.DUMMYFUNCTION("""COMPUTED_VALUE"""),"n12_ka04b7114_tanker")</f>
        <v>n12_ka04b7114_tanker</v>
      </c>
      <c r="D586" s="2">
        <f ca="1">IFERROR(__xludf.DUMMYFUNCTION("""COMPUTED_VALUE"""),41640)</f>
        <v>41640</v>
      </c>
      <c r="E586" s="3">
        <f ca="1">IFERROR(__xludf.DUMMYFUNCTION("""COMPUTED_VALUE"""),0.670092592594301)</f>
        <v>0.67009259259430098</v>
      </c>
      <c r="F586" s="1">
        <f ca="1">IFERROR(__xludf.DUMMYFUNCTION("""COMPUTED_VALUE"""),37588)</f>
        <v>37588</v>
      </c>
      <c r="G586" s="1" t="str">
        <f ca="1">IFERROR(__xludf.DUMMYFUNCTION("""COMPUTED_VALUE"""),"13.0291/77.6107")</f>
        <v>13.0291/77.6107</v>
      </c>
      <c r="H586" s="1" t="str">
        <f ca="1">IFERROR(__xludf.DUMMYFUNCTION("""COMPUTED_VALUE"""),"Shampura")</f>
        <v>Shampura</v>
      </c>
      <c r="I586" s="1"/>
      <c r="J586" s="1" t="str">
        <f ca="1">IFERROR(__xludf.DUMMYFUNCTION("""COMPUTED_VALUE"""),"0d 00h 00m")</f>
        <v>0d 00h 00m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>
      <c r="A587" s="1">
        <f ca="1">IFERROR(__xludf.DUMMYFUNCTION("""COMPUTED_VALUE"""),79)</f>
        <v>79</v>
      </c>
      <c r="B587" s="1" t="str">
        <f ca="1">IFERROR(__xludf.DUMMYFUNCTION("""COMPUTED_VALUE"""),"N12_KA04B7114_TANKER")</f>
        <v>N12_KA04B7114_TANKER</v>
      </c>
      <c r="C587" s="1" t="str">
        <f ca="1">IFERROR(__xludf.DUMMYFUNCTION("""COMPUTED_VALUE"""),"n12_ka04b7114_tanker")</f>
        <v>n12_ka04b7114_tanker</v>
      </c>
      <c r="D587" s="2">
        <f ca="1">IFERROR(__xludf.DUMMYFUNCTION("""COMPUTED_VALUE"""),41640)</f>
        <v>41640</v>
      </c>
      <c r="E587" s="3">
        <f ca="1">IFERROR(__xludf.DUMMYFUNCTION("""COMPUTED_VALUE"""),0.670092592594301)</f>
        <v>0.67009259259430098</v>
      </c>
      <c r="F587" s="1">
        <f ca="1">IFERROR(__xludf.DUMMYFUNCTION("""COMPUTED_VALUE"""),37588)</f>
        <v>37588</v>
      </c>
      <c r="G587" s="1" t="str">
        <f ca="1">IFERROR(__xludf.DUMMYFUNCTION("""COMPUTED_VALUE"""),"13.0291/77.6107")</f>
        <v>13.0291/77.6107</v>
      </c>
      <c r="H587" s="1" t="str">
        <f ca="1">IFERROR(__xludf.DUMMYFUNCTION("""COMPUTED_VALUE"""),"Shampura")</f>
        <v>Shampura</v>
      </c>
      <c r="I587" s="1"/>
      <c r="J587" s="1" t="str">
        <f ca="1">IFERROR(__xludf.DUMMYFUNCTION("""COMPUTED_VALUE"""),"0d 00h 00m")</f>
        <v>0d 00h 00m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>
      <c r="A588" s="1">
        <f ca="1">IFERROR(__xludf.DUMMYFUNCTION("""COMPUTED_VALUE"""),79)</f>
        <v>79</v>
      </c>
      <c r="B588" s="1" t="str">
        <f ca="1">IFERROR(__xludf.DUMMYFUNCTION("""COMPUTED_VALUE"""),"N12_KA04B7114_TANKER")</f>
        <v>N12_KA04B7114_TANKER</v>
      </c>
      <c r="C588" s="1" t="str">
        <f ca="1">IFERROR(__xludf.DUMMYFUNCTION("""COMPUTED_VALUE"""),"n12_ka04b7114_tanker")</f>
        <v>n12_ka04b7114_tanker</v>
      </c>
      <c r="D588" s="2">
        <f ca="1">IFERROR(__xludf.DUMMYFUNCTION("""COMPUTED_VALUE"""),41640)</f>
        <v>41640</v>
      </c>
      <c r="E588" s="3">
        <f ca="1">IFERROR(__xludf.DUMMYFUNCTION("""COMPUTED_VALUE"""),0.670092592594301)</f>
        <v>0.67009259259430098</v>
      </c>
      <c r="F588" s="1">
        <f ca="1">IFERROR(__xludf.DUMMYFUNCTION("""COMPUTED_VALUE"""),37588)</f>
        <v>37588</v>
      </c>
      <c r="G588" s="1" t="str">
        <f ca="1">IFERROR(__xludf.DUMMYFUNCTION("""COMPUTED_VALUE"""),"13.0291/77.6107")</f>
        <v>13.0291/77.6107</v>
      </c>
      <c r="H588" s="1" t="str">
        <f ca="1">IFERROR(__xludf.DUMMYFUNCTION("""COMPUTED_VALUE"""),"Shampura")</f>
        <v>Shampura</v>
      </c>
      <c r="I588" s="1"/>
      <c r="J588" s="1" t="str">
        <f ca="1">IFERROR(__xludf.DUMMYFUNCTION("""COMPUTED_VALUE"""),"0d 00h 00m")</f>
        <v>0d 00h 00m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>
      <c r="A589" s="1">
        <f ca="1">IFERROR(__xludf.DUMMYFUNCTION("""COMPUTED_VALUE"""),79)</f>
        <v>79</v>
      </c>
      <c r="B589" s="1" t="str">
        <f ca="1">IFERROR(__xludf.DUMMYFUNCTION("""COMPUTED_VALUE"""),"N12_KA04B7114_TANKER")</f>
        <v>N12_KA04B7114_TANKER</v>
      </c>
      <c r="C589" s="1" t="str">
        <f ca="1">IFERROR(__xludf.DUMMYFUNCTION("""COMPUTED_VALUE"""),"n12_ka04b7114_tanker")</f>
        <v>n12_ka04b7114_tanker</v>
      </c>
      <c r="D589" s="2">
        <f ca="1">IFERROR(__xludf.DUMMYFUNCTION("""COMPUTED_VALUE"""),41640)</f>
        <v>41640</v>
      </c>
      <c r="E589" s="3">
        <f ca="1">IFERROR(__xludf.DUMMYFUNCTION("""COMPUTED_VALUE"""),0.670092592594301)</f>
        <v>0.67009259259430098</v>
      </c>
      <c r="F589" s="1">
        <f ca="1">IFERROR(__xludf.DUMMYFUNCTION("""COMPUTED_VALUE"""),37588)</f>
        <v>37588</v>
      </c>
      <c r="G589" s="1" t="str">
        <f ca="1">IFERROR(__xludf.DUMMYFUNCTION("""COMPUTED_VALUE"""),"13.0291/77.6107")</f>
        <v>13.0291/77.6107</v>
      </c>
      <c r="H589" s="1" t="str">
        <f ca="1">IFERROR(__xludf.DUMMYFUNCTION("""COMPUTED_VALUE"""),"Shampura")</f>
        <v>Shampura</v>
      </c>
      <c r="I589" s="1"/>
      <c r="J589" s="1" t="str">
        <f ca="1">IFERROR(__xludf.DUMMYFUNCTION("""COMPUTED_VALUE"""),"0d 00h 00m")</f>
        <v>0d 00h 00m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>
      <c r="A590" s="1">
        <f ca="1">IFERROR(__xludf.DUMMYFUNCTION("""COMPUTED_VALUE"""),79)</f>
        <v>79</v>
      </c>
      <c r="B590" s="1" t="str">
        <f ca="1">IFERROR(__xludf.DUMMYFUNCTION("""COMPUTED_VALUE"""),"N12_KA04B7114_TANKER")</f>
        <v>N12_KA04B7114_TANKER</v>
      </c>
      <c r="C590" s="1" t="str">
        <f ca="1">IFERROR(__xludf.DUMMYFUNCTION("""COMPUTED_VALUE"""),"n12_ka04b7114_tanker")</f>
        <v>n12_ka04b7114_tanker</v>
      </c>
      <c r="D590" s="2">
        <f ca="1">IFERROR(__xludf.DUMMYFUNCTION("""COMPUTED_VALUE"""),41640)</f>
        <v>41640</v>
      </c>
      <c r="E590" s="3">
        <f ca="1">IFERROR(__xludf.DUMMYFUNCTION("""COMPUTED_VALUE"""),0.670092592594301)</f>
        <v>0.67009259259430098</v>
      </c>
      <c r="F590" s="1">
        <f ca="1">IFERROR(__xludf.DUMMYFUNCTION("""COMPUTED_VALUE"""),37588)</f>
        <v>37588</v>
      </c>
      <c r="G590" s="1" t="str">
        <f ca="1">IFERROR(__xludf.DUMMYFUNCTION("""COMPUTED_VALUE"""),"13.0291/77.6107")</f>
        <v>13.0291/77.6107</v>
      </c>
      <c r="H590" s="1" t="str">
        <f ca="1">IFERROR(__xludf.DUMMYFUNCTION("""COMPUTED_VALUE"""),"Shampura")</f>
        <v>Shampura</v>
      </c>
      <c r="I590" s="1"/>
      <c r="J590" s="1" t="str">
        <f ca="1">IFERROR(__xludf.DUMMYFUNCTION("""COMPUTED_VALUE"""),"0d 00h 00m")</f>
        <v>0d 00h 00m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>
      <c r="A591" s="1">
        <f ca="1">IFERROR(__xludf.DUMMYFUNCTION("""COMPUTED_VALUE"""),79)</f>
        <v>79</v>
      </c>
      <c r="B591" s="1" t="str">
        <f ca="1">IFERROR(__xludf.DUMMYFUNCTION("""COMPUTED_VALUE"""),"N12_KA04B7114_TANKER")</f>
        <v>N12_KA04B7114_TANKER</v>
      </c>
      <c r="C591" s="1" t="str">
        <f ca="1">IFERROR(__xludf.DUMMYFUNCTION("""COMPUTED_VALUE"""),"n12_ka04b7114_tanker")</f>
        <v>n12_ka04b7114_tanker</v>
      </c>
      <c r="D591" s="2">
        <f ca="1">IFERROR(__xludf.DUMMYFUNCTION("""COMPUTED_VALUE"""),41640)</f>
        <v>41640</v>
      </c>
      <c r="E591" s="3">
        <f ca="1">IFERROR(__xludf.DUMMYFUNCTION("""COMPUTED_VALUE"""),0.670092592594301)</f>
        <v>0.67009259259430098</v>
      </c>
      <c r="F591" s="1">
        <f ca="1">IFERROR(__xludf.DUMMYFUNCTION("""COMPUTED_VALUE"""),37588)</f>
        <v>37588</v>
      </c>
      <c r="G591" s="1" t="str">
        <f ca="1">IFERROR(__xludf.DUMMYFUNCTION("""COMPUTED_VALUE"""),"13.0291/77.6107")</f>
        <v>13.0291/77.6107</v>
      </c>
      <c r="H591" s="1" t="str">
        <f ca="1">IFERROR(__xludf.DUMMYFUNCTION("""COMPUTED_VALUE"""),"ShÄmpura")</f>
        <v>ShÄmpura</v>
      </c>
      <c r="I591" s="1"/>
      <c r="J591" s="1" t="str">
        <f ca="1">IFERROR(__xludf.DUMMYFUNCTION("""COMPUTED_VALUE"""),"0d 00h 00m")</f>
        <v>0d 00h 00m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>
      <c r="A592" s="1">
        <f ca="1">IFERROR(__xludf.DUMMYFUNCTION("""COMPUTED_VALUE"""),21)</f>
        <v>21</v>
      </c>
      <c r="B592" s="1" t="str">
        <f ca="1">IFERROR(__xludf.DUMMYFUNCTION("""COMPUTED_VALUE"""),"N12_KA04C3715_JETTING")</f>
        <v>N12_KA04C3715_JETTING</v>
      </c>
      <c r="C592" s="1" t="str">
        <f ca="1">IFERROR(__xludf.DUMMYFUNCTION("""COMPUTED_VALUE"""),"n12_ka04c3715_jetting")</f>
        <v>n12_ka04c3715_jetting</v>
      </c>
      <c r="D592" s="2">
        <f ca="1">IFERROR(__xludf.DUMMYFUNCTION("""COMPUTED_VALUE"""),41640)</f>
        <v>41640</v>
      </c>
      <c r="E592" s="3">
        <f ca="1">IFERROR(__xludf.DUMMYFUNCTION("""COMPUTED_VALUE"""),0.22976851851854)</f>
        <v>0.22976851851853999</v>
      </c>
      <c r="F592" s="1">
        <f ca="1">IFERROR(__xludf.DUMMYFUNCTION("""COMPUTED_VALUE"""),14842)</f>
        <v>14842</v>
      </c>
      <c r="G592" s="1"/>
      <c r="H592" s="1"/>
      <c r="I592" s="1"/>
      <c r="J592" s="1" t="str">
        <f ca="1">IFERROR(__xludf.DUMMYFUNCTION("""COMPUTED_VALUE"""),"0d 00h 00m")</f>
        <v>0d 00h 00m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>
      <c r="A593" s="1">
        <f ca="1">IFERROR(__xludf.DUMMYFUNCTION("""COMPUTED_VALUE"""),21)</f>
        <v>21</v>
      </c>
      <c r="B593" s="1" t="str">
        <f ca="1">IFERROR(__xludf.DUMMYFUNCTION("""COMPUTED_VALUE"""),"N12_KA04C3715_JETTING")</f>
        <v>N12_KA04C3715_JETTING</v>
      </c>
      <c r="C593" s="1" t="str">
        <f ca="1">IFERROR(__xludf.DUMMYFUNCTION("""COMPUTED_VALUE"""),"n12_ka04c3715_jetting")</f>
        <v>n12_ka04c3715_jetting</v>
      </c>
      <c r="D593" s="2">
        <f ca="1">IFERROR(__xludf.DUMMYFUNCTION("""COMPUTED_VALUE"""),41640)</f>
        <v>41640</v>
      </c>
      <c r="E593" s="3">
        <f ca="1">IFERROR(__xludf.DUMMYFUNCTION("""COMPUTED_VALUE"""),0.22976851851854)</f>
        <v>0.22976851851853999</v>
      </c>
      <c r="F593" s="1">
        <f ca="1">IFERROR(__xludf.DUMMYFUNCTION("""COMPUTED_VALUE"""),14842)</f>
        <v>14842</v>
      </c>
      <c r="G593" s="1"/>
      <c r="H593" s="1"/>
      <c r="I593" s="1"/>
      <c r="J593" s="1" t="str">
        <f ca="1">IFERROR(__xludf.DUMMYFUNCTION("""COMPUTED_VALUE"""),"0d 00h 00m")</f>
        <v>0d 00h 00m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>
      <c r="A594" s="1">
        <f ca="1">IFERROR(__xludf.DUMMYFUNCTION("""COMPUTED_VALUE"""),21)</f>
        <v>21</v>
      </c>
      <c r="B594" s="1" t="str">
        <f ca="1">IFERROR(__xludf.DUMMYFUNCTION("""COMPUTED_VALUE"""),"N12_KA04C3715_JETTING")</f>
        <v>N12_KA04C3715_JETTING</v>
      </c>
      <c r="C594" s="1" t="str">
        <f ca="1">IFERROR(__xludf.DUMMYFUNCTION("""COMPUTED_VALUE"""),"n12_ka04c3715_jetting")</f>
        <v>n12_ka04c3715_jetting</v>
      </c>
      <c r="D594" s="2">
        <f ca="1">IFERROR(__xludf.DUMMYFUNCTION("""COMPUTED_VALUE"""),41640)</f>
        <v>41640</v>
      </c>
      <c r="E594" s="3">
        <f ca="1">IFERROR(__xludf.DUMMYFUNCTION("""COMPUTED_VALUE"""),0.22976851851854)</f>
        <v>0.22976851851853999</v>
      </c>
      <c r="F594" s="1">
        <f ca="1">IFERROR(__xludf.DUMMYFUNCTION("""COMPUTED_VALUE"""),14842)</f>
        <v>14842</v>
      </c>
      <c r="G594" s="1"/>
      <c r="H594" s="1"/>
      <c r="I594" s="1"/>
      <c r="J594" s="1" t="str">
        <f ca="1">IFERROR(__xludf.DUMMYFUNCTION("""COMPUTED_VALUE"""),"0d 00h 00m")</f>
        <v>0d 00h 00m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>
      <c r="A595" s="1">
        <f ca="1">IFERROR(__xludf.DUMMYFUNCTION("""COMPUTED_VALUE"""),21)</f>
        <v>21</v>
      </c>
      <c r="B595" s="1" t="str">
        <f ca="1">IFERROR(__xludf.DUMMYFUNCTION("""COMPUTED_VALUE"""),"N12_KA04C3715_JETTING")</f>
        <v>N12_KA04C3715_JETTING</v>
      </c>
      <c r="C595" s="1" t="str">
        <f ca="1">IFERROR(__xludf.DUMMYFUNCTION("""COMPUTED_VALUE"""),"n12_ka04c3715_jetting")</f>
        <v>n12_ka04c3715_jetting</v>
      </c>
      <c r="D595" s="2">
        <f ca="1">IFERROR(__xludf.DUMMYFUNCTION("""COMPUTED_VALUE"""),41640)</f>
        <v>41640</v>
      </c>
      <c r="E595" s="3">
        <f ca="1">IFERROR(__xludf.DUMMYFUNCTION("""COMPUTED_VALUE"""),0.22976851851854)</f>
        <v>0.22976851851853999</v>
      </c>
      <c r="F595" s="1">
        <f ca="1">IFERROR(__xludf.DUMMYFUNCTION("""COMPUTED_VALUE"""),14842)</f>
        <v>14842</v>
      </c>
      <c r="G595" s="1"/>
      <c r="H595" s="1"/>
      <c r="I595" s="1"/>
      <c r="J595" s="1" t="str">
        <f ca="1">IFERROR(__xludf.DUMMYFUNCTION("""COMPUTED_VALUE"""),"0d 00h 00m")</f>
        <v>0d 00h 00m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>
      <c r="A596" s="1">
        <f ca="1">IFERROR(__xludf.DUMMYFUNCTION("""COMPUTED_VALUE"""),21)</f>
        <v>21</v>
      </c>
      <c r="B596" s="1" t="str">
        <f ca="1">IFERROR(__xludf.DUMMYFUNCTION("""COMPUTED_VALUE"""),"N12_KA04C3715_JETTING")</f>
        <v>N12_KA04C3715_JETTING</v>
      </c>
      <c r="C596" s="1" t="str">
        <f ca="1">IFERROR(__xludf.DUMMYFUNCTION("""COMPUTED_VALUE"""),"n12_ka04c3715_jetting")</f>
        <v>n12_ka04c3715_jetting</v>
      </c>
      <c r="D596" s="2">
        <f ca="1">IFERROR(__xludf.DUMMYFUNCTION("""COMPUTED_VALUE"""),41640)</f>
        <v>41640</v>
      </c>
      <c r="E596" s="3">
        <f ca="1">IFERROR(__xludf.DUMMYFUNCTION("""COMPUTED_VALUE"""),0.22976851851854)</f>
        <v>0.22976851851853999</v>
      </c>
      <c r="F596" s="1">
        <f ca="1">IFERROR(__xludf.DUMMYFUNCTION("""COMPUTED_VALUE"""),14842)</f>
        <v>14842</v>
      </c>
      <c r="G596" s="1"/>
      <c r="H596" s="1"/>
      <c r="I596" s="1"/>
      <c r="J596" s="1" t="str">
        <f ca="1">IFERROR(__xludf.DUMMYFUNCTION("""COMPUTED_VALUE"""),"0d 00h 00m")</f>
        <v>0d 00h 00m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>
      <c r="A597" s="1">
        <f ca="1">IFERROR(__xludf.DUMMYFUNCTION("""COMPUTED_VALUE"""),21)</f>
        <v>21</v>
      </c>
      <c r="B597" s="1" t="str">
        <f ca="1">IFERROR(__xludf.DUMMYFUNCTION("""COMPUTED_VALUE"""),"N12_KA04C3715_JETTING")</f>
        <v>N12_KA04C3715_JETTING</v>
      </c>
      <c r="C597" s="1" t="str">
        <f ca="1">IFERROR(__xludf.DUMMYFUNCTION("""COMPUTED_VALUE"""),"n12_ka04c3715_jetting")</f>
        <v>n12_ka04c3715_jetting</v>
      </c>
      <c r="D597" s="2">
        <f ca="1">IFERROR(__xludf.DUMMYFUNCTION("""COMPUTED_VALUE"""),41640)</f>
        <v>41640</v>
      </c>
      <c r="E597" s="3">
        <f ca="1">IFERROR(__xludf.DUMMYFUNCTION("""COMPUTED_VALUE"""),0.22976851851854)</f>
        <v>0.22976851851853999</v>
      </c>
      <c r="F597" s="1">
        <f ca="1">IFERROR(__xludf.DUMMYFUNCTION("""COMPUTED_VALUE"""),14842)</f>
        <v>14842</v>
      </c>
      <c r="G597" s="1"/>
      <c r="H597" s="1"/>
      <c r="I597" s="1"/>
      <c r="J597" s="1" t="str">
        <f ca="1">IFERROR(__xludf.DUMMYFUNCTION("""COMPUTED_VALUE"""),"0d 00h 00m")</f>
        <v>0d 00h 00m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>
      <c r="A598" s="1">
        <f ca="1">IFERROR(__xludf.DUMMYFUNCTION("""COMPUTED_VALUE"""),21)</f>
        <v>21</v>
      </c>
      <c r="B598" s="1" t="str">
        <f ca="1">IFERROR(__xludf.DUMMYFUNCTION("""COMPUTED_VALUE"""),"N12_KA04C3715_JETTING")</f>
        <v>N12_KA04C3715_JETTING</v>
      </c>
      <c r="C598" s="1" t="str">
        <f ca="1">IFERROR(__xludf.DUMMYFUNCTION("""COMPUTED_VALUE"""),"n12_ka04c3715_jetting")</f>
        <v>n12_ka04c3715_jetting</v>
      </c>
      <c r="D598" s="2">
        <f ca="1">IFERROR(__xludf.DUMMYFUNCTION("""COMPUTED_VALUE"""),41640)</f>
        <v>41640</v>
      </c>
      <c r="E598" s="3">
        <f ca="1">IFERROR(__xludf.DUMMYFUNCTION("""COMPUTED_VALUE"""),0.22976851851854)</f>
        <v>0.22976851851853999</v>
      </c>
      <c r="F598" s="1">
        <f ca="1">IFERROR(__xludf.DUMMYFUNCTION("""COMPUTED_VALUE"""),14842)</f>
        <v>14842</v>
      </c>
      <c r="G598" s="1"/>
      <c r="H598" s="1"/>
      <c r="I598" s="1"/>
      <c r="J598" s="1" t="str">
        <f ca="1">IFERROR(__xludf.DUMMYFUNCTION("""COMPUTED_VALUE"""),"0d 00h 00m")</f>
        <v>0d 00h 00m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>
      <c r="A599" s="1">
        <f ca="1">IFERROR(__xludf.DUMMYFUNCTION("""COMPUTED_VALUE"""),89)</f>
        <v>89</v>
      </c>
      <c r="B599" s="1" t="str">
        <f ca="1">IFERROR(__xludf.DUMMYFUNCTION("""COMPUTED_VALUE"""),"N12_KA04D4115_JETTING")</f>
        <v>N12_KA04D4115_JETTING</v>
      </c>
      <c r="C599" s="1" t="str">
        <f ca="1">IFERROR(__xludf.DUMMYFUNCTION("""COMPUTED_VALUE"""),"n12_ka04d4115_jetting")</f>
        <v>n12_ka04d4115_jetting</v>
      </c>
      <c r="D599" s="2">
        <f ca="1">IFERROR(__xludf.DUMMYFUNCTION("""COMPUTED_VALUE"""),41640)</f>
        <v>41640</v>
      </c>
      <c r="E599" s="3">
        <f ca="1">IFERROR(__xludf.DUMMYFUNCTION("""COMPUTED_VALUE"""),0.693564814813726)</f>
        <v>0.693564814813726</v>
      </c>
      <c r="F599" s="1">
        <f ca="1">IFERROR(__xludf.DUMMYFUNCTION("""COMPUTED_VALUE"""),24789)</f>
        <v>24789</v>
      </c>
      <c r="G599" s="1" t="str">
        <f ca="1">IFERROR(__xludf.DUMMYFUNCTION("""COMPUTED_VALUE"""),"13.0187/77.5962")</f>
        <v>13.0187/77.5962</v>
      </c>
      <c r="H599" s="1" t="str">
        <f ca="1">IFERROR(__xludf.DUMMYFUNCTION("""COMPUTED_VALUE"""),"RT Nagar")</f>
        <v>RT Nagar</v>
      </c>
      <c r="I599" s="1"/>
      <c r="J599" s="1" t="str">
        <f ca="1">IFERROR(__xludf.DUMMYFUNCTION("""COMPUTED_VALUE"""),"0d 00h 00m")</f>
        <v>0d 00h 00m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>
      <c r="A600" s="1">
        <f ca="1">IFERROR(__xludf.DUMMYFUNCTION("""COMPUTED_VALUE"""),89)</f>
        <v>89</v>
      </c>
      <c r="B600" s="1" t="str">
        <f ca="1">IFERROR(__xludf.DUMMYFUNCTION("""COMPUTED_VALUE"""),"N12_KA04D4115_JETTING")</f>
        <v>N12_KA04D4115_JETTING</v>
      </c>
      <c r="C600" s="1" t="str">
        <f ca="1">IFERROR(__xludf.DUMMYFUNCTION("""COMPUTED_VALUE"""),"n12_ka04d4115_jetting")</f>
        <v>n12_ka04d4115_jetting</v>
      </c>
      <c r="D600" s="2">
        <f ca="1">IFERROR(__xludf.DUMMYFUNCTION("""COMPUTED_VALUE"""),41640)</f>
        <v>41640</v>
      </c>
      <c r="E600" s="3">
        <f ca="1">IFERROR(__xludf.DUMMYFUNCTION("""COMPUTED_VALUE"""),0.693564814813726)</f>
        <v>0.693564814813726</v>
      </c>
      <c r="F600" s="1">
        <f ca="1">IFERROR(__xludf.DUMMYFUNCTION("""COMPUTED_VALUE"""),24789)</f>
        <v>24789</v>
      </c>
      <c r="G600" s="1" t="str">
        <f ca="1">IFERROR(__xludf.DUMMYFUNCTION("""COMPUTED_VALUE"""),"13.0187/77.5962")</f>
        <v>13.0187/77.5962</v>
      </c>
      <c r="H600" s="1" t="str">
        <f ca="1">IFERROR(__xludf.DUMMYFUNCTION("""COMPUTED_VALUE"""),"RT Nagar")</f>
        <v>RT Nagar</v>
      </c>
      <c r="I600" s="1"/>
      <c r="J600" s="1" t="str">
        <f ca="1">IFERROR(__xludf.DUMMYFUNCTION("""COMPUTED_VALUE"""),"0d 00h 00m")</f>
        <v>0d 00h 00m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>
      <c r="A601" s="1">
        <f ca="1">IFERROR(__xludf.DUMMYFUNCTION("""COMPUTED_VALUE"""),86)</f>
        <v>86</v>
      </c>
      <c r="B601" s="1" t="str">
        <f ca="1">IFERROR(__xludf.DUMMYFUNCTION("""COMPUTED_VALUE"""),"N12_KA04D4115_JETTING")</f>
        <v>N12_KA04D4115_JETTING</v>
      </c>
      <c r="C601" s="1" t="str">
        <f ca="1">IFERROR(__xludf.DUMMYFUNCTION("""COMPUTED_VALUE"""),"n12_ka04d4115_jetting")</f>
        <v>n12_ka04d4115_jetting</v>
      </c>
      <c r="D601" s="2">
        <f ca="1">IFERROR(__xludf.DUMMYFUNCTION("""COMPUTED_VALUE"""),41640)</f>
        <v>41640</v>
      </c>
      <c r="E601" s="3">
        <f ca="1">IFERROR(__xludf.DUMMYFUNCTION("""COMPUTED_VALUE"""),0.693564814813726)</f>
        <v>0.693564814813726</v>
      </c>
      <c r="F601" s="1">
        <f ca="1">IFERROR(__xludf.DUMMYFUNCTION("""COMPUTED_VALUE"""),24789)</f>
        <v>24789</v>
      </c>
      <c r="G601" s="1" t="str">
        <f ca="1">IFERROR(__xludf.DUMMYFUNCTION("""COMPUTED_VALUE"""),"13.0187/77.5962")</f>
        <v>13.0187/77.5962</v>
      </c>
      <c r="H601" s="1" t="str">
        <f ca="1">IFERROR(__xludf.DUMMYFUNCTION("""COMPUTED_VALUE"""),"RT Nagar")</f>
        <v>RT Nagar</v>
      </c>
      <c r="I601" s="1"/>
      <c r="J601" s="1" t="str">
        <f ca="1">IFERROR(__xludf.DUMMYFUNCTION("""COMPUTED_VALUE"""),"0d 00h 00m")</f>
        <v>0d 00h 00m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>
      <c r="A602" s="1">
        <f ca="1">IFERROR(__xludf.DUMMYFUNCTION("""COMPUTED_VALUE"""),86)</f>
        <v>86</v>
      </c>
      <c r="B602" s="1" t="str">
        <f ca="1">IFERROR(__xludf.DUMMYFUNCTION("""COMPUTED_VALUE"""),"N12_KA04D4115_JETTING")</f>
        <v>N12_KA04D4115_JETTING</v>
      </c>
      <c r="C602" s="1" t="str">
        <f ca="1">IFERROR(__xludf.DUMMYFUNCTION("""COMPUTED_VALUE"""),"n12_ka04d4115_jetting")</f>
        <v>n12_ka04d4115_jetting</v>
      </c>
      <c r="D602" s="2">
        <f ca="1">IFERROR(__xludf.DUMMYFUNCTION("""COMPUTED_VALUE"""),41640)</f>
        <v>41640</v>
      </c>
      <c r="E602" s="3">
        <f ca="1">IFERROR(__xludf.DUMMYFUNCTION("""COMPUTED_VALUE"""),0.693564814813726)</f>
        <v>0.693564814813726</v>
      </c>
      <c r="F602" s="1">
        <f ca="1">IFERROR(__xludf.DUMMYFUNCTION("""COMPUTED_VALUE"""),24789)</f>
        <v>24789</v>
      </c>
      <c r="G602" s="1" t="str">
        <f ca="1">IFERROR(__xludf.DUMMYFUNCTION("""COMPUTED_VALUE"""),"13.0187/77.5962")</f>
        <v>13.0187/77.5962</v>
      </c>
      <c r="H602" s="1" t="str">
        <f ca="1">IFERROR(__xludf.DUMMYFUNCTION("""COMPUTED_VALUE"""),"RT Nagar")</f>
        <v>RT Nagar</v>
      </c>
      <c r="I602" s="1"/>
      <c r="J602" s="1" t="str">
        <f ca="1">IFERROR(__xludf.DUMMYFUNCTION("""COMPUTED_VALUE"""),"0d 00h 00m")</f>
        <v>0d 00h 00m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>
      <c r="A603" s="1">
        <f ca="1">IFERROR(__xludf.DUMMYFUNCTION("""COMPUTED_VALUE"""),86)</f>
        <v>86</v>
      </c>
      <c r="B603" s="1" t="str">
        <f ca="1">IFERROR(__xludf.DUMMYFUNCTION("""COMPUTED_VALUE"""),"N12_KA04D4115_JETTING")</f>
        <v>N12_KA04D4115_JETTING</v>
      </c>
      <c r="C603" s="1" t="str">
        <f ca="1">IFERROR(__xludf.DUMMYFUNCTION("""COMPUTED_VALUE"""),"n12_ka04d4115_jetting")</f>
        <v>n12_ka04d4115_jetting</v>
      </c>
      <c r="D603" s="2">
        <f ca="1">IFERROR(__xludf.DUMMYFUNCTION("""COMPUTED_VALUE"""),41640)</f>
        <v>41640</v>
      </c>
      <c r="E603" s="3">
        <f ca="1">IFERROR(__xludf.DUMMYFUNCTION("""COMPUTED_VALUE"""),0.693564814813726)</f>
        <v>0.693564814813726</v>
      </c>
      <c r="F603" s="1">
        <f ca="1">IFERROR(__xludf.DUMMYFUNCTION("""COMPUTED_VALUE"""),24789)</f>
        <v>24789</v>
      </c>
      <c r="G603" s="1" t="str">
        <f ca="1">IFERROR(__xludf.DUMMYFUNCTION("""COMPUTED_VALUE"""),"13.0187/77.5962")</f>
        <v>13.0187/77.5962</v>
      </c>
      <c r="H603" s="1" t="str">
        <f ca="1">IFERROR(__xludf.DUMMYFUNCTION("""COMPUTED_VALUE"""),"RT Nagar")</f>
        <v>RT Nagar</v>
      </c>
      <c r="I603" s="1"/>
      <c r="J603" s="1" t="str">
        <f ca="1">IFERROR(__xludf.DUMMYFUNCTION("""COMPUTED_VALUE"""),"0d 00h 00m")</f>
        <v>0d 00h 00m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>
      <c r="A604" s="1">
        <f ca="1">IFERROR(__xludf.DUMMYFUNCTION("""COMPUTED_VALUE"""),86)</f>
        <v>86</v>
      </c>
      <c r="B604" s="1" t="str">
        <f ca="1">IFERROR(__xludf.DUMMYFUNCTION("""COMPUTED_VALUE"""),"N12_KA04D4115_JETTING")</f>
        <v>N12_KA04D4115_JETTING</v>
      </c>
      <c r="C604" s="1" t="str">
        <f ca="1">IFERROR(__xludf.DUMMYFUNCTION("""COMPUTED_VALUE"""),"n12_ka04d4115_jetting")</f>
        <v>n12_ka04d4115_jetting</v>
      </c>
      <c r="D604" s="2">
        <f ca="1">IFERROR(__xludf.DUMMYFUNCTION("""COMPUTED_VALUE"""),41640)</f>
        <v>41640</v>
      </c>
      <c r="E604" s="3">
        <f ca="1">IFERROR(__xludf.DUMMYFUNCTION("""COMPUTED_VALUE"""),0.693564814813726)</f>
        <v>0.693564814813726</v>
      </c>
      <c r="F604" s="1">
        <f ca="1">IFERROR(__xludf.DUMMYFUNCTION("""COMPUTED_VALUE"""),24789)</f>
        <v>24789</v>
      </c>
      <c r="G604" s="1" t="str">
        <f ca="1">IFERROR(__xludf.DUMMYFUNCTION("""COMPUTED_VALUE"""),"13.0187/77.5962")</f>
        <v>13.0187/77.5962</v>
      </c>
      <c r="H604" s="1" t="str">
        <f ca="1">IFERROR(__xludf.DUMMYFUNCTION("""COMPUTED_VALUE"""),"RT Nagar")</f>
        <v>RT Nagar</v>
      </c>
      <c r="I604" s="1"/>
      <c r="J604" s="1" t="str">
        <f ca="1">IFERROR(__xludf.DUMMYFUNCTION("""COMPUTED_VALUE"""),"0d 00h 00m")</f>
        <v>0d 00h 00m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>
      <c r="A605" s="1">
        <f ca="1">IFERROR(__xludf.DUMMYFUNCTION("""COMPUTED_VALUE"""),86)</f>
        <v>86</v>
      </c>
      <c r="B605" s="1" t="str">
        <f ca="1">IFERROR(__xludf.DUMMYFUNCTION("""COMPUTED_VALUE"""),"N12_KA04D4115_JETTING")</f>
        <v>N12_KA04D4115_JETTING</v>
      </c>
      <c r="C605" s="1" t="str">
        <f ca="1">IFERROR(__xludf.DUMMYFUNCTION("""COMPUTED_VALUE"""),"n12_ka04d4115_jetting")</f>
        <v>n12_ka04d4115_jetting</v>
      </c>
      <c r="D605" s="2">
        <f ca="1">IFERROR(__xludf.DUMMYFUNCTION("""COMPUTED_VALUE"""),41640)</f>
        <v>41640</v>
      </c>
      <c r="E605" s="3">
        <f ca="1">IFERROR(__xludf.DUMMYFUNCTION("""COMPUTED_VALUE"""),0.693564814813726)</f>
        <v>0.693564814813726</v>
      </c>
      <c r="F605" s="1">
        <f ca="1">IFERROR(__xludf.DUMMYFUNCTION("""COMPUTED_VALUE"""),24789)</f>
        <v>24789</v>
      </c>
      <c r="G605" s="1" t="str">
        <f ca="1">IFERROR(__xludf.DUMMYFUNCTION("""COMPUTED_VALUE"""),"13.0187/77.5962")</f>
        <v>13.0187/77.5962</v>
      </c>
      <c r="H605" s="1" t="str">
        <f ca="1">IFERROR(__xludf.DUMMYFUNCTION("""COMPUTED_VALUE"""),"RT Nagar")</f>
        <v>RT Nagar</v>
      </c>
      <c r="I605" s="1"/>
      <c r="J605" s="1" t="str">
        <f ca="1">IFERROR(__xludf.DUMMYFUNCTION("""COMPUTED_VALUE"""),"0d 00h 00m")</f>
        <v>0d 00h 00m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>
      <c r="A606" s="1">
        <f ca="1">IFERROR(__xludf.DUMMYFUNCTION("""COMPUTED_VALUE"""),215)</f>
        <v>215</v>
      </c>
      <c r="B606" s="1" t="str">
        <f ca="1">IFERROR(__xludf.DUMMYFUNCTION("""COMPUTED_VALUE"""),"N1_KA04AA9031_Desilting")</f>
        <v>N1_KA04AA9031_Desilting</v>
      </c>
      <c r="C606" s="1" t="str">
        <f ca="1">IFERROR(__xludf.DUMMYFUNCTION("""COMPUTED_VALUE"""),"n1_ka04aa9031_desilting")</f>
        <v>n1_ka04aa9031_desilting</v>
      </c>
      <c r="D606" s="2">
        <f ca="1">IFERROR(__xludf.DUMMYFUNCTION("""COMPUTED_VALUE"""),44707)</f>
        <v>44707</v>
      </c>
      <c r="E606" s="3">
        <f ca="1">IFERROR(__xludf.DUMMYFUNCTION("""COMPUTED_VALUE"""),0.999247685183945)</f>
        <v>0.99924768518394502</v>
      </c>
      <c r="F606" s="1">
        <f ca="1">IFERROR(__xludf.DUMMYFUNCTION("""COMPUTED_VALUE"""),11270)</f>
        <v>11270</v>
      </c>
      <c r="G606" s="1" t="str">
        <f ca="1">IFERROR(__xludf.DUMMYFUNCTION("""COMPUTED_VALUE"""),"13.0622/77.5049")</f>
        <v>13.0622/77.5049</v>
      </c>
      <c r="H606" s="1" t="str">
        <f ca="1">IFERROR(__xludf.DUMMYFUNCTION("""COMPUTED_VALUE"""),"Bagalkunti")</f>
        <v>Bagalkunti</v>
      </c>
      <c r="I606" s="1"/>
      <c r="J606" s="1" t="str">
        <f ca="1">IFERROR(__xludf.DUMMYFUNCTION("""COMPUTED_VALUE"""),"0d 00h 00m")</f>
        <v>0d 00h 00m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>
      <c r="A607" s="1">
        <f ca="1">IFERROR(__xludf.DUMMYFUNCTION("""COMPUTED_VALUE"""),230)</f>
        <v>230</v>
      </c>
      <c r="B607" s="1" t="str">
        <f ca="1">IFERROR(__xludf.DUMMYFUNCTION("""COMPUTED_VALUE"""),"N1_KA04AA9031_Desilting")</f>
        <v>N1_KA04AA9031_Desilting</v>
      </c>
      <c r="C607" s="1" t="str">
        <f ca="1">IFERROR(__xludf.DUMMYFUNCTION("""COMPUTED_VALUE"""),"n1_ka04aa9031_desilting")</f>
        <v>n1_ka04aa9031_desilting</v>
      </c>
      <c r="D607" s="2">
        <f ca="1">IFERROR(__xludf.DUMMYFUNCTION("""COMPUTED_VALUE"""),44738)</f>
        <v>44738</v>
      </c>
      <c r="E607" s="3">
        <f ca="1">IFERROR(__xludf.DUMMYFUNCTION("""COMPUTED_VALUE"""),0.999282407407008)</f>
        <v>0.99928240740700802</v>
      </c>
      <c r="F607" s="1">
        <f ca="1">IFERROR(__xludf.DUMMYFUNCTION("""COMPUTED_VALUE"""),11790)</f>
        <v>11790</v>
      </c>
      <c r="G607" s="1" t="str">
        <f ca="1">IFERROR(__xludf.DUMMYFUNCTION("""COMPUTED_VALUE"""),"13.0621/77.5048")</f>
        <v>13.0621/77.5048</v>
      </c>
      <c r="H607" s="1" t="str">
        <f ca="1">IFERROR(__xludf.DUMMYFUNCTION("""COMPUTED_VALUE"""),"Bagalkunti")</f>
        <v>Bagalkunti</v>
      </c>
      <c r="I607" s="1"/>
      <c r="J607" s="1" t="str">
        <f ca="1">IFERROR(__xludf.DUMMYFUNCTION("""COMPUTED_VALUE"""),"0d 00h 00m")</f>
        <v>0d 00h 00m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>
      <c r="A608" s="1">
        <f ca="1">IFERROR(__xludf.DUMMYFUNCTION("""COMPUTED_VALUE"""),178)</f>
        <v>178</v>
      </c>
      <c r="B608" s="1" t="str">
        <f ca="1">IFERROR(__xludf.DUMMYFUNCTION("""COMPUTED_VALUE"""),"N1_KA04AA9031_Desilting")</f>
        <v>N1_KA04AA9031_Desilting</v>
      </c>
      <c r="C608" s="1" t="str">
        <f ca="1">IFERROR(__xludf.DUMMYFUNCTION("""COMPUTED_VALUE"""),"n1_ka04aa9031_desilting")</f>
        <v>n1_ka04aa9031_desilting</v>
      </c>
      <c r="D608" s="2">
        <f ca="1">IFERROR(__xludf.DUMMYFUNCTION("""COMPUTED_VALUE"""),44768)</f>
        <v>44768</v>
      </c>
      <c r="E608" s="3">
        <f ca="1">IFERROR(__xludf.DUMMYFUNCTION("""COMPUTED_VALUE"""),0.999027777776063)</f>
        <v>0.999027777776063</v>
      </c>
      <c r="F608" s="1">
        <f ca="1">IFERROR(__xludf.DUMMYFUNCTION("""COMPUTED_VALUE"""),11832)</f>
        <v>11832</v>
      </c>
      <c r="G608" s="1" t="str">
        <f ca="1">IFERROR(__xludf.DUMMYFUNCTION("""COMPUTED_VALUE"""),"13.0103/77.5666")</f>
        <v>13.0103/77.5666</v>
      </c>
      <c r="H608" s="1" t="str">
        <f ca="1">IFERROR(__xludf.DUMMYFUNCTION("""COMPUTED_VALUE"""),"Malleshwaram")</f>
        <v>Malleshwaram</v>
      </c>
      <c r="I608" s="1"/>
      <c r="J608" s="1" t="str">
        <f ca="1">IFERROR(__xludf.DUMMYFUNCTION("""COMPUTED_VALUE"""),"0d 00h 00m")</f>
        <v>0d 00h 00m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>
      <c r="A609" s="1">
        <f ca="1">IFERROR(__xludf.DUMMYFUNCTION("""COMPUTED_VALUE"""),215)</f>
        <v>215</v>
      </c>
      <c r="B609" s="1" t="str">
        <f ca="1">IFERROR(__xludf.DUMMYFUNCTION("""COMPUTED_VALUE"""),"N1_KA04AA9031_Desilting")</f>
        <v>N1_KA04AA9031_Desilting</v>
      </c>
      <c r="C609" s="1" t="str">
        <f ca="1">IFERROR(__xludf.DUMMYFUNCTION("""COMPUTED_VALUE"""),"n1_ka04aa9031_desilting")</f>
        <v>n1_ka04aa9031_desilting</v>
      </c>
      <c r="D609" s="2">
        <f ca="1">IFERROR(__xludf.DUMMYFUNCTION("""COMPUTED_VALUE"""),44799)</f>
        <v>44799</v>
      </c>
      <c r="E609" s="3">
        <f ca="1">IFERROR(__xludf.DUMMYFUNCTION("""COMPUTED_VALUE"""),0.999189814814599)</f>
        <v>0.99918981481459901</v>
      </c>
      <c r="F609" s="1">
        <f ca="1">IFERROR(__xludf.DUMMYFUNCTION("""COMPUTED_VALUE"""),12214)</f>
        <v>12214</v>
      </c>
      <c r="G609" s="1" t="str">
        <f ca="1">IFERROR(__xludf.DUMMYFUNCTION("""COMPUTED_VALUE"""),"13.0622/77.5048")</f>
        <v>13.0622/77.5048</v>
      </c>
      <c r="H609" s="1" t="str">
        <f ca="1">IFERROR(__xludf.DUMMYFUNCTION("""COMPUTED_VALUE"""),"Bagalkunti")</f>
        <v>Bagalkunti</v>
      </c>
      <c r="I609" s="1"/>
      <c r="J609" s="1" t="str">
        <f ca="1">IFERROR(__xludf.DUMMYFUNCTION("""COMPUTED_VALUE"""),"0d 00h 00m")</f>
        <v>0d 00h 00m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>
      <c r="A610" s="1">
        <f ca="1">IFERROR(__xludf.DUMMYFUNCTION("""COMPUTED_VALUE"""),227)</f>
        <v>227</v>
      </c>
      <c r="B610" s="1" t="str">
        <f ca="1">IFERROR(__xludf.DUMMYFUNCTION("""COMPUTED_VALUE"""),"N1_KA04AA9031_Desilting")</f>
        <v>N1_KA04AA9031_Desilting</v>
      </c>
      <c r="C610" s="1" t="str">
        <f ca="1">IFERROR(__xludf.DUMMYFUNCTION("""COMPUTED_VALUE"""),"n1_ka04aa9031_desilting")</f>
        <v>n1_ka04aa9031_desilting</v>
      </c>
      <c r="D610" s="2">
        <f ca="1">IFERROR(__xludf.DUMMYFUNCTION("""COMPUTED_VALUE"""),44830)</f>
        <v>44830</v>
      </c>
      <c r="E610" s="3">
        <f ca="1">IFERROR(__xludf.DUMMYFUNCTION("""COMPUTED_VALUE"""),0.999247685183945)</f>
        <v>0.99924768518394502</v>
      </c>
      <c r="F610" s="1">
        <f ca="1">IFERROR(__xludf.DUMMYFUNCTION("""COMPUTED_VALUE"""),12737)</f>
        <v>12737</v>
      </c>
      <c r="G610" s="1" t="str">
        <f ca="1">IFERROR(__xludf.DUMMYFUNCTION("""COMPUTED_VALUE"""),"13.0622/77.5049")</f>
        <v>13.0622/77.5049</v>
      </c>
      <c r="H610" s="1" t="str">
        <f ca="1">IFERROR(__xludf.DUMMYFUNCTION("""COMPUTED_VALUE"""),"Bagalkunti")</f>
        <v>Bagalkunti</v>
      </c>
      <c r="I610" s="1"/>
      <c r="J610" s="1" t="str">
        <f ca="1">IFERROR(__xludf.DUMMYFUNCTION("""COMPUTED_VALUE"""),"0d 00h 00m")</f>
        <v>0d 00h 00m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>
      <c r="A611" s="1">
        <f ca="1">IFERROR(__xludf.DUMMYFUNCTION("""COMPUTED_VALUE"""),194)</f>
        <v>194</v>
      </c>
      <c r="B611" s="1" t="str">
        <f ca="1">IFERROR(__xludf.DUMMYFUNCTION("""COMPUTED_VALUE"""),"N1_KA04AA9031_Desilting")</f>
        <v>N1_KA04AA9031_Desilting</v>
      </c>
      <c r="C611" s="1" t="str">
        <f ca="1">IFERROR(__xludf.DUMMYFUNCTION("""COMPUTED_VALUE"""),"n1_ka04aa9031_desilting")</f>
        <v>n1_ka04aa9031_desilting</v>
      </c>
      <c r="D611" s="2">
        <f ca="1">IFERROR(__xludf.DUMMYFUNCTION("""COMPUTED_VALUE"""),44860)</f>
        <v>44860</v>
      </c>
      <c r="E611" s="3">
        <f ca="1">IFERROR(__xludf.DUMMYFUNCTION("""COMPUTED_VALUE"""),0.999131944445252)</f>
        <v>0.999131944445252</v>
      </c>
      <c r="F611" s="1">
        <f ca="1">IFERROR(__xludf.DUMMYFUNCTION("""COMPUTED_VALUE"""),13360)</f>
        <v>13360</v>
      </c>
      <c r="G611" s="1" t="str">
        <f ca="1">IFERROR(__xludf.DUMMYFUNCTION("""COMPUTED_VALUE"""),"13.0624/77.5049")</f>
        <v>13.0624/77.5049</v>
      </c>
      <c r="H611" s="1" t="str">
        <f ca="1">IFERROR(__xludf.DUMMYFUNCTION("""COMPUTED_VALUE"""),"Bagalkunti")</f>
        <v>Bagalkunti</v>
      </c>
      <c r="I611" s="1"/>
      <c r="J611" s="1" t="str">
        <f ca="1">IFERROR(__xludf.DUMMYFUNCTION("""COMPUTED_VALUE"""),"0d 00h 00m")</f>
        <v>0d 00h 00m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>
      <c r="A612" s="1">
        <f ca="1">IFERROR(__xludf.DUMMYFUNCTION("""COMPUTED_VALUE"""),119)</f>
        <v>119</v>
      </c>
      <c r="B612" s="1" t="str">
        <f ca="1">IFERROR(__xludf.DUMMYFUNCTION("""COMPUTED_VALUE"""),"N1_KA04AB6025_JETTING")</f>
        <v>N1_KA04AB6025_JETTING</v>
      </c>
      <c r="C612" s="1" t="str">
        <f ca="1">IFERROR(__xludf.DUMMYFUNCTION("""COMPUTED_VALUE"""),"n1_ka04ab6025_jetting")</f>
        <v>n1_ka04ab6025_jetting</v>
      </c>
      <c r="D612" s="2">
        <f ca="1">IFERROR(__xludf.DUMMYFUNCTION("""COMPUTED_VALUE"""),44706)</f>
        <v>44706</v>
      </c>
      <c r="E612" s="3">
        <f ca="1">IFERROR(__xludf.DUMMYFUNCTION("""COMPUTED_VALUE"""),0.951400462963647)</f>
        <v>0.951400462963647</v>
      </c>
      <c r="F612" s="1">
        <f ca="1">IFERROR(__xludf.DUMMYFUNCTION("""COMPUTED_VALUE"""),1609344)</f>
        <v>1609344</v>
      </c>
      <c r="G612" s="1" t="str">
        <f ca="1">IFERROR(__xludf.DUMMYFUNCTION("""COMPUTED_VALUE"""),"13.0620/77.5048")</f>
        <v>13.0620/77.5048</v>
      </c>
      <c r="H612" s="1" t="str">
        <f ca="1">IFERROR(__xludf.DUMMYFUNCTION("""COMPUTED_VALUE"""),"Bagalkunti")</f>
        <v>Bagalkunti</v>
      </c>
      <c r="I612" s="1"/>
      <c r="J612" s="1" t="str">
        <f ca="1">IFERROR(__xludf.DUMMYFUNCTION("""COMPUTED_VALUE"""),"0d 00h 00m")</f>
        <v>0d 00h 00m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>
      <c r="A613" s="1">
        <f ca="1">IFERROR(__xludf.DUMMYFUNCTION("""COMPUTED_VALUE"""),196)</f>
        <v>196</v>
      </c>
      <c r="B613" s="1" t="str">
        <f ca="1">IFERROR(__xludf.DUMMYFUNCTION("""COMPUTED_VALUE"""),"N1_KA04AB6025_JETTING")</f>
        <v>N1_KA04AB6025_JETTING</v>
      </c>
      <c r="C613" s="1" t="str">
        <f ca="1">IFERROR(__xludf.DUMMYFUNCTION("""COMPUTED_VALUE"""),"n1_ka04ab6025_jetting")</f>
        <v>n1_ka04ab6025_jetting</v>
      </c>
      <c r="D613" s="2">
        <f ca="1">IFERROR(__xludf.DUMMYFUNCTION("""COMPUTED_VALUE"""),44738)</f>
        <v>44738</v>
      </c>
      <c r="E613" s="3">
        <f ca="1">IFERROR(__xludf.DUMMYFUNCTION("""COMPUTED_VALUE"""),0.999143518518394)</f>
        <v>0.999143518518394</v>
      </c>
      <c r="F613" s="1">
        <f ca="1">IFERROR(__xludf.DUMMYFUNCTION("""COMPUTED_VALUE"""),1609344)</f>
        <v>1609344</v>
      </c>
      <c r="G613" s="1" t="str">
        <f ca="1">IFERROR(__xludf.DUMMYFUNCTION("""COMPUTED_VALUE"""),"13.0622/77.5049")</f>
        <v>13.0622/77.5049</v>
      </c>
      <c r="H613" s="1" t="str">
        <f ca="1">IFERROR(__xludf.DUMMYFUNCTION("""COMPUTED_VALUE"""),"Bagalkunti")</f>
        <v>Bagalkunti</v>
      </c>
      <c r="I613" s="1"/>
      <c r="J613" s="1" t="str">
        <f ca="1">IFERROR(__xludf.DUMMYFUNCTION("""COMPUTED_VALUE"""),"0d 00h 00m")</f>
        <v>0d 00h 00m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>
      <c r="A614" s="1">
        <f ca="1">IFERROR(__xludf.DUMMYFUNCTION("""COMPUTED_VALUE"""),175)</f>
        <v>175</v>
      </c>
      <c r="B614" s="1" t="str">
        <f ca="1">IFERROR(__xludf.DUMMYFUNCTION("""COMPUTED_VALUE"""),"N1_KA04AB6025_JETTING")</f>
        <v>N1_KA04AB6025_JETTING</v>
      </c>
      <c r="C614" s="1" t="str">
        <f ca="1">IFERROR(__xludf.DUMMYFUNCTION("""COMPUTED_VALUE"""),"n1_ka04ab6025_jetting")</f>
        <v>n1_ka04ab6025_jetting</v>
      </c>
      <c r="D614" s="2">
        <f ca="1">IFERROR(__xludf.DUMMYFUNCTION("""COMPUTED_VALUE"""),44768)</f>
        <v>44768</v>
      </c>
      <c r="E614" s="3">
        <f ca="1">IFERROR(__xludf.DUMMYFUNCTION("""COMPUTED_VALUE"""),0.999016203702922)</f>
        <v>0.99901620370292199</v>
      </c>
      <c r="F614" s="1">
        <f ca="1">IFERROR(__xludf.DUMMYFUNCTION("""COMPUTED_VALUE"""),1609344)</f>
        <v>1609344</v>
      </c>
      <c r="G614" s="1" t="str">
        <f ca="1">IFERROR(__xludf.DUMMYFUNCTION("""COMPUTED_VALUE"""),"13.0625/77.5048")</f>
        <v>13.0625/77.5048</v>
      </c>
      <c r="H614" s="1" t="str">
        <f ca="1">IFERROR(__xludf.DUMMYFUNCTION("""COMPUTED_VALUE"""),"Bagalkunti")</f>
        <v>Bagalkunti</v>
      </c>
      <c r="I614" s="1"/>
      <c r="J614" s="1" t="str">
        <f ca="1">IFERROR(__xludf.DUMMYFUNCTION("""COMPUTED_VALUE"""),"0d 00h 00m")</f>
        <v>0d 00h 00m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>
      <c r="A615" s="1">
        <f ca="1">IFERROR(__xludf.DUMMYFUNCTION("""COMPUTED_VALUE"""),182)</f>
        <v>182</v>
      </c>
      <c r="B615" s="1" t="str">
        <f ca="1">IFERROR(__xludf.DUMMYFUNCTION("""COMPUTED_VALUE"""),"N1_KA04AB6025_JETTING")</f>
        <v>N1_KA04AB6025_JETTING</v>
      </c>
      <c r="C615" s="1" t="str">
        <f ca="1">IFERROR(__xludf.DUMMYFUNCTION("""COMPUTED_VALUE"""),"n1_ka04ab6025_jetting")</f>
        <v>n1_ka04ab6025_jetting</v>
      </c>
      <c r="D615" s="2">
        <f ca="1">IFERROR(__xludf.DUMMYFUNCTION("""COMPUTED_VALUE"""),44799)</f>
        <v>44799</v>
      </c>
      <c r="E615" s="3">
        <f ca="1">IFERROR(__xludf.DUMMYFUNCTION("""COMPUTED_VALUE"""),0.999050925925985)</f>
        <v>0.99905092592598499</v>
      </c>
      <c r="F615" s="1">
        <f ca="1">IFERROR(__xludf.DUMMYFUNCTION("""COMPUTED_VALUE"""),1609345)</f>
        <v>1609345</v>
      </c>
      <c r="G615" s="1" t="str">
        <f ca="1">IFERROR(__xludf.DUMMYFUNCTION("""COMPUTED_VALUE"""),"13.0622/77.5045")</f>
        <v>13.0622/77.5045</v>
      </c>
      <c r="H615" s="1" t="str">
        <f ca="1">IFERROR(__xludf.DUMMYFUNCTION("""COMPUTED_VALUE"""),"Bagalkunti")</f>
        <v>Bagalkunti</v>
      </c>
      <c r="I615" s="1"/>
      <c r="J615" s="1" t="str">
        <f ca="1">IFERROR(__xludf.DUMMYFUNCTION("""COMPUTED_VALUE"""),"0d 00h 00m")</f>
        <v>0d 00h 00m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>
      <c r="A616" s="1">
        <f ca="1">IFERROR(__xludf.DUMMYFUNCTION("""COMPUTED_VALUE"""),190)</f>
        <v>190</v>
      </c>
      <c r="B616" s="1" t="str">
        <f ca="1">IFERROR(__xludf.DUMMYFUNCTION("""COMPUTED_VALUE"""),"N1_KA04AB6025_JETTING")</f>
        <v>N1_KA04AB6025_JETTING</v>
      </c>
      <c r="C616" s="1" t="str">
        <f ca="1">IFERROR(__xludf.DUMMYFUNCTION("""COMPUTED_VALUE"""),"n1_ka04ab6025_jetting")</f>
        <v>n1_ka04ab6025_jetting</v>
      </c>
      <c r="D616" s="2">
        <f ca="1">IFERROR(__xludf.DUMMYFUNCTION("""COMPUTED_VALUE"""),44830)</f>
        <v>44830</v>
      </c>
      <c r="E616" s="3">
        <f ca="1">IFERROR(__xludf.DUMMYFUNCTION("""COMPUTED_VALUE"""),0.999097222222189)</f>
        <v>0.999097222222189</v>
      </c>
      <c r="F616" s="1">
        <f ca="1">IFERROR(__xludf.DUMMYFUNCTION("""COMPUTED_VALUE"""),1609344)</f>
        <v>1609344</v>
      </c>
      <c r="G616" s="1" t="str">
        <f ca="1">IFERROR(__xludf.DUMMYFUNCTION("""COMPUTED_VALUE"""),"13.0623/77.5048")</f>
        <v>13.0623/77.5048</v>
      </c>
      <c r="H616" s="1" t="str">
        <f ca="1">IFERROR(__xludf.DUMMYFUNCTION("""COMPUTED_VALUE"""),"Bagalkunti")</f>
        <v>Bagalkunti</v>
      </c>
      <c r="I616" s="1"/>
      <c r="J616" s="1" t="str">
        <f ca="1">IFERROR(__xludf.DUMMYFUNCTION("""COMPUTED_VALUE"""),"0d 00h 00m")</f>
        <v>0d 00h 00m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>
      <c r="A617" s="1">
        <f ca="1">IFERROR(__xludf.DUMMYFUNCTION("""COMPUTED_VALUE"""),156)</f>
        <v>156</v>
      </c>
      <c r="B617" s="1" t="str">
        <f ca="1">IFERROR(__xludf.DUMMYFUNCTION("""COMPUTED_VALUE"""),"N1_KA04AB6025_JETTING")</f>
        <v>N1_KA04AB6025_JETTING</v>
      </c>
      <c r="C617" s="1" t="str">
        <f ca="1">IFERROR(__xludf.DUMMYFUNCTION("""COMPUTED_VALUE"""),"n1_ka04ab6025_jetting")</f>
        <v>n1_ka04ab6025_jetting</v>
      </c>
      <c r="D617" s="2">
        <f ca="1">IFERROR(__xludf.DUMMYFUNCTION("""COMPUTED_VALUE"""),44860)</f>
        <v>44860</v>
      </c>
      <c r="E617" s="3">
        <f ca="1">IFERROR(__xludf.DUMMYFUNCTION("""COMPUTED_VALUE"""),0.998645833333284)</f>
        <v>0.99864583333328405</v>
      </c>
      <c r="F617" s="1">
        <f ca="1">IFERROR(__xludf.DUMMYFUNCTION("""COMPUTED_VALUE"""),1609344)</f>
        <v>1609344</v>
      </c>
      <c r="G617" s="1" t="str">
        <f ca="1">IFERROR(__xludf.DUMMYFUNCTION("""COMPUTED_VALUE"""),"13.0621/77.5048")</f>
        <v>13.0621/77.5048</v>
      </c>
      <c r="H617" s="1" t="str">
        <f ca="1">IFERROR(__xludf.DUMMYFUNCTION("""COMPUTED_VALUE"""),"Bagalkunti")</f>
        <v>Bagalkunti</v>
      </c>
      <c r="I617" s="1"/>
      <c r="J617" s="1" t="str">
        <f ca="1">IFERROR(__xludf.DUMMYFUNCTION("""COMPUTED_VALUE"""),"0d 00h 00m")</f>
        <v>0d 00h 00m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>
      <c r="A618" s="1">
        <f ca="1">IFERROR(__xludf.DUMMYFUNCTION("""COMPUTED_VALUE"""),179)</f>
        <v>179</v>
      </c>
      <c r="B618" s="1" t="str">
        <f ca="1">IFERROR(__xludf.DUMMYFUNCTION("""COMPUTED_VALUE"""),"N1_KA04C5141_Jetting")</f>
        <v>N1_KA04C5141_Jetting</v>
      </c>
      <c r="C618" s="1" t="str">
        <f ca="1">IFERROR(__xludf.DUMMYFUNCTION("""COMPUTED_VALUE"""),"n1_ka04c5141_jetting")</f>
        <v>n1_ka04c5141_jetting</v>
      </c>
      <c r="D618" s="2">
        <f ca="1">IFERROR(__xludf.DUMMYFUNCTION("""COMPUTED_VALUE"""),44707)</f>
        <v>44707</v>
      </c>
      <c r="E618" s="3">
        <f ca="1">IFERROR(__xludf.DUMMYFUNCTION("""COMPUTED_VALUE"""),0.999085648149048)</f>
        <v>0.99908564814904799</v>
      </c>
      <c r="F618" s="1">
        <f ca="1">IFERROR(__xludf.DUMMYFUNCTION("""COMPUTED_VALUE"""),30727)</f>
        <v>30727</v>
      </c>
      <c r="G618" s="1" t="str">
        <f ca="1">IFERROR(__xludf.DUMMYFUNCTION("""COMPUTED_VALUE"""),"13.0622/77.5048")</f>
        <v>13.0622/77.5048</v>
      </c>
      <c r="H618" s="1" t="str">
        <f ca="1">IFERROR(__xludf.DUMMYFUNCTION("""COMPUTED_VALUE"""),"Bagalkunti")</f>
        <v>Bagalkunti</v>
      </c>
      <c r="I618" s="1"/>
      <c r="J618" s="1" t="str">
        <f ca="1">IFERROR(__xludf.DUMMYFUNCTION("""COMPUTED_VALUE"""),"0d 00h 00m")</f>
        <v>0d 00h 00m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>
      <c r="A619" s="1">
        <f ca="1">IFERROR(__xludf.DUMMYFUNCTION("""COMPUTED_VALUE"""),97)</f>
        <v>97</v>
      </c>
      <c r="B619" s="1" t="str">
        <f ca="1">IFERROR(__xludf.DUMMYFUNCTION("""COMPUTED_VALUE"""),"N1_KA04C5141_Jetting")</f>
        <v>N1_KA04C5141_Jetting</v>
      </c>
      <c r="C619" s="1" t="str">
        <f ca="1">IFERROR(__xludf.DUMMYFUNCTION("""COMPUTED_VALUE"""),"n1_ka04c5141_jetting")</f>
        <v>n1_ka04c5141_jetting</v>
      </c>
      <c r="D619" s="2">
        <f ca="1">IFERROR(__xludf.DUMMYFUNCTION("""COMPUTED_VALUE"""),44733)</f>
        <v>44733</v>
      </c>
      <c r="E619" s="3">
        <f ca="1">IFERROR(__xludf.DUMMYFUNCTION("""COMPUTED_VALUE"""),0.385740740741312)</f>
        <v>0.38574074074131198</v>
      </c>
      <c r="F619" s="1">
        <f ca="1">IFERROR(__xludf.DUMMYFUNCTION("""COMPUTED_VALUE"""),30765)</f>
        <v>30765</v>
      </c>
      <c r="G619" s="1" t="str">
        <f ca="1">IFERROR(__xludf.DUMMYFUNCTION("""COMPUTED_VALUE"""),"13.0602/77.5061")</f>
        <v>13.0602/77.5061</v>
      </c>
      <c r="H619" s="1" t="str">
        <f ca="1">IFERROR(__xludf.DUMMYFUNCTION("""COMPUTED_VALUE"""),"Bagulkuntte")</f>
        <v>Bagulkuntte</v>
      </c>
      <c r="I619" s="1"/>
      <c r="J619" s="1" t="str">
        <f ca="1">IFERROR(__xludf.DUMMYFUNCTION("""COMPUTED_VALUE"""),"0d 00h 00m")</f>
        <v>0d 00h 00m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>
      <c r="A620" s="1">
        <f ca="1">IFERROR(__xludf.DUMMYFUNCTION("""COMPUTED_VALUE"""),66)</f>
        <v>66</v>
      </c>
      <c r="B620" s="1" t="str">
        <f ca="1">IFERROR(__xludf.DUMMYFUNCTION("""COMPUTED_VALUE"""),"N1_KA04C5141_Jetting")</f>
        <v>N1_KA04C5141_Jetting</v>
      </c>
      <c r="C620" s="1" t="str">
        <f ca="1">IFERROR(__xludf.DUMMYFUNCTION("""COMPUTED_VALUE"""),"n1_ka04c5141_jetting")</f>
        <v>n1_ka04c5141_jetting</v>
      </c>
      <c r="D620" s="2">
        <f ca="1">IFERROR(__xludf.DUMMYFUNCTION("""COMPUTED_VALUE"""),44733)</f>
        <v>44733</v>
      </c>
      <c r="E620" s="3">
        <f ca="1">IFERROR(__xludf.DUMMYFUNCTION("""COMPUTED_VALUE"""),0.385740740741312)</f>
        <v>0.38574074074131198</v>
      </c>
      <c r="F620" s="1">
        <f ca="1">IFERROR(__xludf.DUMMYFUNCTION("""COMPUTED_VALUE"""),30765)</f>
        <v>30765</v>
      </c>
      <c r="G620" s="1" t="str">
        <f ca="1">IFERROR(__xludf.DUMMYFUNCTION("""COMPUTED_VALUE"""),"13.0602/77.5061")</f>
        <v>13.0602/77.5061</v>
      </c>
      <c r="H620" s="1" t="str">
        <f ca="1">IFERROR(__xludf.DUMMYFUNCTION("""COMPUTED_VALUE"""),"Bagulkuntte")</f>
        <v>Bagulkuntte</v>
      </c>
      <c r="I620" s="1"/>
      <c r="J620" s="1" t="str">
        <f ca="1">IFERROR(__xludf.DUMMYFUNCTION("""COMPUTED_VALUE"""),"0d 00h 00m")</f>
        <v>0d 00h 00m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>
      <c r="A621" s="1">
        <f ca="1">IFERROR(__xludf.DUMMYFUNCTION("""COMPUTED_VALUE"""),60)</f>
        <v>60</v>
      </c>
      <c r="B621" s="1" t="str">
        <f ca="1">IFERROR(__xludf.DUMMYFUNCTION("""COMPUTED_VALUE"""),"N1_KA04C5141_Jetting")</f>
        <v>N1_KA04C5141_Jetting</v>
      </c>
      <c r="C621" s="1" t="str">
        <f ca="1">IFERROR(__xludf.DUMMYFUNCTION("""COMPUTED_VALUE"""),"n1_ka04c5141_jetting")</f>
        <v>n1_ka04c5141_jetting</v>
      </c>
      <c r="D621" s="2">
        <f ca="1">IFERROR(__xludf.DUMMYFUNCTION("""COMPUTED_VALUE"""),44733)</f>
        <v>44733</v>
      </c>
      <c r="E621" s="3">
        <f ca="1">IFERROR(__xludf.DUMMYFUNCTION("""COMPUTED_VALUE"""),0.385740740741312)</f>
        <v>0.38574074074131198</v>
      </c>
      <c r="F621" s="1">
        <f ca="1">IFERROR(__xludf.DUMMYFUNCTION("""COMPUTED_VALUE"""),30765)</f>
        <v>30765</v>
      </c>
      <c r="G621" s="1" t="str">
        <f ca="1">IFERROR(__xludf.DUMMYFUNCTION("""COMPUTED_VALUE"""),"13.0602/77.5061")</f>
        <v>13.0602/77.5061</v>
      </c>
      <c r="H621" s="1" t="str">
        <f ca="1">IFERROR(__xludf.DUMMYFUNCTION("""COMPUTED_VALUE"""),"Bagulkuntte")</f>
        <v>Bagulkuntte</v>
      </c>
      <c r="I621" s="1"/>
      <c r="J621" s="1" t="str">
        <f ca="1">IFERROR(__xludf.DUMMYFUNCTION("""COMPUTED_VALUE"""),"0d 00h 00m")</f>
        <v>0d 00h 00m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>
      <c r="A622" s="1">
        <f ca="1">IFERROR(__xludf.DUMMYFUNCTION("""COMPUTED_VALUE"""),231)</f>
        <v>231</v>
      </c>
      <c r="B622" s="1" t="str">
        <f ca="1">IFERROR(__xludf.DUMMYFUNCTION("""COMPUTED_VALUE"""),"N1_KA04C5141_Jetting")</f>
        <v>N1_KA04C5141_Jetting</v>
      </c>
      <c r="C622" s="1" t="str">
        <f ca="1">IFERROR(__xludf.DUMMYFUNCTION("""COMPUTED_VALUE"""),"n1_ka04c5141_jetting")</f>
        <v>n1_ka04c5141_jetting</v>
      </c>
      <c r="D622" s="2">
        <f ca="1">IFERROR(__xludf.DUMMYFUNCTION("""COMPUTED_VALUE"""),44830)</f>
        <v>44830</v>
      </c>
      <c r="E622" s="3">
        <f ca="1">IFERROR(__xludf.DUMMYFUNCTION("""COMPUTED_VALUE"""),0.999282407407008)</f>
        <v>0.99928240740700802</v>
      </c>
      <c r="F622" s="1">
        <f ca="1">IFERROR(__xludf.DUMMYFUNCTION("""COMPUTED_VALUE"""),31109)</f>
        <v>31109</v>
      </c>
      <c r="G622" s="1" t="str">
        <f ca="1">IFERROR(__xludf.DUMMYFUNCTION("""COMPUTED_VALUE"""),"13.0622/77.5045")</f>
        <v>13.0622/77.5045</v>
      </c>
      <c r="H622" s="1" t="str">
        <f ca="1">IFERROR(__xludf.DUMMYFUNCTION("""COMPUTED_VALUE"""),"Bagalkunti")</f>
        <v>Bagalkunti</v>
      </c>
      <c r="I622" s="1"/>
      <c r="J622" s="1" t="str">
        <f ca="1">IFERROR(__xludf.DUMMYFUNCTION("""COMPUTED_VALUE"""),"0d 00h 00m")</f>
        <v>0d 00h 00m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>
      <c r="A623" s="1">
        <f ca="1">IFERROR(__xludf.DUMMYFUNCTION("""COMPUTED_VALUE"""),234)</f>
        <v>234</v>
      </c>
      <c r="B623" s="1" t="str">
        <f ca="1">IFERROR(__xludf.DUMMYFUNCTION("""COMPUTED_VALUE"""),"N1_KA04C5141_Jetting")</f>
        <v>N1_KA04C5141_Jetting</v>
      </c>
      <c r="C623" s="1" t="str">
        <f ca="1">IFERROR(__xludf.DUMMYFUNCTION("""COMPUTED_VALUE"""),"n1_ka04c5141_jetting")</f>
        <v>n1_ka04c5141_jetting</v>
      </c>
      <c r="D623" s="2">
        <f ca="1">IFERROR(__xludf.DUMMYFUNCTION("""COMPUTED_VALUE"""),44860)</f>
        <v>44860</v>
      </c>
      <c r="E623" s="3">
        <f ca="1">IFERROR(__xludf.DUMMYFUNCTION("""COMPUTED_VALUE"""),0.999305555556929)</f>
        <v>0.99930555555692901</v>
      </c>
      <c r="F623" s="1">
        <f ca="1">IFERROR(__xludf.DUMMYFUNCTION("""COMPUTED_VALUE"""),31402)</f>
        <v>31402</v>
      </c>
      <c r="G623" s="1" t="str">
        <f ca="1">IFERROR(__xludf.DUMMYFUNCTION("""COMPUTED_VALUE"""),"13.0622/77.5045")</f>
        <v>13.0622/77.5045</v>
      </c>
      <c r="H623" s="1" t="str">
        <f ca="1">IFERROR(__xludf.DUMMYFUNCTION("""COMPUTED_VALUE"""),"Bagalkunti")</f>
        <v>Bagalkunti</v>
      </c>
      <c r="I623" s="1"/>
      <c r="J623" s="1" t="str">
        <f ca="1">IFERROR(__xludf.DUMMYFUNCTION("""COMPUTED_VALUE"""),"0d 00h 00m")</f>
        <v>0d 00h 00m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>
      <c r="A624" s="1">
        <f ca="1">IFERROR(__xludf.DUMMYFUNCTION("""COMPUTED_VALUE"""),64)</f>
        <v>64</v>
      </c>
      <c r="B624" s="1" t="str">
        <f ca="1">IFERROR(__xludf.DUMMYFUNCTION("""COMPUTED_VALUE"""),"N1_KA04D4274_Jetting")</f>
        <v>N1_KA04D4274_Jetting</v>
      </c>
      <c r="C624" s="1" t="str">
        <f ca="1">IFERROR(__xludf.DUMMYFUNCTION("""COMPUTED_VALUE"""),"n1_ka04d4274_jetting")</f>
        <v>n1_ka04d4274_jetting</v>
      </c>
      <c r="D624" s="2">
        <f ca="1">IFERROR(__xludf.DUMMYFUNCTION("""COMPUTED_VALUE"""),44676)</f>
        <v>44676</v>
      </c>
      <c r="E624" s="3">
        <f ca="1">IFERROR(__xludf.DUMMYFUNCTION("""COMPUTED_VALUE"""),0.937546296296204)</f>
        <v>0.93754629629620401</v>
      </c>
      <c r="F624" s="1">
        <f ca="1">IFERROR(__xludf.DUMMYFUNCTION("""COMPUTED_VALUE"""),1609348)</f>
        <v>1609348</v>
      </c>
      <c r="G624" s="1" t="str">
        <f ca="1">IFERROR(__xludf.DUMMYFUNCTION("""COMPUTED_VALUE"""),"13.0619/77.5050")</f>
        <v>13.0619/77.5050</v>
      </c>
      <c r="H624" s="1" t="str">
        <f ca="1">IFERROR(__xludf.DUMMYFUNCTION("""COMPUTED_VALUE"""),"Bagalkunti")</f>
        <v>Bagalkunti</v>
      </c>
      <c r="I624" s="1"/>
      <c r="J624" s="1" t="str">
        <f ca="1">IFERROR(__xludf.DUMMYFUNCTION("""COMPUTED_VALUE"""),"0d 00h 01m")</f>
        <v>0d 00h 01m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>
      <c r="A625" s="1">
        <f ca="1">IFERROR(__xludf.DUMMYFUNCTION("""COMPUTED_VALUE"""),207)</f>
        <v>207</v>
      </c>
      <c r="B625" s="1" t="str">
        <f ca="1">IFERROR(__xludf.DUMMYFUNCTION("""COMPUTED_VALUE"""),"N1_KA04D4274_Jetting")</f>
        <v>N1_KA04D4274_Jetting</v>
      </c>
      <c r="C625" s="1" t="str">
        <f ca="1">IFERROR(__xludf.DUMMYFUNCTION("""COMPUTED_VALUE"""),"n1_ka04d4274_jetting")</f>
        <v>n1_ka04d4274_jetting</v>
      </c>
      <c r="D625" s="2">
        <f ca="1">IFERROR(__xludf.DUMMYFUNCTION("""COMPUTED_VALUE"""),44738)</f>
        <v>44738</v>
      </c>
      <c r="E625" s="3">
        <f ca="1">IFERROR(__xludf.DUMMYFUNCTION("""COMPUTED_VALUE"""),0.999189814814599)</f>
        <v>0.99918981481459901</v>
      </c>
      <c r="F625" s="1">
        <f ca="1">IFERROR(__xludf.DUMMYFUNCTION("""COMPUTED_VALUE"""),1609344)</f>
        <v>1609344</v>
      </c>
      <c r="G625" s="1" t="str">
        <f ca="1">IFERROR(__xludf.DUMMYFUNCTION("""COMPUTED_VALUE"""),"13.0621/77.5049")</f>
        <v>13.0621/77.5049</v>
      </c>
      <c r="H625" s="1" t="str">
        <f ca="1">IFERROR(__xludf.DUMMYFUNCTION("""COMPUTED_VALUE"""),"Bagalkunti")</f>
        <v>Bagalkunti</v>
      </c>
      <c r="I625" s="1"/>
      <c r="J625" s="1" t="str">
        <f ca="1">IFERROR(__xludf.DUMMYFUNCTION("""COMPUTED_VALUE"""),"0d 00h 02m")</f>
        <v>0d 00h 02m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>
      <c r="A626" s="1">
        <f ca="1">IFERROR(__xludf.DUMMYFUNCTION("""COMPUTED_VALUE"""),190)</f>
        <v>190</v>
      </c>
      <c r="B626" s="1" t="str">
        <f ca="1">IFERROR(__xludf.DUMMYFUNCTION("""COMPUTED_VALUE"""),"N1_KA04D4274_Jetting")</f>
        <v>N1_KA04D4274_Jetting</v>
      </c>
      <c r="C626" s="1" t="str">
        <f ca="1">IFERROR(__xludf.DUMMYFUNCTION("""COMPUTED_VALUE"""),"n1_ka04d4274_jetting")</f>
        <v>n1_ka04d4274_jetting</v>
      </c>
      <c r="D626" s="2">
        <f ca="1">IFERROR(__xludf.DUMMYFUNCTION("""COMPUTED_VALUE"""),44768)</f>
        <v>44768</v>
      </c>
      <c r="E626" s="3">
        <f ca="1">IFERROR(__xludf.DUMMYFUNCTION("""COMPUTED_VALUE"""),0.999085648149048)</f>
        <v>0.99908564814904799</v>
      </c>
      <c r="F626" s="1">
        <f ca="1">IFERROR(__xludf.DUMMYFUNCTION("""COMPUTED_VALUE"""),1609344)</f>
        <v>1609344</v>
      </c>
      <c r="G626" s="1" t="str">
        <f ca="1">IFERROR(__xludf.DUMMYFUNCTION("""COMPUTED_VALUE"""),"13.0622/77.5049")</f>
        <v>13.0622/77.5049</v>
      </c>
      <c r="H626" s="1" t="str">
        <f ca="1">IFERROR(__xludf.DUMMYFUNCTION("""COMPUTED_VALUE"""),"Bagalkunti")</f>
        <v>Bagalkunti</v>
      </c>
      <c r="I626" s="1"/>
      <c r="J626" s="1" t="str">
        <f ca="1">IFERROR(__xludf.DUMMYFUNCTION("""COMPUTED_VALUE"""),"0d 00h 03m")</f>
        <v>0d 00h 03m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>
      <c r="A627" s="1">
        <f ca="1">IFERROR(__xludf.DUMMYFUNCTION("""COMPUTED_VALUE"""),220)</f>
        <v>220</v>
      </c>
      <c r="B627" s="1" t="str">
        <f ca="1">IFERROR(__xludf.DUMMYFUNCTION("""COMPUTED_VALUE"""),"N1_KA04D4274_Jetting")</f>
        <v>N1_KA04D4274_Jetting</v>
      </c>
      <c r="C627" s="1" t="str">
        <f ca="1">IFERROR(__xludf.DUMMYFUNCTION("""COMPUTED_VALUE"""),"n1_ka04d4274_jetting")</f>
        <v>n1_ka04d4274_jetting</v>
      </c>
      <c r="D627" s="2">
        <f ca="1">IFERROR(__xludf.DUMMYFUNCTION("""COMPUTED_VALUE"""),44799)</f>
        <v>44799</v>
      </c>
      <c r="E627" s="3">
        <f ca="1">IFERROR(__xludf.DUMMYFUNCTION("""COMPUTED_VALUE"""),0.99920138888774)</f>
        <v>0.99920138888774002</v>
      </c>
      <c r="F627" s="1">
        <f ca="1">IFERROR(__xludf.DUMMYFUNCTION("""COMPUTED_VALUE"""),1609344)</f>
        <v>1609344</v>
      </c>
      <c r="G627" s="1" t="str">
        <f ca="1">IFERROR(__xludf.DUMMYFUNCTION("""COMPUTED_VALUE"""),"13.0622/77.5049")</f>
        <v>13.0622/77.5049</v>
      </c>
      <c r="H627" s="1" t="str">
        <f ca="1">IFERROR(__xludf.DUMMYFUNCTION("""COMPUTED_VALUE"""),"Bagalkunti")</f>
        <v>Bagalkunti</v>
      </c>
      <c r="I627" s="1"/>
      <c r="J627" s="1" t="str">
        <f ca="1">IFERROR(__xludf.DUMMYFUNCTION("""COMPUTED_VALUE"""),"0d 00h 00m")</f>
        <v>0d 00h 00m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>
      <c r="A628" s="1">
        <f ca="1">IFERROR(__xludf.DUMMYFUNCTION("""COMPUTED_VALUE"""),183)</f>
        <v>183</v>
      </c>
      <c r="B628" s="1" t="str">
        <f ca="1">IFERROR(__xludf.DUMMYFUNCTION("""COMPUTED_VALUE"""),"N1_KA04D4274_Jetting")</f>
        <v>N1_KA04D4274_Jetting</v>
      </c>
      <c r="C628" s="1" t="str">
        <f ca="1">IFERROR(__xludf.DUMMYFUNCTION("""COMPUTED_VALUE"""),"n1_ka04d4274_jetting")</f>
        <v>n1_ka04d4274_jetting</v>
      </c>
      <c r="D628" s="2">
        <f ca="1">IFERROR(__xludf.DUMMYFUNCTION("""COMPUTED_VALUE"""),44830)</f>
        <v>44830</v>
      </c>
      <c r="E628" s="3">
        <f ca="1">IFERROR(__xludf.DUMMYFUNCTION("""COMPUTED_VALUE"""),0.999074074072268)</f>
        <v>0.999074074072268</v>
      </c>
      <c r="F628" s="1">
        <f ca="1">IFERROR(__xludf.DUMMYFUNCTION("""COMPUTED_VALUE"""),1609344)</f>
        <v>1609344</v>
      </c>
      <c r="G628" s="1" t="str">
        <f ca="1">IFERROR(__xludf.DUMMYFUNCTION("""COMPUTED_VALUE"""),"13.0621/77.5048")</f>
        <v>13.0621/77.5048</v>
      </c>
      <c r="H628" s="1" t="str">
        <f ca="1">IFERROR(__xludf.DUMMYFUNCTION("""COMPUTED_VALUE"""),"Bagalkunti")</f>
        <v>Bagalkunti</v>
      </c>
      <c r="I628" s="1"/>
      <c r="J628" s="1" t="str">
        <f ca="1">IFERROR(__xludf.DUMMYFUNCTION("""COMPUTED_VALUE"""),"0d 00h 01m")</f>
        <v>0d 00h 01m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>
      <c r="A629" s="1">
        <f ca="1">IFERROR(__xludf.DUMMYFUNCTION("""COMPUTED_VALUE"""),225)</f>
        <v>225</v>
      </c>
      <c r="B629" s="1" t="str">
        <f ca="1">IFERROR(__xludf.DUMMYFUNCTION("""COMPUTED_VALUE"""),"N1_KA04D4274_Jetting")</f>
        <v>N1_KA04D4274_Jetting</v>
      </c>
      <c r="C629" s="1" t="str">
        <f ca="1">IFERROR(__xludf.DUMMYFUNCTION("""COMPUTED_VALUE"""),"n1_ka04d4274_jetting")</f>
        <v>n1_ka04d4274_jetting</v>
      </c>
      <c r="D629" s="2">
        <f ca="1">IFERROR(__xludf.DUMMYFUNCTION("""COMPUTED_VALUE"""),44860)</f>
        <v>44860</v>
      </c>
      <c r="E629" s="3">
        <f ca="1">IFERROR(__xludf.DUMMYFUNCTION("""COMPUTED_VALUE"""),0.999259259260725)</f>
        <v>0.99925925926072501</v>
      </c>
      <c r="F629" s="1">
        <f ca="1">IFERROR(__xludf.DUMMYFUNCTION("""COMPUTED_VALUE"""),1609344)</f>
        <v>1609344</v>
      </c>
      <c r="G629" s="1" t="str">
        <f ca="1">IFERROR(__xludf.DUMMYFUNCTION("""COMPUTED_VALUE"""),"13.0620/77.5044")</f>
        <v>13.0620/77.5044</v>
      </c>
      <c r="H629" s="1" t="str">
        <f ca="1">IFERROR(__xludf.DUMMYFUNCTION("""COMPUTED_VALUE"""),"Bagalkunti")</f>
        <v>Bagalkunti</v>
      </c>
      <c r="I629" s="1"/>
      <c r="J629" s="1" t="str">
        <f ca="1">IFERROR(__xludf.DUMMYFUNCTION("""COMPUTED_VALUE"""),"0d 00h 02m")</f>
        <v>0d 00h 02m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>
      <c r="A630" s="1">
        <f ca="1">IFERROR(__xludf.DUMMYFUNCTION("""COMPUTED_VALUE"""),197)</f>
        <v>197</v>
      </c>
      <c r="B630" s="1" t="str">
        <f ca="1">IFERROR(__xludf.DUMMYFUNCTION("""COMPUTED_VALUE"""),"N1_KA04D5126_Tanker")</f>
        <v>N1_KA04D5126_Tanker</v>
      </c>
      <c r="C630" s="1" t="str">
        <f ca="1">IFERROR(__xludf.DUMMYFUNCTION("""COMPUTED_VALUE"""),"n1_ka04d5126_tanker")</f>
        <v>n1_ka04d5126_tanker</v>
      </c>
      <c r="D630" s="2">
        <f ca="1">IFERROR(__xludf.DUMMYFUNCTION("""COMPUTED_VALUE"""),44707)</f>
        <v>44707</v>
      </c>
      <c r="E630" s="3">
        <f ca="1">IFERROR(__xludf.DUMMYFUNCTION("""COMPUTED_VALUE"""),0.999189814814599)</f>
        <v>0.99918981481459901</v>
      </c>
      <c r="F630" s="1">
        <f ca="1">IFERROR(__xludf.DUMMYFUNCTION("""COMPUTED_VALUE"""),14659)</f>
        <v>14659</v>
      </c>
      <c r="G630" s="1" t="str">
        <f ca="1">IFERROR(__xludf.DUMMYFUNCTION("""COMPUTED_VALUE"""),"13.0621/77.5046")</f>
        <v>13.0621/77.5046</v>
      </c>
      <c r="H630" s="1" t="str">
        <f ca="1">IFERROR(__xludf.DUMMYFUNCTION("""COMPUTED_VALUE"""),"Bagalkunti")</f>
        <v>Bagalkunti</v>
      </c>
      <c r="I630" s="1"/>
      <c r="J630" s="1" t="str">
        <f ca="1">IFERROR(__xludf.DUMMYFUNCTION("""COMPUTED_VALUE"""),"0d 00h 00m")</f>
        <v>0d 00h 00m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>
      <c r="A631" s="1">
        <f ca="1">IFERROR(__xludf.DUMMYFUNCTION("""COMPUTED_VALUE"""),143)</f>
        <v>143</v>
      </c>
      <c r="B631" s="1" t="str">
        <f ca="1">IFERROR(__xludf.DUMMYFUNCTION("""COMPUTED_VALUE"""),"N1_KA04D5126_Tanker")</f>
        <v>N1_KA04D5126_Tanker</v>
      </c>
      <c r="C631" s="1" t="str">
        <f ca="1">IFERROR(__xludf.DUMMYFUNCTION("""COMPUTED_VALUE"""),"n1_ka04d5126_tanker")</f>
        <v>n1_ka04d5126_tanker</v>
      </c>
      <c r="D631" s="2">
        <f ca="1">IFERROR(__xludf.DUMMYFUNCTION("""COMPUTED_VALUE"""),44738)</f>
        <v>44738</v>
      </c>
      <c r="E631" s="3">
        <f ca="1">IFERROR(__xludf.DUMMYFUNCTION("""COMPUTED_VALUE"""),0.552430555555474)</f>
        <v>0.55243055555547405</v>
      </c>
      <c r="F631" s="1">
        <f ca="1">IFERROR(__xludf.DUMMYFUNCTION("""COMPUTED_VALUE"""),14710)</f>
        <v>14710</v>
      </c>
      <c r="G631" s="1" t="str">
        <f ca="1">IFERROR(__xludf.DUMMYFUNCTION("""COMPUTED_VALUE"""),"13.0620/77.5048")</f>
        <v>13.0620/77.5048</v>
      </c>
      <c r="H631" s="1" t="str">
        <f ca="1">IFERROR(__xludf.DUMMYFUNCTION("""COMPUTED_VALUE"""),"Bagalkunti")</f>
        <v>Bagalkunti</v>
      </c>
      <c r="I631" s="1"/>
      <c r="J631" s="1" t="str">
        <f ca="1">IFERROR(__xludf.DUMMYFUNCTION("""COMPUTED_VALUE"""),"0d 00h 00m")</f>
        <v>0d 00h 00m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>
      <c r="A632" s="1">
        <f ca="1">IFERROR(__xludf.DUMMYFUNCTION("""COMPUTED_VALUE"""),107)</f>
        <v>107</v>
      </c>
      <c r="B632" s="1" t="str">
        <f ca="1">IFERROR(__xludf.DUMMYFUNCTION("""COMPUTED_VALUE"""),"N1_KA04D5126_Tanker")</f>
        <v>N1_KA04D5126_Tanker</v>
      </c>
      <c r="C632" s="1" t="str">
        <f ca="1">IFERROR(__xludf.DUMMYFUNCTION("""COMPUTED_VALUE"""),"n1_ka04d5126_tanker")</f>
        <v>n1_ka04d5126_tanker</v>
      </c>
      <c r="D632" s="2">
        <f ca="1">IFERROR(__xludf.DUMMYFUNCTION("""COMPUTED_VALUE"""),44762)</f>
        <v>44762</v>
      </c>
      <c r="E632" s="3">
        <f ca="1">IFERROR(__xludf.DUMMYFUNCTION("""COMPUTED_VALUE"""),0.185451388890214)</f>
        <v>0.18545138889021401</v>
      </c>
      <c r="F632" s="1">
        <f ca="1">IFERROR(__xludf.DUMMYFUNCTION("""COMPUTED_VALUE"""),14712)</f>
        <v>14712</v>
      </c>
      <c r="G632" s="1" t="str">
        <f ca="1">IFERROR(__xludf.DUMMYFUNCTION("""COMPUTED_VALUE"""),"13.0621/77.5072")</f>
        <v>13.0621/77.5072</v>
      </c>
      <c r="H632" s="1" t="str">
        <f ca="1">IFERROR(__xludf.DUMMYFUNCTION("""COMPUTED_VALUE"""),"Malsandra")</f>
        <v>Malsandra</v>
      </c>
      <c r="I632" s="1"/>
      <c r="J632" s="1" t="str">
        <f ca="1">IFERROR(__xludf.DUMMYFUNCTION("""COMPUTED_VALUE"""),"0d 00h 00m")</f>
        <v>0d 00h 00m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>
      <c r="A633" s="1">
        <f ca="1">IFERROR(__xludf.DUMMYFUNCTION("""COMPUTED_VALUE"""),221)</f>
        <v>221</v>
      </c>
      <c r="B633" s="1" t="str">
        <f ca="1">IFERROR(__xludf.DUMMYFUNCTION("""COMPUTED_VALUE"""),"N1_KA04D5126_Tanker")</f>
        <v>N1_KA04D5126_Tanker</v>
      </c>
      <c r="C633" s="1" t="str">
        <f ca="1">IFERROR(__xludf.DUMMYFUNCTION("""COMPUTED_VALUE"""),"n1_ka04d5126_tanker")</f>
        <v>n1_ka04d5126_tanker</v>
      </c>
      <c r="D633" s="2">
        <f ca="1">IFERROR(__xludf.DUMMYFUNCTION("""COMPUTED_VALUE"""),44799)</f>
        <v>44799</v>
      </c>
      <c r="E633" s="3">
        <f ca="1">IFERROR(__xludf.DUMMYFUNCTION("""COMPUTED_VALUE"""),0.99920138888774)</f>
        <v>0.99920138888774002</v>
      </c>
      <c r="F633" s="1">
        <f ca="1">IFERROR(__xludf.DUMMYFUNCTION("""COMPUTED_VALUE"""),14733)</f>
        <v>14733</v>
      </c>
      <c r="G633" s="1" t="str">
        <f ca="1">IFERROR(__xludf.DUMMYFUNCTION("""COMPUTED_VALUE"""),"13.0621/77.5049")</f>
        <v>13.0621/77.5049</v>
      </c>
      <c r="H633" s="1" t="str">
        <f ca="1">IFERROR(__xludf.DUMMYFUNCTION("""COMPUTED_VALUE"""),"Bagalkunti")</f>
        <v>Bagalkunti</v>
      </c>
      <c r="I633" s="1"/>
      <c r="J633" s="1" t="str">
        <f ca="1">IFERROR(__xludf.DUMMYFUNCTION("""COMPUTED_VALUE"""),"0d 00h 00m")</f>
        <v>0d 00h 00m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>
      <c r="A634" s="1">
        <f ca="1">IFERROR(__xludf.DUMMYFUNCTION("""COMPUTED_VALUE"""),159)</f>
        <v>159</v>
      </c>
      <c r="B634" s="1" t="str">
        <f ca="1">IFERROR(__xludf.DUMMYFUNCTION("""COMPUTED_VALUE"""),"N1_KA04D5126_Tanker")</f>
        <v>N1_KA04D5126_Tanker</v>
      </c>
      <c r="C634" s="1" t="str">
        <f ca="1">IFERROR(__xludf.DUMMYFUNCTION("""COMPUTED_VALUE"""),"n1_ka04d5126_tanker")</f>
        <v>n1_ka04d5126_tanker</v>
      </c>
      <c r="D634" s="2">
        <f ca="1">IFERROR(__xludf.DUMMYFUNCTION("""COMPUTED_VALUE"""),44830)</f>
        <v>44830</v>
      </c>
      <c r="E634" s="3">
        <f ca="1">IFERROR(__xludf.DUMMYFUNCTION("""COMPUTED_VALUE"""),0.996539351850515)</f>
        <v>0.99653935185051501</v>
      </c>
      <c r="F634" s="1">
        <f ca="1">IFERROR(__xludf.DUMMYFUNCTION("""COMPUTED_VALUE"""),14735)</f>
        <v>14735</v>
      </c>
      <c r="G634" s="1" t="str">
        <f ca="1">IFERROR(__xludf.DUMMYFUNCTION("""COMPUTED_VALUE"""),"13.0621/77.5049")</f>
        <v>13.0621/77.5049</v>
      </c>
      <c r="H634" s="1" t="str">
        <f ca="1">IFERROR(__xludf.DUMMYFUNCTION("""COMPUTED_VALUE"""),"Bagalkunti")</f>
        <v>Bagalkunti</v>
      </c>
      <c r="I634" s="1"/>
      <c r="J634" s="1" t="str">
        <f ca="1">IFERROR(__xludf.DUMMYFUNCTION("""COMPUTED_VALUE"""),"0d 00h 00m")</f>
        <v>0d 00h 00m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>
      <c r="A635" s="1">
        <f ca="1">IFERROR(__xludf.DUMMYFUNCTION("""COMPUTED_VALUE"""),83)</f>
        <v>83</v>
      </c>
      <c r="B635" s="1" t="str">
        <f ca="1">IFERROR(__xludf.DUMMYFUNCTION("""COMPUTED_VALUE"""),"N1_KA04D5126_Tanker")</f>
        <v>N1_KA04D5126_Tanker</v>
      </c>
      <c r="C635" s="1" t="str">
        <f ca="1">IFERROR(__xludf.DUMMYFUNCTION("""COMPUTED_VALUE"""),"n1_ka04d5126_tanker")</f>
        <v>n1_ka04d5126_tanker</v>
      </c>
      <c r="D635" s="2">
        <f ca="1">IFERROR(__xludf.DUMMYFUNCTION("""COMPUTED_VALUE"""),44846)</f>
        <v>44846</v>
      </c>
      <c r="E635" s="3">
        <f ca="1">IFERROR(__xludf.DUMMYFUNCTION("""COMPUTED_VALUE"""),0.567314814816199)</f>
        <v>0.56731481481619905</v>
      </c>
      <c r="F635" s="1">
        <f ca="1">IFERROR(__xludf.DUMMYFUNCTION("""COMPUTED_VALUE"""),14742)</f>
        <v>14742</v>
      </c>
      <c r="G635" s="1" t="str">
        <f ca="1">IFERROR(__xludf.DUMMYFUNCTION("""COMPUTED_VALUE"""),"13.0620/77.5049")</f>
        <v>13.0620/77.5049</v>
      </c>
      <c r="H635" s="1" t="str">
        <f ca="1">IFERROR(__xludf.DUMMYFUNCTION("""COMPUTED_VALUE"""),"Bagalkunti")</f>
        <v>Bagalkunti</v>
      </c>
      <c r="I635" s="1"/>
      <c r="J635" s="1" t="str">
        <f ca="1">IFERROR(__xludf.DUMMYFUNCTION("""COMPUTED_VALUE"""),"0d 00h 00m")</f>
        <v>0d 00h 00m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>
      <c r="A636" s="1">
        <f ca="1">IFERROR(__xludf.DUMMYFUNCTION("""COMPUTED_VALUE"""),49)</f>
        <v>49</v>
      </c>
      <c r="B636" s="1" t="str">
        <f ca="1">IFERROR(__xludf.DUMMYFUNCTION("""COMPUTED_VALUE"""),"N21_KA02AC4524_JETTING")</f>
        <v>N21_KA02AC4524_JETTING</v>
      </c>
      <c r="C636" s="1" t="str">
        <f ca="1">IFERROR(__xludf.DUMMYFUNCTION("""COMPUTED_VALUE"""),"n21_ka02ac4524_jetting")</f>
        <v>n21_ka02ac4524_jetting</v>
      </c>
      <c r="D636" s="2">
        <f ca="1">IFERROR(__xludf.DUMMYFUNCTION("""COMPUTED_VALUE"""),41640)</f>
        <v>41640</v>
      </c>
      <c r="E636" s="3">
        <f ca="1">IFERROR(__xludf.DUMMYFUNCTION("""COMPUTED_VALUE"""),0.335995370369346)</f>
        <v>0.33599537036934601</v>
      </c>
      <c r="F636" s="1">
        <f ca="1">IFERROR(__xludf.DUMMYFUNCTION("""COMPUTED_VALUE"""),34571)</f>
        <v>34571</v>
      </c>
      <c r="G636" s="1"/>
      <c r="H636" s="1"/>
      <c r="I636" s="1"/>
      <c r="J636" s="1" t="str">
        <f ca="1">IFERROR(__xludf.DUMMYFUNCTION("""COMPUTED_VALUE"""),"0d 00h 00m")</f>
        <v>0d 00h 00m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>
      <c r="A637" s="1">
        <f ca="1">IFERROR(__xludf.DUMMYFUNCTION("""COMPUTED_VALUE"""),49)</f>
        <v>49</v>
      </c>
      <c r="B637" s="1" t="str">
        <f ca="1">IFERROR(__xludf.DUMMYFUNCTION("""COMPUTED_VALUE"""),"N21_KA02AC4524_JETTING")</f>
        <v>N21_KA02AC4524_JETTING</v>
      </c>
      <c r="C637" s="1" t="str">
        <f ca="1">IFERROR(__xludf.DUMMYFUNCTION("""COMPUTED_VALUE"""),"n21_ka02ac4524_jetting")</f>
        <v>n21_ka02ac4524_jetting</v>
      </c>
      <c r="D637" s="2">
        <f ca="1">IFERROR(__xludf.DUMMYFUNCTION("""COMPUTED_VALUE"""),41640)</f>
        <v>41640</v>
      </c>
      <c r="E637" s="3">
        <f ca="1">IFERROR(__xludf.DUMMYFUNCTION("""COMPUTED_VALUE"""),0.335995370369346)</f>
        <v>0.33599537036934601</v>
      </c>
      <c r="F637" s="1">
        <f ca="1">IFERROR(__xludf.DUMMYFUNCTION("""COMPUTED_VALUE"""),34571)</f>
        <v>34571</v>
      </c>
      <c r="G637" s="1"/>
      <c r="H637" s="1"/>
      <c r="I637" s="1"/>
      <c r="J637" s="1" t="str">
        <f ca="1">IFERROR(__xludf.DUMMYFUNCTION("""COMPUTED_VALUE"""),"0d 00h 00m")</f>
        <v>0d 00h 00m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>
      <c r="A638" s="1">
        <f ca="1">IFERROR(__xludf.DUMMYFUNCTION("""COMPUTED_VALUE"""),49)</f>
        <v>49</v>
      </c>
      <c r="B638" s="1" t="str">
        <f ca="1">IFERROR(__xludf.DUMMYFUNCTION("""COMPUTED_VALUE"""),"N21_KA02AC4524_JETTING")</f>
        <v>N21_KA02AC4524_JETTING</v>
      </c>
      <c r="C638" s="1" t="str">
        <f ca="1">IFERROR(__xludf.DUMMYFUNCTION("""COMPUTED_VALUE"""),"n21_ka02ac4524_jetting")</f>
        <v>n21_ka02ac4524_jetting</v>
      </c>
      <c r="D638" s="2">
        <f ca="1">IFERROR(__xludf.DUMMYFUNCTION("""COMPUTED_VALUE"""),41640)</f>
        <v>41640</v>
      </c>
      <c r="E638" s="3">
        <f ca="1">IFERROR(__xludf.DUMMYFUNCTION("""COMPUTED_VALUE"""),0.335995370369346)</f>
        <v>0.33599537036934601</v>
      </c>
      <c r="F638" s="1">
        <f ca="1">IFERROR(__xludf.DUMMYFUNCTION("""COMPUTED_VALUE"""),34571)</f>
        <v>34571</v>
      </c>
      <c r="G638" s="1"/>
      <c r="H638" s="1"/>
      <c r="I638" s="1"/>
      <c r="J638" s="1" t="str">
        <f ca="1">IFERROR(__xludf.DUMMYFUNCTION("""COMPUTED_VALUE"""),"0d 00h 00m")</f>
        <v>0d 00h 00m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>
      <c r="A639" s="1">
        <f ca="1">IFERROR(__xludf.DUMMYFUNCTION("""COMPUTED_VALUE"""),49)</f>
        <v>49</v>
      </c>
      <c r="B639" s="1" t="str">
        <f ca="1">IFERROR(__xludf.DUMMYFUNCTION("""COMPUTED_VALUE"""),"N21_KA02AC4524_JETTING")</f>
        <v>N21_KA02AC4524_JETTING</v>
      </c>
      <c r="C639" s="1" t="str">
        <f ca="1">IFERROR(__xludf.DUMMYFUNCTION("""COMPUTED_VALUE"""),"n21_ka02ac4524_jetting")</f>
        <v>n21_ka02ac4524_jetting</v>
      </c>
      <c r="D639" s="2">
        <f ca="1">IFERROR(__xludf.DUMMYFUNCTION("""COMPUTED_VALUE"""),41640)</f>
        <v>41640</v>
      </c>
      <c r="E639" s="3">
        <f ca="1">IFERROR(__xludf.DUMMYFUNCTION("""COMPUTED_VALUE"""),0.335995370369346)</f>
        <v>0.33599537036934601</v>
      </c>
      <c r="F639" s="1">
        <f ca="1">IFERROR(__xludf.DUMMYFUNCTION("""COMPUTED_VALUE"""),34571)</f>
        <v>34571</v>
      </c>
      <c r="G639" s="1"/>
      <c r="H639" s="1"/>
      <c r="I639" s="1"/>
      <c r="J639" s="1" t="str">
        <f ca="1">IFERROR(__xludf.DUMMYFUNCTION("""COMPUTED_VALUE"""),"0d 00h 00m")</f>
        <v>0d 00h 00m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>
      <c r="A640" s="1">
        <f ca="1">IFERROR(__xludf.DUMMYFUNCTION("""COMPUTED_VALUE"""),49)</f>
        <v>49</v>
      </c>
      <c r="B640" s="1" t="str">
        <f ca="1">IFERROR(__xludf.DUMMYFUNCTION("""COMPUTED_VALUE"""),"N21_KA02AC4524_JETTING")</f>
        <v>N21_KA02AC4524_JETTING</v>
      </c>
      <c r="C640" s="1" t="str">
        <f ca="1">IFERROR(__xludf.DUMMYFUNCTION("""COMPUTED_VALUE"""),"n21_ka02ac4524_jetting")</f>
        <v>n21_ka02ac4524_jetting</v>
      </c>
      <c r="D640" s="2">
        <f ca="1">IFERROR(__xludf.DUMMYFUNCTION("""COMPUTED_VALUE"""),41640)</f>
        <v>41640</v>
      </c>
      <c r="E640" s="3">
        <f ca="1">IFERROR(__xludf.DUMMYFUNCTION("""COMPUTED_VALUE"""),0.335995370369346)</f>
        <v>0.33599537036934601</v>
      </c>
      <c r="F640" s="1">
        <f ca="1">IFERROR(__xludf.DUMMYFUNCTION("""COMPUTED_VALUE"""),34571)</f>
        <v>34571</v>
      </c>
      <c r="G640" s="1"/>
      <c r="H640" s="1"/>
      <c r="I640" s="1"/>
      <c r="J640" s="1" t="str">
        <f ca="1">IFERROR(__xludf.DUMMYFUNCTION("""COMPUTED_VALUE"""),"0d 00h 00m")</f>
        <v>0d 00h 00m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>
      <c r="A641" s="1">
        <f ca="1">IFERROR(__xludf.DUMMYFUNCTION("""COMPUTED_VALUE"""),49)</f>
        <v>49</v>
      </c>
      <c r="B641" s="1" t="str">
        <f ca="1">IFERROR(__xludf.DUMMYFUNCTION("""COMPUTED_VALUE"""),"N21_KA02AC4524_JETTING")</f>
        <v>N21_KA02AC4524_JETTING</v>
      </c>
      <c r="C641" s="1" t="str">
        <f ca="1">IFERROR(__xludf.DUMMYFUNCTION("""COMPUTED_VALUE"""),"n21_ka02ac4524_jetting")</f>
        <v>n21_ka02ac4524_jetting</v>
      </c>
      <c r="D641" s="2">
        <f ca="1">IFERROR(__xludf.DUMMYFUNCTION("""COMPUTED_VALUE"""),41640)</f>
        <v>41640</v>
      </c>
      <c r="E641" s="3">
        <f ca="1">IFERROR(__xludf.DUMMYFUNCTION("""COMPUTED_VALUE"""),0.335995370369346)</f>
        <v>0.33599537036934601</v>
      </c>
      <c r="F641" s="1">
        <f ca="1">IFERROR(__xludf.DUMMYFUNCTION("""COMPUTED_VALUE"""),34571)</f>
        <v>34571</v>
      </c>
      <c r="G641" s="1"/>
      <c r="H641" s="1"/>
      <c r="I641" s="1"/>
      <c r="J641" s="1" t="str">
        <f ca="1">IFERROR(__xludf.DUMMYFUNCTION("""COMPUTED_VALUE"""),"0d 00h 00m")</f>
        <v>0d 00h 00m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>
      <c r="A642" s="1">
        <f ca="1">IFERROR(__xludf.DUMMYFUNCTION("""COMPUTED_VALUE"""),49)</f>
        <v>49</v>
      </c>
      <c r="B642" s="1" t="str">
        <f ca="1">IFERROR(__xludf.DUMMYFUNCTION("""COMPUTED_VALUE"""),"N21_KA02AC4524_JETTING")</f>
        <v>N21_KA02AC4524_JETTING</v>
      </c>
      <c r="C642" s="1" t="str">
        <f ca="1">IFERROR(__xludf.DUMMYFUNCTION("""COMPUTED_VALUE"""),"n21_ka02ac4524_jetting")</f>
        <v>n21_ka02ac4524_jetting</v>
      </c>
      <c r="D642" s="2">
        <f ca="1">IFERROR(__xludf.DUMMYFUNCTION("""COMPUTED_VALUE"""),41640)</f>
        <v>41640</v>
      </c>
      <c r="E642" s="3">
        <f ca="1">IFERROR(__xludf.DUMMYFUNCTION("""COMPUTED_VALUE"""),0.335995370369346)</f>
        <v>0.33599537036934601</v>
      </c>
      <c r="F642" s="1">
        <f ca="1">IFERROR(__xludf.DUMMYFUNCTION("""COMPUTED_VALUE"""),34571)</f>
        <v>34571</v>
      </c>
      <c r="G642" s="1"/>
      <c r="H642" s="1"/>
      <c r="I642" s="1"/>
      <c r="J642" s="1" t="str">
        <f ca="1">IFERROR(__xludf.DUMMYFUNCTION("""COMPUTED_VALUE"""),"0d 00h 00m")</f>
        <v>0d 00h 00m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>
      <c r="A643" s="1">
        <f ca="1">IFERROR(__xludf.DUMMYFUNCTION("""COMPUTED_VALUE"""),142)</f>
        <v>142</v>
      </c>
      <c r="B643" s="1" t="str">
        <f ca="1">IFERROR(__xludf.DUMMYFUNCTION("""COMPUTED_VALUE"""),"N21_KA04C2201_JETTING")</f>
        <v>N21_KA04C2201_JETTING</v>
      </c>
      <c r="C643" s="1" t="str">
        <f ca="1">IFERROR(__xludf.DUMMYFUNCTION("""COMPUTED_VALUE"""),"n21_ka04c2201_jetting")</f>
        <v>n21_ka04c2201_jetting</v>
      </c>
      <c r="D643" s="2">
        <f ca="1">IFERROR(__xludf.DUMMYFUNCTION("""COMPUTED_VALUE"""),45215)</f>
        <v>45215</v>
      </c>
      <c r="E643" s="3">
        <f ca="1">IFERROR(__xludf.DUMMYFUNCTION("""COMPUTED_VALUE"""),0.56240740740759)</f>
        <v>0.56240740740758999</v>
      </c>
      <c r="F643" s="1">
        <f ca="1">IFERROR(__xludf.DUMMYFUNCTION("""COMPUTED_VALUE"""),21697)</f>
        <v>21697</v>
      </c>
      <c r="G643" s="1" t="str">
        <f ca="1">IFERROR(__xludf.DUMMYFUNCTION("""COMPUTED_VALUE"""),"13.1062/77.5658")</f>
        <v>13.1062/77.5658</v>
      </c>
      <c r="H643" s="1" t="str">
        <f ca="1">IFERROR(__xludf.DUMMYFUNCTION("""COMPUTED_VALUE"""),"Attur")</f>
        <v>Attur</v>
      </c>
      <c r="I643" s="1"/>
      <c r="J643" s="1" t="str">
        <f ca="1">IFERROR(__xludf.DUMMYFUNCTION("""COMPUTED_VALUE"""),"155d 22h 01m")</f>
        <v>155d 22h 01m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>
      <c r="A644" s="1">
        <f ca="1">IFERROR(__xludf.DUMMYFUNCTION("""COMPUTED_VALUE"""),138)</f>
        <v>138</v>
      </c>
      <c r="B644" s="1" t="str">
        <f ca="1">IFERROR(__xludf.DUMMYFUNCTION("""COMPUTED_VALUE"""),"N21_KA04C2201_JETTING")</f>
        <v>N21_KA04C2201_JETTING</v>
      </c>
      <c r="C644" s="1" t="str">
        <f ca="1">IFERROR(__xludf.DUMMYFUNCTION("""COMPUTED_VALUE"""),"n21_ka04c2201_jetting")</f>
        <v>n21_ka04c2201_jetting</v>
      </c>
      <c r="D644" s="2">
        <f ca="1">IFERROR(__xludf.DUMMYFUNCTION("""COMPUTED_VALUE"""),45215)</f>
        <v>45215</v>
      </c>
      <c r="E644" s="3">
        <f ca="1">IFERROR(__xludf.DUMMYFUNCTION("""COMPUTED_VALUE"""),0.56240740740759)</f>
        <v>0.56240740740758999</v>
      </c>
      <c r="F644" s="1">
        <f ca="1">IFERROR(__xludf.DUMMYFUNCTION("""COMPUTED_VALUE"""),21697)</f>
        <v>21697</v>
      </c>
      <c r="G644" s="1" t="str">
        <f ca="1">IFERROR(__xludf.DUMMYFUNCTION("""COMPUTED_VALUE"""),"13.1062/77.5658")</f>
        <v>13.1062/77.5658</v>
      </c>
      <c r="H644" s="1" t="str">
        <f ca="1">IFERROR(__xludf.DUMMYFUNCTION("""COMPUTED_VALUE"""),"AttÅ«r")</f>
        <v>AttÅ«r</v>
      </c>
      <c r="I644" s="1"/>
      <c r="J644" s="1" t="str">
        <f ca="1">IFERROR(__xludf.DUMMYFUNCTION("""COMPUTED_VALUE"""),"155d 22h 02m")</f>
        <v>155d 22h 02m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>
      <c r="A645" s="1">
        <f ca="1">IFERROR(__xludf.DUMMYFUNCTION("""COMPUTED_VALUE"""),41)</f>
        <v>41</v>
      </c>
      <c r="B645" s="1" t="str">
        <f ca="1">IFERROR(__xludf.DUMMYFUNCTION("""COMPUTED_VALUE"""),"N21_KA04D5125_TANKER")</f>
        <v>N21_KA04D5125_TANKER</v>
      </c>
      <c r="C645" s="1" t="str">
        <f ca="1">IFERROR(__xludf.DUMMYFUNCTION("""COMPUTED_VALUE"""),"n21_ka04d5125_tanker")</f>
        <v>n21_ka04d5125_tanker</v>
      </c>
      <c r="D645" s="2">
        <f ca="1">IFERROR(__xludf.DUMMYFUNCTION("""COMPUTED_VALUE"""),41640)</f>
        <v>41640</v>
      </c>
      <c r="E645" s="3">
        <f ca="1">IFERROR(__xludf.DUMMYFUNCTION("""COMPUTED_VALUE"""),0.235798611112841)</f>
        <v>0.23579861111284101</v>
      </c>
      <c r="F645" s="1">
        <f ca="1">IFERROR(__xludf.DUMMYFUNCTION("""COMPUTED_VALUE"""),14772)</f>
        <v>14772</v>
      </c>
      <c r="G645" s="1"/>
      <c r="H645" s="1"/>
      <c r="I645" s="1"/>
      <c r="J645" s="1" t="str">
        <f ca="1">IFERROR(__xludf.DUMMYFUNCTION("""COMPUTED_VALUE"""),"0d 00h 00m")</f>
        <v>0d 00h 00m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>
      <c r="A646" s="1">
        <f ca="1">IFERROR(__xludf.DUMMYFUNCTION("""COMPUTED_VALUE"""),41)</f>
        <v>41</v>
      </c>
      <c r="B646" s="1" t="str">
        <f ca="1">IFERROR(__xludf.DUMMYFUNCTION("""COMPUTED_VALUE"""),"N21_KA04D5125_TANKER")</f>
        <v>N21_KA04D5125_TANKER</v>
      </c>
      <c r="C646" s="1" t="str">
        <f ca="1">IFERROR(__xludf.DUMMYFUNCTION("""COMPUTED_VALUE"""),"n21_ka04d5125_tanker")</f>
        <v>n21_ka04d5125_tanker</v>
      </c>
      <c r="D646" s="2">
        <f ca="1">IFERROR(__xludf.DUMMYFUNCTION("""COMPUTED_VALUE"""),41640)</f>
        <v>41640</v>
      </c>
      <c r="E646" s="3">
        <f ca="1">IFERROR(__xludf.DUMMYFUNCTION("""COMPUTED_VALUE"""),0.235798611112841)</f>
        <v>0.23579861111284101</v>
      </c>
      <c r="F646" s="1">
        <f ca="1">IFERROR(__xludf.DUMMYFUNCTION("""COMPUTED_VALUE"""),14772)</f>
        <v>14772</v>
      </c>
      <c r="G646" s="1"/>
      <c r="H646" s="1"/>
      <c r="I646" s="1"/>
      <c r="J646" s="1" t="str">
        <f ca="1">IFERROR(__xludf.DUMMYFUNCTION("""COMPUTED_VALUE"""),"0d 00h 00m")</f>
        <v>0d 00h 00m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>
      <c r="A647" s="1">
        <f ca="1">IFERROR(__xludf.DUMMYFUNCTION("""COMPUTED_VALUE"""),41)</f>
        <v>41</v>
      </c>
      <c r="B647" s="1" t="str">
        <f ca="1">IFERROR(__xludf.DUMMYFUNCTION("""COMPUTED_VALUE"""),"N21_KA04D5125_TANKER")</f>
        <v>N21_KA04D5125_TANKER</v>
      </c>
      <c r="C647" s="1" t="str">
        <f ca="1">IFERROR(__xludf.DUMMYFUNCTION("""COMPUTED_VALUE"""),"n21_ka04d5125_tanker")</f>
        <v>n21_ka04d5125_tanker</v>
      </c>
      <c r="D647" s="2">
        <f ca="1">IFERROR(__xludf.DUMMYFUNCTION("""COMPUTED_VALUE"""),41640)</f>
        <v>41640</v>
      </c>
      <c r="E647" s="3">
        <f ca="1">IFERROR(__xludf.DUMMYFUNCTION("""COMPUTED_VALUE"""),0.235798611112841)</f>
        <v>0.23579861111284101</v>
      </c>
      <c r="F647" s="1">
        <f ca="1">IFERROR(__xludf.DUMMYFUNCTION("""COMPUTED_VALUE"""),14772)</f>
        <v>14772</v>
      </c>
      <c r="G647" s="1"/>
      <c r="H647" s="1"/>
      <c r="I647" s="1"/>
      <c r="J647" s="1" t="str">
        <f ca="1">IFERROR(__xludf.DUMMYFUNCTION("""COMPUTED_VALUE"""),"0d 00h 00m")</f>
        <v>0d 00h 00m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>
      <c r="A648" s="1">
        <f ca="1">IFERROR(__xludf.DUMMYFUNCTION("""COMPUTED_VALUE"""),41)</f>
        <v>41</v>
      </c>
      <c r="B648" s="1" t="str">
        <f ca="1">IFERROR(__xludf.DUMMYFUNCTION("""COMPUTED_VALUE"""),"N21_KA04D5125_TANKER")</f>
        <v>N21_KA04D5125_TANKER</v>
      </c>
      <c r="C648" s="1" t="str">
        <f ca="1">IFERROR(__xludf.DUMMYFUNCTION("""COMPUTED_VALUE"""),"n21_ka04d5125_tanker")</f>
        <v>n21_ka04d5125_tanker</v>
      </c>
      <c r="D648" s="2">
        <f ca="1">IFERROR(__xludf.DUMMYFUNCTION("""COMPUTED_VALUE"""),41640)</f>
        <v>41640</v>
      </c>
      <c r="E648" s="3">
        <f ca="1">IFERROR(__xludf.DUMMYFUNCTION("""COMPUTED_VALUE"""),0.235798611112841)</f>
        <v>0.23579861111284101</v>
      </c>
      <c r="F648" s="1">
        <f ca="1">IFERROR(__xludf.DUMMYFUNCTION("""COMPUTED_VALUE"""),14772)</f>
        <v>14772</v>
      </c>
      <c r="G648" s="1"/>
      <c r="H648" s="1"/>
      <c r="I648" s="1"/>
      <c r="J648" s="1" t="str">
        <f ca="1">IFERROR(__xludf.DUMMYFUNCTION("""COMPUTED_VALUE"""),"0d 00h 00m")</f>
        <v>0d 00h 00m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>
      <c r="A649" s="1">
        <f ca="1">IFERROR(__xludf.DUMMYFUNCTION("""COMPUTED_VALUE"""),41)</f>
        <v>41</v>
      </c>
      <c r="B649" s="1" t="str">
        <f ca="1">IFERROR(__xludf.DUMMYFUNCTION("""COMPUTED_VALUE"""),"N21_KA04D5125_TANKER")</f>
        <v>N21_KA04D5125_TANKER</v>
      </c>
      <c r="C649" s="1" t="str">
        <f ca="1">IFERROR(__xludf.DUMMYFUNCTION("""COMPUTED_VALUE"""),"n21_ka04d5125_tanker")</f>
        <v>n21_ka04d5125_tanker</v>
      </c>
      <c r="D649" s="2">
        <f ca="1">IFERROR(__xludf.DUMMYFUNCTION("""COMPUTED_VALUE"""),41640)</f>
        <v>41640</v>
      </c>
      <c r="E649" s="3">
        <f ca="1">IFERROR(__xludf.DUMMYFUNCTION("""COMPUTED_VALUE"""),0.235798611112841)</f>
        <v>0.23579861111284101</v>
      </c>
      <c r="F649" s="1">
        <f ca="1">IFERROR(__xludf.DUMMYFUNCTION("""COMPUTED_VALUE"""),14772)</f>
        <v>14772</v>
      </c>
      <c r="G649" s="1"/>
      <c r="H649" s="1"/>
      <c r="I649" s="1"/>
      <c r="J649" s="1" t="str">
        <f ca="1">IFERROR(__xludf.DUMMYFUNCTION("""COMPUTED_VALUE"""),"0d 00h 00m")</f>
        <v>0d 00h 00m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>
      <c r="A650" s="1">
        <f ca="1">IFERROR(__xludf.DUMMYFUNCTION("""COMPUTED_VALUE"""),41)</f>
        <v>41</v>
      </c>
      <c r="B650" s="1" t="str">
        <f ca="1">IFERROR(__xludf.DUMMYFUNCTION("""COMPUTED_VALUE"""),"N21_KA04D5125_TANKER")</f>
        <v>N21_KA04D5125_TANKER</v>
      </c>
      <c r="C650" s="1" t="str">
        <f ca="1">IFERROR(__xludf.DUMMYFUNCTION("""COMPUTED_VALUE"""),"n21_ka04d5125_tanker")</f>
        <v>n21_ka04d5125_tanker</v>
      </c>
      <c r="D650" s="2">
        <f ca="1">IFERROR(__xludf.DUMMYFUNCTION("""COMPUTED_VALUE"""),41640)</f>
        <v>41640</v>
      </c>
      <c r="E650" s="3">
        <f ca="1">IFERROR(__xludf.DUMMYFUNCTION("""COMPUTED_VALUE"""),0.235798611112841)</f>
        <v>0.23579861111284101</v>
      </c>
      <c r="F650" s="1">
        <f ca="1">IFERROR(__xludf.DUMMYFUNCTION("""COMPUTED_VALUE"""),14772)</f>
        <v>14772</v>
      </c>
      <c r="G650" s="1"/>
      <c r="H650" s="1"/>
      <c r="I650" s="1"/>
      <c r="J650" s="1" t="str">
        <f ca="1">IFERROR(__xludf.DUMMYFUNCTION("""COMPUTED_VALUE"""),"0d 00h 00m")</f>
        <v>0d 00h 00m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>
      <c r="A651" s="1">
        <f ca="1">IFERROR(__xludf.DUMMYFUNCTION("""COMPUTED_VALUE"""),41)</f>
        <v>41</v>
      </c>
      <c r="B651" s="1" t="str">
        <f ca="1">IFERROR(__xludf.DUMMYFUNCTION("""COMPUTED_VALUE"""),"N21_KA04D5125_TANKER")</f>
        <v>N21_KA04D5125_TANKER</v>
      </c>
      <c r="C651" s="1" t="str">
        <f ca="1">IFERROR(__xludf.DUMMYFUNCTION("""COMPUTED_VALUE"""),"n21_ka04d5125_tanker")</f>
        <v>n21_ka04d5125_tanker</v>
      </c>
      <c r="D651" s="2">
        <f ca="1">IFERROR(__xludf.DUMMYFUNCTION("""COMPUTED_VALUE"""),41640)</f>
        <v>41640</v>
      </c>
      <c r="E651" s="3">
        <f ca="1">IFERROR(__xludf.DUMMYFUNCTION("""COMPUTED_VALUE"""),0.235798611112841)</f>
        <v>0.23579861111284101</v>
      </c>
      <c r="F651" s="1">
        <f ca="1">IFERROR(__xludf.DUMMYFUNCTION("""COMPUTED_VALUE"""),14772)</f>
        <v>14772</v>
      </c>
      <c r="G651" s="1"/>
      <c r="H651" s="1"/>
      <c r="I651" s="1"/>
      <c r="J651" s="1" t="str">
        <f ca="1">IFERROR(__xludf.DUMMYFUNCTION("""COMPUTED_VALUE"""),"0d 00h 00m")</f>
        <v>0d 00h 00m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>
      <c r="A652" s="1">
        <f ca="1">IFERROR(__xludf.DUMMYFUNCTION("""COMPUTED_VALUE"""),61)</f>
        <v>61</v>
      </c>
      <c r="B652" s="1" t="str">
        <f ca="1">IFERROR(__xludf.DUMMYFUNCTION("""COMPUTED_VALUE"""),"N22_KA02AC4516_JETTING")</f>
        <v>N22_KA02AC4516_JETTING</v>
      </c>
      <c r="C652" s="1" t="str">
        <f ca="1">IFERROR(__xludf.DUMMYFUNCTION("""COMPUTED_VALUE"""),"n22_ka02ac4516_jetting")</f>
        <v>n22_ka02ac4516_jetting</v>
      </c>
      <c r="D652" s="2">
        <f ca="1">IFERROR(__xludf.DUMMYFUNCTION("""COMPUTED_VALUE"""),41640)</f>
        <v>41640</v>
      </c>
      <c r="E652" s="3">
        <f ca="1">IFERROR(__xludf.DUMMYFUNCTION("""COMPUTED_VALUE"""),0.503483796295768)</f>
        <v>0.503483796295768</v>
      </c>
      <c r="F652" s="1">
        <f ca="1">IFERROR(__xludf.DUMMYFUNCTION("""COMPUTED_VALUE"""),32334)</f>
        <v>32334</v>
      </c>
      <c r="G652" s="1" t="str">
        <f ca="1">IFERROR(__xludf.DUMMYFUNCTION("""COMPUTED_VALUE"""),"13.0662/77.5581")</f>
        <v>13.0662/77.5581</v>
      </c>
      <c r="H652" s="1" t="str">
        <f ca="1">IFERROR(__xludf.DUMMYFUNCTION("""COMPUTED_VALUE"""),"Dod Bammasandra")</f>
        <v>Dod Bammasandra</v>
      </c>
      <c r="I652" s="1"/>
      <c r="J652" s="1" t="str">
        <f ca="1">IFERROR(__xludf.DUMMYFUNCTION("""COMPUTED_VALUE"""),"0d 00h 00m")</f>
        <v>0d 00h 00m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>
      <c r="A653" s="1">
        <f ca="1">IFERROR(__xludf.DUMMYFUNCTION("""COMPUTED_VALUE"""),61)</f>
        <v>61</v>
      </c>
      <c r="B653" s="1" t="str">
        <f ca="1">IFERROR(__xludf.DUMMYFUNCTION("""COMPUTED_VALUE"""),"N22_KA02AC4516_JETTING")</f>
        <v>N22_KA02AC4516_JETTING</v>
      </c>
      <c r="C653" s="1" t="str">
        <f ca="1">IFERROR(__xludf.DUMMYFUNCTION("""COMPUTED_VALUE"""),"n22_ka02ac4516_jetting")</f>
        <v>n22_ka02ac4516_jetting</v>
      </c>
      <c r="D653" s="2">
        <f ca="1">IFERROR(__xludf.DUMMYFUNCTION("""COMPUTED_VALUE"""),41640)</f>
        <v>41640</v>
      </c>
      <c r="E653" s="3">
        <f ca="1">IFERROR(__xludf.DUMMYFUNCTION("""COMPUTED_VALUE"""),0.503483796295768)</f>
        <v>0.503483796295768</v>
      </c>
      <c r="F653" s="1">
        <f ca="1">IFERROR(__xludf.DUMMYFUNCTION("""COMPUTED_VALUE"""),32334)</f>
        <v>32334</v>
      </c>
      <c r="G653" s="1" t="str">
        <f ca="1">IFERROR(__xludf.DUMMYFUNCTION("""COMPUTED_VALUE"""),"13.0662/77.5581")</f>
        <v>13.0662/77.5581</v>
      </c>
      <c r="H653" s="1" t="str">
        <f ca="1">IFERROR(__xludf.DUMMYFUNCTION("""COMPUTED_VALUE"""),"Dod Bammasandra")</f>
        <v>Dod Bammasandra</v>
      </c>
      <c r="I653" s="1"/>
      <c r="J653" s="1" t="str">
        <f ca="1">IFERROR(__xludf.DUMMYFUNCTION("""COMPUTED_VALUE"""),"0d 00h 00m")</f>
        <v>0d 00h 00m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>
      <c r="A654" s="1">
        <f ca="1">IFERROR(__xludf.DUMMYFUNCTION("""COMPUTED_VALUE"""),60)</f>
        <v>60</v>
      </c>
      <c r="B654" s="1" t="str">
        <f ca="1">IFERROR(__xludf.DUMMYFUNCTION("""COMPUTED_VALUE"""),"N22_KA02AC4516_JETTING")</f>
        <v>N22_KA02AC4516_JETTING</v>
      </c>
      <c r="C654" s="1" t="str">
        <f ca="1">IFERROR(__xludf.DUMMYFUNCTION("""COMPUTED_VALUE"""),"n22_ka02ac4516_jetting")</f>
        <v>n22_ka02ac4516_jetting</v>
      </c>
      <c r="D654" s="2">
        <f ca="1">IFERROR(__xludf.DUMMYFUNCTION("""COMPUTED_VALUE"""),41640)</f>
        <v>41640</v>
      </c>
      <c r="E654" s="3">
        <f ca="1">IFERROR(__xludf.DUMMYFUNCTION("""COMPUTED_VALUE"""),0.503483796295768)</f>
        <v>0.503483796295768</v>
      </c>
      <c r="F654" s="1">
        <f ca="1">IFERROR(__xludf.DUMMYFUNCTION("""COMPUTED_VALUE"""),32334)</f>
        <v>32334</v>
      </c>
      <c r="G654" s="1" t="str">
        <f ca="1">IFERROR(__xludf.DUMMYFUNCTION("""COMPUTED_VALUE"""),"13.0662/77.5581")</f>
        <v>13.0662/77.5581</v>
      </c>
      <c r="H654" s="1" t="str">
        <f ca="1">IFERROR(__xludf.DUMMYFUNCTION("""COMPUTED_VALUE"""),"Dod Bammasandra")</f>
        <v>Dod Bammasandra</v>
      </c>
      <c r="I654" s="1"/>
      <c r="J654" s="1" t="str">
        <f ca="1">IFERROR(__xludf.DUMMYFUNCTION("""COMPUTED_VALUE"""),"0d 00h 00m")</f>
        <v>0d 00h 00m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>
      <c r="A655" s="1">
        <f ca="1">IFERROR(__xludf.DUMMYFUNCTION("""COMPUTED_VALUE"""),60)</f>
        <v>60</v>
      </c>
      <c r="B655" s="1" t="str">
        <f ca="1">IFERROR(__xludf.DUMMYFUNCTION("""COMPUTED_VALUE"""),"N22_KA02AC4516_JETTING")</f>
        <v>N22_KA02AC4516_JETTING</v>
      </c>
      <c r="C655" s="1" t="str">
        <f ca="1">IFERROR(__xludf.DUMMYFUNCTION("""COMPUTED_VALUE"""),"n22_ka02ac4516_jetting")</f>
        <v>n22_ka02ac4516_jetting</v>
      </c>
      <c r="D655" s="2">
        <f ca="1">IFERROR(__xludf.DUMMYFUNCTION("""COMPUTED_VALUE"""),41640)</f>
        <v>41640</v>
      </c>
      <c r="E655" s="3">
        <f ca="1">IFERROR(__xludf.DUMMYFUNCTION("""COMPUTED_VALUE"""),0.503483796295768)</f>
        <v>0.503483796295768</v>
      </c>
      <c r="F655" s="1">
        <f ca="1">IFERROR(__xludf.DUMMYFUNCTION("""COMPUTED_VALUE"""),32334)</f>
        <v>32334</v>
      </c>
      <c r="G655" s="1" t="str">
        <f ca="1">IFERROR(__xludf.DUMMYFUNCTION("""COMPUTED_VALUE"""),"13.0662/77.5581")</f>
        <v>13.0662/77.5581</v>
      </c>
      <c r="H655" s="1" t="str">
        <f ca="1">IFERROR(__xludf.DUMMYFUNCTION("""COMPUTED_VALUE"""),"Dod Bammasandra")</f>
        <v>Dod Bammasandra</v>
      </c>
      <c r="I655" s="1"/>
      <c r="J655" s="1" t="str">
        <f ca="1">IFERROR(__xludf.DUMMYFUNCTION("""COMPUTED_VALUE"""),"0d 00h 00m")</f>
        <v>0d 00h 00m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>
      <c r="A656" s="1">
        <f ca="1">IFERROR(__xludf.DUMMYFUNCTION("""COMPUTED_VALUE"""),60)</f>
        <v>60</v>
      </c>
      <c r="B656" s="1" t="str">
        <f ca="1">IFERROR(__xludf.DUMMYFUNCTION("""COMPUTED_VALUE"""),"N22_KA02AC4516_JETTING")</f>
        <v>N22_KA02AC4516_JETTING</v>
      </c>
      <c r="C656" s="1" t="str">
        <f ca="1">IFERROR(__xludf.DUMMYFUNCTION("""COMPUTED_VALUE"""),"n22_ka02ac4516_jetting")</f>
        <v>n22_ka02ac4516_jetting</v>
      </c>
      <c r="D656" s="2">
        <f ca="1">IFERROR(__xludf.DUMMYFUNCTION("""COMPUTED_VALUE"""),41640)</f>
        <v>41640</v>
      </c>
      <c r="E656" s="3">
        <f ca="1">IFERROR(__xludf.DUMMYFUNCTION("""COMPUTED_VALUE"""),0.503483796295768)</f>
        <v>0.503483796295768</v>
      </c>
      <c r="F656" s="1">
        <f ca="1">IFERROR(__xludf.DUMMYFUNCTION("""COMPUTED_VALUE"""),32334)</f>
        <v>32334</v>
      </c>
      <c r="G656" s="1" t="str">
        <f ca="1">IFERROR(__xludf.DUMMYFUNCTION("""COMPUTED_VALUE"""),"13.0662/77.5581")</f>
        <v>13.0662/77.5581</v>
      </c>
      <c r="H656" s="1" t="str">
        <f ca="1">IFERROR(__xludf.DUMMYFUNCTION("""COMPUTED_VALUE"""),"Dod Bammasandra")</f>
        <v>Dod Bammasandra</v>
      </c>
      <c r="I656" s="1"/>
      <c r="J656" s="1" t="str">
        <f ca="1">IFERROR(__xludf.DUMMYFUNCTION("""COMPUTED_VALUE"""),"0d 00h 00m")</f>
        <v>0d 00h 00m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>
      <c r="A657" s="1">
        <f ca="1">IFERROR(__xludf.DUMMYFUNCTION("""COMPUTED_VALUE"""),60)</f>
        <v>60</v>
      </c>
      <c r="B657" s="1" t="str">
        <f ca="1">IFERROR(__xludf.DUMMYFUNCTION("""COMPUTED_VALUE"""),"N22_KA02AC4516_JETTING")</f>
        <v>N22_KA02AC4516_JETTING</v>
      </c>
      <c r="C657" s="1" t="str">
        <f ca="1">IFERROR(__xludf.DUMMYFUNCTION("""COMPUTED_VALUE"""),"n22_ka02ac4516_jetting")</f>
        <v>n22_ka02ac4516_jetting</v>
      </c>
      <c r="D657" s="2">
        <f ca="1">IFERROR(__xludf.DUMMYFUNCTION("""COMPUTED_VALUE"""),41640)</f>
        <v>41640</v>
      </c>
      <c r="E657" s="3">
        <f ca="1">IFERROR(__xludf.DUMMYFUNCTION("""COMPUTED_VALUE"""),0.503483796295768)</f>
        <v>0.503483796295768</v>
      </c>
      <c r="F657" s="1">
        <f ca="1">IFERROR(__xludf.DUMMYFUNCTION("""COMPUTED_VALUE"""),32334)</f>
        <v>32334</v>
      </c>
      <c r="G657" s="1" t="str">
        <f ca="1">IFERROR(__xludf.DUMMYFUNCTION("""COMPUTED_VALUE"""),"13.0662/77.5581")</f>
        <v>13.0662/77.5581</v>
      </c>
      <c r="H657" s="1" t="str">
        <f ca="1">IFERROR(__xludf.DUMMYFUNCTION("""COMPUTED_VALUE"""),"Dod Bammasandra")</f>
        <v>Dod Bammasandra</v>
      </c>
      <c r="I657" s="1"/>
      <c r="J657" s="1" t="str">
        <f ca="1">IFERROR(__xludf.DUMMYFUNCTION("""COMPUTED_VALUE"""),"0d 00h 00m")</f>
        <v>0d 00h 00m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>
      <c r="A658" s="1">
        <f ca="1">IFERROR(__xludf.DUMMYFUNCTION("""COMPUTED_VALUE"""),60)</f>
        <v>60</v>
      </c>
      <c r="B658" s="1" t="str">
        <f ca="1">IFERROR(__xludf.DUMMYFUNCTION("""COMPUTED_VALUE"""),"N22_KA02AC4516_JETTING")</f>
        <v>N22_KA02AC4516_JETTING</v>
      </c>
      <c r="C658" s="1" t="str">
        <f ca="1">IFERROR(__xludf.DUMMYFUNCTION("""COMPUTED_VALUE"""),"n22_ka02ac4516_jetting")</f>
        <v>n22_ka02ac4516_jetting</v>
      </c>
      <c r="D658" s="2">
        <f ca="1">IFERROR(__xludf.DUMMYFUNCTION("""COMPUTED_VALUE"""),41640)</f>
        <v>41640</v>
      </c>
      <c r="E658" s="3">
        <f ca="1">IFERROR(__xludf.DUMMYFUNCTION("""COMPUTED_VALUE"""),0.503483796295768)</f>
        <v>0.503483796295768</v>
      </c>
      <c r="F658" s="1">
        <f ca="1">IFERROR(__xludf.DUMMYFUNCTION("""COMPUTED_VALUE"""),32334)</f>
        <v>32334</v>
      </c>
      <c r="G658" s="1" t="str">
        <f ca="1">IFERROR(__xludf.DUMMYFUNCTION("""COMPUTED_VALUE"""),"13.0662/77.5581")</f>
        <v>13.0662/77.5581</v>
      </c>
      <c r="H658" s="1" t="str">
        <f ca="1">IFERROR(__xludf.DUMMYFUNCTION("""COMPUTED_VALUE"""),"Dod Bammasandra")</f>
        <v>Dod Bammasandra</v>
      </c>
      <c r="I658" s="1"/>
      <c r="J658" s="1" t="str">
        <f ca="1">IFERROR(__xludf.DUMMYFUNCTION("""COMPUTED_VALUE"""),"0d 00h 00m")</f>
        <v>0d 00h 00m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>
      <c r="A659" s="1">
        <f ca="1">IFERROR(__xludf.DUMMYFUNCTION("""COMPUTED_VALUE"""),154)</f>
        <v>154</v>
      </c>
      <c r="B659" s="1" t="str">
        <f ca="1">IFERROR(__xludf.DUMMYFUNCTION("""COMPUTED_VALUE"""),"N22_KA04D4102_JETTING")</f>
        <v>N22_KA04D4102_JETTING</v>
      </c>
      <c r="C659" s="1" t="str">
        <f ca="1">IFERROR(__xludf.DUMMYFUNCTION("""COMPUTED_VALUE"""),"n22_ka04d4102_jetting")</f>
        <v>n22_ka04d4102_jetting</v>
      </c>
      <c r="D659" s="2">
        <f ca="1">IFERROR(__xludf.DUMMYFUNCTION("""COMPUTED_VALUE"""),45315)</f>
        <v>45315</v>
      </c>
      <c r="E659" s="3">
        <f ca="1">IFERROR(__xludf.DUMMYFUNCTION("""COMPUTED_VALUE"""),0.457048611111531)</f>
        <v>0.457048611111531</v>
      </c>
      <c r="F659" s="1">
        <f ca="1">IFERROR(__xludf.DUMMYFUNCTION("""COMPUTED_VALUE"""),52667)</f>
        <v>52667</v>
      </c>
      <c r="G659" s="1" t="str">
        <f ca="1">IFERROR(__xludf.DUMMYFUNCTION("""COMPUTED_VALUE"""),"13.0728/77.5866")</f>
        <v>13.0728/77.5866</v>
      </c>
      <c r="H659" s="1" t="str">
        <f ca="1">IFERROR(__xludf.DUMMYFUNCTION("""COMPUTED_VALUE"""),"AlÄlsandra State Plantation")</f>
        <v>AlÄlsandra State Plantation</v>
      </c>
      <c r="I659" s="1"/>
      <c r="J659" s="1" t="str">
        <f ca="1">IFERROR(__xludf.DUMMYFUNCTION("""COMPUTED_VALUE"""),"89d 21h 03m")</f>
        <v>89d 21h 03m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>
      <c r="A660" s="1">
        <f ca="1">IFERROR(__xludf.DUMMYFUNCTION("""COMPUTED_VALUE"""),186)</f>
        <v>186</v>
      </c>
      <c r="B660" s="1" t="str">
        <f ca="1">IFERROR(__xludf.DUMMYFUNCTION("""COMPUTED_VALUE"""),"N2_KA04AA9015_Desilting")</f>
        <v>N2_KA04AA9015_Desilting</v>
      </c>
      <c r="C660" s="1" t="str">
        <f ca="1">IFERROR(__xludf.DUMMYFUNCTION("""COMPUTED_VALUE"""),"n2_ka04aa9015_desilting")</f>
        <v>n2_ka04aa9015_desilting</v>
      </c>
      <c r="D660" s="2">
        <f ca="1">IFERROR(__xludf.DUMMYFUNCTION("""COMPUTED_VALUE"""),44707)</f>
        <v>44707</v>
      </c>
      <c r="E660" s="3">
        <f ca="1">IFERROR(__xludf.DUMMYFUNCTION("""COMPUTED_VALUE"""),0.999097222222189)</f>
        <v>0.999097222222189</v>
      </c>
      <c r="F660" s="1">
        <f ca="1">IFERROR(__xludf.DUMMYFUNCTION("""COMPUTED_VALUE"""),5701)</f>
        <v>5701</v>
      </c>
      <c r="G660" s="1" t="str">
        <f ca="1">IFERROR(__xludf.DUMMYFUNCTION("""COMPUTED_VALUE"""),"13.1016/77.5859")</f>
        <v>13.1016/77.5859</v>
      </c>
      <c r="H660" s="1" t="str">
        <f ca="1">IFERROR(__xludf.DUMMYFUNCTION("""COMPUTED_VALUE"""),"Puttanahalli")</f>
        <v>Puttanahalli</v>
      </c>
      <c r="I660" s="1"/>
      <c r="J660" s="1" t="str">
        <f ca="1">IFERROR(__xludf.DUMMYFUNCTION("""COMPUTED_VALUE"""),"0d 00h 00m")</f>
        <v>0d 00h 00m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>
      <c r="A661" s="1">
        <f ca="1">IFERROR(__xludf.DUMMYFUNCTION("""COMPUTED_VALUE"""),211)</f>
        <v>211</v>
      </c>
      <c r="B661" s="1" t="str">
        <f ca="1">IFERROR(__xludf.DUMMYFUNCTION("""COMPUTED_VALUE"""),"N2_KA04AA9015_Desilting")</f>
        <v>N2_KA04AA9015_Desilting</v>
      </c>
      <c r="C661" s="1" t="str">
        <f ca="1">IFERROR(__xludf.DUMMYFUNCTION("""COMPUTED_VALUE"""),"n2_ka04aa9015_desilting")</f>
        <v>n2_ka04aa9015_desilting</v>
      </c>
      <c r="D661" s="2">
        <f ca="1">IFERROR(__xludf.DUMMYFUNCTION("""COMPUTED_VALUE"""),44738)</f>
        <v>44738</v>
      </c>
      <c r="E661" s="3">
        <f ca="1">IFERROR(__xludf.DUMMYFUNCTION("""COMPUTED_VALUE"""),0.999189814814599)</f>
        <v>0.99918981481459901</v>
      </c>
      <c r="F661" s="1">
        <f ca="1">IFERROR(__xludf.DUMMYFUNCTION("""COMPUTED_VALUE"""),6204)</f>
        <v>6204</v>
      </c>
      <c r="G661" s="1" t="str">
        <f ca="1">IFERROR(__xludf.DUMMYFUNCTION("""COMPUTED_VALUE"""),"13.1015/77.5856")</f>
        <v>13.1015/77.5856</v>
      </c>
      <c r="H661" s="1" t="str">
        <f ca="1">IFERROR(__xludf.DUMMYFUNCTION("""COMPUTED_VALUE"""),"Puttanahalli")</f>
        <v>Puttanahalli</v>
      </c>
      <c r="I661" s="1"/>
      <c r="J661" s="1" t="str">
        <f ca="1">IFERROR(__xludf.DUMMYFUNCTION("""COMPUTED_VALUE"""),"0d 00h 00m")</f>
        <v>0d 00h 00m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>
      <c r="A662" s="1">
        <f ca="1">IFERROR(__xludf.DUMMYFUNCTION("""COMPUTED_VALUE"""),141)</f>
        <v>141</v>
      </c>
      <c r="B662" s="1" t="str">
        <f ca="1">IFERROR(__xludf.DUMMYFUNCTION("""COMPUTED_VALUE"""),"N2_KA04AA9015_Desilting")</f>
        <v>N2_KA04AA9015_Desilting</v>
      </c>
      <c r="C662" s="1" t="str">
        <f ca="1">IFERROR(__xludf.DUMMYFUNCTION("""COMPUTED_VALUE"""),"n2_ka04aa9015_desilting")</f>
        <v>n2_ka04aa9015_desilting</v>
      </c>
      <c r="D662" s="2">
        <f ca="1">IFERROR(__xludf.DUMMYFUNCTION("""COMPUTED_VALUE"""),44768)</f>
        <v>44768</v>
      </c>
      <c r="E662" s="3">
        <f ca="1">IFERROR(__xludf.DUMMYFUNCTION("""COMPUTED_VALUE"""),0.66556712962847)</f>
        <v>0.66556712962846998</v>
      </c>
      <c r="F662" s="1">
        <f ca="1">IFERROR(__xludf.DUMMYFUNCTION("""COMPUTED_VALUE"""),6556)</f>
        <v>6556</v>
      </c>
      <c r="G662" s="1" t="str">
        <f ca="1">IFERROR(__xludf.DUMMYFUNCTION("""COMPUTED_VALUE"""),"13.1015/77.5857")</f>
        <v>13.1015/77.5857</v>
      </c>
      <c r="H662" s="1" t="str">
        <f ca="1">IFERROR(__xludf.DUMMYFUNCTION("""COMPUTED_VALUE"""),"Puttanahalli")</f>
        <v>Puttanahalli</v>
      </c>
      <c r="I662" s="1"/>
      <c r="J662" s="1" t="str">
        <f ca="1">IFERROR(__xludf.DUMMYFUNCTION("""COMPUTED_VALUE"""),"0d 00h 00m")</f>
        <v>0d 00h 00m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>
      <c r="A663" s="1">
        <f ca="1">IFERROR(__xludf.DUMMYFUNCTION("""COMPUTED_VALUE"""),193)</f>
        <v>193</v>
      </c>
      <c r="B663" s="1" t="str">
        <f ca="1">IFERROR(__xludf.DUMMYFUNCTION("""COMPUTED_VALUE"""),"N2_KA04AA9015_Desilting")</f>
        <v>N2_KA04AA9015_Desilting</v>
      </c>
      <c r="C663" s="1" t="str">
        <f ca="1">IFERROR(__xludf.DUMMYFUNCTION("""COMPUTED_VALUE"""),"n2_ka04aa9015_desilting")</f>
        <v>n2_ka04aa9015_desilting</v>
      </c>
      <c r="D663" s="2">
        <f ca="1">IFERROR(__xludf.DUMMYFUNCTION("""COMPUTED_VALUE"""),44799)</f>
        <v>44799</v>
      </c>
      <c r="E663" s="3">
        <f ca="1">IFERROR(__xludf.DUMMYFUNCTION("""COMPUTED_VALUE"""),0.999085648149048)</f>
        <v>0.99908564814904799</v>
      </c>
      <c r="F663" s="1">
        <f ca="1">IFERROR(__xludf.DUMMYFUNCTION("""COMPUTED_VALUE"""),6855)</f>
        <v>6855</v>
      </c>
      <c r="G663" s="1" t="str">
        <f ca="1">IFERROR(__xludf.DUMMYFUNCTION("""COMPUTED_VALUE"""),"13.1017/77.5856")</f>
        <v>13.1017/77.5856</v>
      </c>
      <c r="H663" s="1" t="str">
        <f ca="1">IFERROR(__xludf.DUMMYFUNCTION("""COMPUTED_VALUE"""),"Puttanahalli")</f>
        <v>Puttanahalli</v>
      </c>
      <c r="I663" s="1"/>
      <c r="J663" s="1" t="str">
        <f ca="1">IFERROR(__xludf.DUMMYFUNCTION("""COMPUTED_VALUE"""),"0d 00h 00m")</f>
        <v>0d 00h 00m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>
      <c r="A664" s="1">
        <f ca="1">IFERROR(__xludf.DUMMYFUNCTION("""COMPUTED_VALUE"""),185)</f>
        <v>185</v>
      </c>
      <c r="B664" s="1" t="str">
        <f ca="1">IFERROR(__xludf.DUMMYFUNCTION("""COMPUTED_VALUE"""),"N2_KA04AA9015_Desilting")</f>
        <v>N2_KA04AA9015_Desilting</v>
      </c>
      <c r="C664" s="1" t="str">
        <f ca="1">IFERROR(__xludf.DUMMYFUNCTION("""COMPUTED_VALUE"""),"n2_ka04aa9015_desilting")</f>
        <v>n2_ka04aa9015_desilting</v>
      </c>
      <c r="D664" s="2">
        <f ca="1">IFERROR(__xludf.DUMMYFUNCTION("""COMPUTED_VALUE"""),44830)</f>
        <v>44830</v>
      </c>
      <c r="E664" s="3">
        <f ca="1">IFERROR(__xludf.DUMMYFUNCTION("""COMPUTED_VALUE"""),0.999074074072268)</f>
        <v>0.999074074072268</v>
      </c>
      <c r="F664" s="1">
        <f ca="1">IFERROR(__xludf.DUMMYFUNCTION("""COMPUTED_VALUE"""),7352)</f>
        <v>7352</v>
      </c>
      <c r="G664" s="1" t="str">
        <f ca="1">IFERROR(__xludf.DUMMYFUNCTION("""COMPUTED_VALUE"""),"13.1017/77.5857")</f>
        <v>13.1017/77.5857</v>
      </c>
      <c r="H664" s="1" t="str">
        <f ca="1">IFERROR(__xludf.DUMMYFUNCTION("""COMPUTED_VALUE"""),"Puttanahalli")</f>
        <v>Puttanahalli</v>
      </c>
      <c r="I664" s="1"/>
      <c r="J664" s="1" t="str">
        <f ca="1">IFERROR(__xludf.DUMMYFUNCTION("""COMPUTED_VALUE"""),"0d 00h 00m")</f>
        <v>0d 00h 00m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>
      <c r="A665" s="1">
        <f ca="1">IFERROR(__xludf.DUMMYFUNCTION("""COMPUTED_VALUE"""),199)</f>
        <v>199</v>
      </c>
      <c r="B665" s="1" t="str">
        <f ca="1">IFERROR(__xludf.DUMMYFUNCTION("""COMPUTED_VALUE"""),"N2_KA04AA9015_Desilting")</f>
        <v>N2_KA04AA9015_Desilting</v>
      </c>
      <c r="C665" s="1" t="str">
        <f ca="1">IFERROR(__xludf.DUMMYFUNCTION("""COMPUTED_VALUE"""),"n2_ka04aa9015_desilting")</f>
        <v>n2_ka04aa9015_desilting</v>
      </c>
      <c r="D665" s="2">
        <f ca="1">IFERROR(__xludf.DUMMYFUNCTION("""COMPUTED_VALUE"""),44860)</f>
        <v>44860</v>
      </c>
      <c r="E665" s="3">
        <f ca="1">IFERROR(__xludf.DUMMYFUNCTION("""COMPUTED_VALUE"""),0.999155092591536)</f>
        <v>0.99915509259153601</v>
      </c>
      <c r="F665" s="1">
        <f ca="1">IFERROR(__xludf.DUMMYFUNCTION("""COMPUTED_VALUE"""),7830)</f>
        <v>7830</v>
      </c>
      <c r="G665" s="1" t="str">
        <f ca="1">IFERROR(__xludf.DUMMYFUNCTION("""COMPUTED_VALUE"""),"13.1015/77.5857")</f>
        <v>13.1015/77.5857</v>
      </c>
      <c r="H665" s="1" t="str">
        <f ca="1">IFERROR(__xludf.DUMMYFUNCTION("""COMPUTED_VALUE"""),"Puttanahalli")</f>
        <v>Puttanahalli</v>
      </c>
      <c r="I665" s="1"/>
      <c r="J665" s="1" t="str">
        <f ca="1">IFERROR(__xludf.DUMMYFUNCTION("""COMPUTED_VALUE"""),"0d 00h 00m")</f>
        <v>0d 00h 00m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>
      <c r="A666" s="1">
        <f ca="1">IFERROR(__xludf.DUMMYFUNCTION("""COMPUTED_VALUE"""),226)</f>
        <v>226</v>
      </c>
      <c r="B666" s="1" t="str">
        <f ca="1">IFERROR(__xludf.DUMMYFUNCTION("""COMPUTED_VALUE"""),"N2_KA04AB5791_Jetting")</f>
        <v>N2_KA04AB5791_Jetting</v>
      </c>
      <c r="C666" s="1" t="str">
        <f ca="1">IFERROR(__xludf.DUMMYFUNCTION("""COMPUTED_VALUE"""),"n2_ka04ab5791_jetting")</f>
        <v>n2_ka04ab5791_jetting</v>
      </c>
      <c r="D666" s="2">
        <f ca="1">IFERROR(__xludf.DUMMYFUNCTION("""COMPUTED_VALUE"""),44707)</f>
        <v>44707</v>
      </c>
      <c r="E666" s="3">
        <f ca="1">IFERROR(__xludf.DUMMYFUNCTION("""COMPUTED_VALUE"""),0.99929398148015)</f>
        <v>0.99929398148015003</v>
      </c>
      <c r="F666" s="1">
        <f ca="1">IFERROR(__xludf.DUMMYFUNCTION("""COMPUTED_VALUE"""),56560)</f>
        <v>56560</v>
      </c>
      <c r="G666" s="1" t="str">
        <f ca="1">IFERROR(__xludf.DUMMYFUNCTION("""COMPUTED_VALUE"""),"13.1017/77.5859")</f>
        <v>13.1017/77.5859</v>
      </c>
      <c r="H666" s="1" t="str">
        <f ca="1">IFERROR(__xludf.DUMMYFUNCTION("""COMPUTED_VALUE"""),"Puttanahalli")</f>
        <v>Puttanahalli</v>
      </c>
      <c r="I666" s="1"/>
      <c r="J666" s="1" t="str">
        <f ca="1">IFERROR(__xludf.DUMMYFUNCTION("""COMPUTED_VALUE"""),"0d 00h 00m")</f>
        <v>0d 00h 00m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>
      <c r="A667" s="1">
        <f ca="1">IFERROR(__xludf.DUMMYFUNCTION("""COMPUTED_VALUE"""),178)</f>
        <v>178</v>
      </c>
      <c r="B667" s="1" t="str">
        <f ca="1">IFERROR(__xludf.DUMMYFUNCTION("""COMPUTED_VALUE"""),"N2_KA04AB5791_Jetting")</f>
        <v>N2_KA04AB5791_Jetting</v>
      </c>
      <c r="C667" s="1" t="str">
        <f ca="1">IFERROR(__xludf.DUMMYFUNCTION("""COMPUTED_VALUE"""),"n2_ka04ab5791_jetting")</f>
        <v>n2_ka04ab5791_jetting</v>
      </c>
      <c r="D667" s="2">
        <f ca="1">IFERROR(__xludf.DUMMYFUNCTION("""COMPUTED_VALUE"""),44738)</f>
        <v>44738</v>
      </c>
      <c r="E667" s="3">
        <f ca="1">IFERROR(__xludf.DUMMYFUNCTION("""COMPUTED_VALUE"""),0.999062499999126)</f>
        <v>0.999062499999126</v>
      </c>
      <c r="F667" s="1">
        <f ca="1">IFERROR(__xludf.DUMMYFUNCTION("""COMPUTED_VALUE"""),57444)</f>
        <v>57444</v>
      </c>
      <c r="G667" s="1" t="str">
        <f ca="1">IFERROR(__xludf.DUMMYFUNCTION("""COMPUTED_VALUE"""),"13.1017/77.5860")</f>
        <v>13.1017/77.5860</v>
      </c>
      <c r="H667" s="1" t="str">
        <f ca="1">IFERROR(__xludf.DUMMYFUNCTION("""COMPUTED_VALUE"""),"Puttanahalli")</f>
        <v>Puttanahalli</v>
      </c>
      <c r="I667" s="1"/>
      <c r="J667" s="1" t="str">
        <f ca="1">IFERROR(__xludf.DUMMYFUNCTION("""COMPUTED_VALUE"""),"0d 00h 00m")</f>
        <v>0d 00h 00m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>
      <c r="A668" s="1">
        <f ca="1">IFERROR(__xludf.DUMMYFUNCTION("""COMPUTED_VALUE"""),173)</f>
        <v>173</v>
      </c>
      <c r="B668" s="1" t="str">
        <f ca="1">IFERROR(__xludf.DUMMYFUNCTION("""COMPUTED_VALUE"""),"N2_KA04AB5791_Jetting")</f>
        <v>N2_KA04AB5791_Jetting</v>
      </c>
      <c r="C668" s="1" t="str">
        <f ca="1">IFERROR(__xludf.DUMMYFUNCTION("""COMPUTED_VALUE"""),"n2_ka04ab5791_jetting")</f>
        <v>n2_ka04ab5791_jetting</v>
      </c>
      <c r="D668" s="2">
        <f ca="1">IFERROR(__xludf.DUMMYFUNCTION("""COMPUTED_VALUE"""),44768)</f>
        <v>44768</v>
      </c>
      <c r="E668" s="3">
        <f ca="1">IFERROR(__xludf.DUMMYFUNCTION("""COMPUTED_VALUE"""),0.99900462962978)</f>
        <v>0.99900462962977998</v>
      </c>
      <c r="F668" s="1">
        <f ca="1">IFERROR(__xludf.DUMMYFUNCTION("""COMPUTED_VALUE"""),58584)</f>
        <v>58584</v>
      </c>
      <c r="G668" s="1" t="str">
        <f ca="1">IFERROR(__xludf.DUMMYFUNCTION("""COMPUTED_VALUE"""),"13.1017/77.5858")</f>
        <v>13.1017/77.5858</v>
      </c>
      <c r="H668" s="1" t="str">
        <f ca="1">IFERROR(__xludf.DUMMYFUNCTION("""COMPUTED_VALUE"""),"Puttanahalli")</f>
        <v>Puttanahalli</v>
      </c>
      <c r="I668" s="1"/>
      <c r="J668" s="1" t="str">
        <f ca="1">IFERROR(__xludf.DUMMYFUNCTION("""COMPUTED_VALUE"""),"0d 00h 00m")</f>
        <v>0d 00h 00m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>
      <c r="A669" s="1">
        <f ca="1">IFERROR(__xludf.DUMMYFUNCTION("""COMPUTED_VALUE"""),216)</f>
        <v>216</v>
      </c>
      <c r="B669" s="1" t="str">
        <f ca="1">IFERROR(__xludf.DUMMYFUNCTION("""COMPUTED_VALUE"""),"N2_KA04AB5791_Jetting")</f>
        <v>N2_KA04AB5791_Jetting</v>
      </c>
      <c r="C669" s="1" t="str">
        <f ca="1">IFERROR(__xludf.DUMMYFUNCTION("""COMPUTED_VALUE"""),"n2_ka04ab5791_jetting")</f>
        <v>n2_ka04ab5791_jetting</v>
      </c>
      <c r="D669" s="2">
        <f ca="1">IFERROR(__xludf.DUMMYFUNCTION("""COMPUTED_VALUE"""),44799)</f>
        <v>44799</v>
      </c>
      <c r="E669" s="3">
        <f ca="1">IFERROR(__xludf.DUMMYFUNCTION("""COMPUTED_VALUE"""),0.999189814814599)</f>
        <v>0.99918981481459901</v>
      </c>
      <c r="F669" s="1">
        <f ca="1">IFERROR(__xludf.DUMMYFUNCTION("""COMPUTED_VALUE"""),59683)</f>
        <v>59683</v>
      </c>
      <c r="G669" s="1" t="str">
        <f ca="1">IFERROR(__xludf.DUMMYFUNCTION("""COMPUTED_VALUE"""),"13.1017/77.5861")</f>
        <v>13.1017/77.5861</v>
      </c>
      <c r="H669" s="1" t="str">
        <f ca="1">IFERROR(__xludf.DUMMYFUNCTION("""COMPUTED_VALUE"""),"Puttanahalli")</f>
        <v>Puttanahalli</v>
      </c>
      <c r="I669" s="1"/>
      <c r="J669" s="1" t="str">
        <f ca="1">IFERROR(__xludf.DUMMYFUNCTION("""COMPUTED_VALUE"""),"0d 00h 00m")</f>
        <v>0d 00h 00m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>
      <c r="A670" s="1">
        <f ca="1">IFERROR(__xludf.DUMMYFUNCTION("""COMPUTED_VALUE"""),197)</f>
        <v>197</v>
      </c>
      <c r="B670" s="1" t="str">
        <f ca="1">IFERROR(__xludf.DUMMYFUNCTION("""COMPUTED_VALUE"""),"N2_KA04AB5791_Jetting")</f>
        <v>N2_KA04AB5791_Jetting</v>
      </c>
      <c r="C670" s="1" t="str">
        <f ca="1">IFERROR(__xludf.DUMMYFUNCTION("""COMPUTED_VALUE"""),"n2_ka04ab5791_jetting")</f>
        <v>n2_ka04ab5791_jetting</v>
      </c>
      <c r="D670" s="2">
        <f ca="1">IFERROR(__xludf.DUMMYFUNCTION("""COMPUTED_VALUE"""),44830)</f>
        <v>44830</v>
      </c>
      <c r="E670" s="3">
        <f ca="1">IFERROR(__xludf.DUMMYFUNCTION("""COMPUTED_VALUE"""),0.999120370372111)</f>
        <v>0.99912037037211099</v>
      </c>
      <c r="F670" s="1">
        <f ca="1">IFERROR(__xludf.DUMMYFUNCTION("""COMPUTED_VALUE"""),60566)</f>
        <v>60566</v>
      </c>
      <c r="G670" s="1" t="str">
        <f ca="1">IFERROR(__xludf.DUMMYFUNCTION("""COMPUTED_VALUE"""),"13.1016/77.5859")</f>
        <v>13.1016/77.5859</v>
      </c>
      <c r="H670" s="1" t="str">
        <f ca="1">IFERROR(__xludf.DUMMYFUNCTION("""COMPUTED_VALUE"""),"Puttanahalli")</f>
        <v>Puttanahalli</v>
      </c>
      <c r="I670" s="1"/>
      <c r="J670" s="1" t="str">
        <f ca="1">IFERROR(__xludf.DUMMYFUNCTION("""COMPUTED_VALUE"""),"0d 00h 00m")</f>
        <v>0d 00h 00m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>
      <c r="A671" s="1">
        <f ca="1">IFERROR(__xludf.DUMMYFUNCTION("""COMPUTED_VALUE"""),175)</f>
        <v>175</v>
      </c>
      <c r="B671" s="1" t="str">
        <f ca="1">IFERROR(__xludf.DUMMYFUNCTION("""COMPUTED_VALUE"""),"N2_KA04AB5791_Jetting")</f>
        <v>N2_KA04AB5791_Jetting</v>
      </c>
      <c r="C671" s="1" t="str">
        <f ca="1">IFERROR(__xludf.DUMMYFUNCTION("""COMPUTED_VALUE"""),"n2_ka04ab5791_jetting")</f>
        <v>n2_ka04ab5791_jetting</v>
      </c>
      <c r="D671" s="2">
        <f ca="1">IFERROR(__xludf.DUMMYFUNCTION("""COMPUTED_VALUE"""),44860)</f>
        <v>44860</v>
      </c>
      <c r="E671" s="3">
        <f ca="1">IFERROR(__xludf.DUMMYFUNCTION("""COMPUTED_VALUE"""),0.999039351852843)</f>
        <v>0.99903935185284298</v>
      </c>
      <c r="F671" s="1">
        <f ca="1">IFERROR(__xludf.DUMMYFUNCTION("""COMPUTED_VALUE"""),61703)</f>
        <v>61703</v>
      </c>
      <c r="G671" s="1" t="str">
        <f ca="1">IFERROR(__xludf.DUMMYFUNCTION("""COMPUTED_VALUE"""),"13.1015/77.5861")</f>
        <v>13.1015/77.5861</v>
      </c>
      <c r="H671" s="1" t="str">
        <f ca="1">IFERROR(__xludf.DUMMYFUNCTION("""COMPUTED_VALUE"""),"Puttanahalli")</f>
        <v>Puttanahalli</v>
      </c>
      <c r="I671" s="1"/>
      <c r="J671" s="1" t="str">
        <f ca="1">IFERROR(__xludf.DUMMYFUNCTION("""COMPUTED_VALUE"""),"0d 00h 00m")</f>
        <v>0d 00h 00m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>
      <c r="A672" s="1">
        <f ca="1">IFERROR(__xludf.DUMMYFUNCTION("""COMPUTED_VALUE"""),16)</f>
        <v>16</v>
      </c>
      <c r="B672" s="1" t="str">
        <f ca="1">IFERROR(__xludf.DUMMYFUNCTION("""COMPUTED_VALUE"""),"N2_KA04C2201_Jetting")</f>
        <v>N2_KA04C2201_Jetting</v>
      </c>
      <c r="C672" s="1" t="str">
        <f ca="1">IFERROR(__xludf.DUMMYFUNCTION("""COMPUTED_VALUE"""),"n2_ka04c2201_jetting")</f>
        <v>n2_ka04c2201_jetting</v>
      </c>
      <c r="D672" s="2">
        <f ca="1">IFERROR(__xludf.DUMMYFUNCTION("""COMPUTED_VALUE"""),43844)</f>
        <v>43844</v>
      </c>
      <c r="E672" s="3">
        <f ca="1">IFERROR(__xludf.DUMMYFUNCTION("""COMPUTED_VALUE"""),0.709826388887449)</f>
        <v>0.70982638888744898</v>
      </c>
      <c r="F672" s="1">
        <f ca="1">IFERROR(__xludf.DUMMYFUNCTION("""COMPUTED_VALUE"""),21679)</f>
        <v>21679</v>
      </c>
      <c r="G672" s="1" t="str">
        <f ca="1">IFERROR(__xludf.DUMMYFUNCTION("""COMPUTED_VALUE"""),"13.1016/77.5862")</f>
        <v>13.1016/77.5862</v>
      </c>
      <c r="H672" s="1" t="str">
        <f ca="1">IFERROR(__xludf.DUMMYFUNCTION("""COMPUTED_VALUE"""),"Puttanahalli")</f>
        <v>Puttanahalli</v>
      </c>
      <c r="I672" s="1"/>
      <c r="J672" s="1" t="str">
        <f ca="1">IFERROR(__xludf.DUMMYFUNCTION("""COMPUTED_VALUE"""),"0d 19h 20m")</f>
        <v>0d 19h 20m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>
      <c r="A673" s="1">
        <f ca="1">IFERROR(__xludf.DUMMYFUNCTION("""COMPUTED_VALUE"""),16)</f>
        <v>16</v>
      </c>
      <c r="B673" s="1" t="str">
        <f ca="1">IFERROR(__xludf.DUMMYFUNCTION("""COMPUTED_VALUE"""),"N2_KA04C2201_Jetting")</f>
        <v>N2_KA04C2201_Jetting</v>
      </c>
      <c r="C673" s="1" t="str">
        <f ca="1">IFERROR(__xludf.DUMMYFUNCTION("""COMPUTED_VALUE"""),"n2_ka04c2201_jetting")</f>
        <v>n2_ka04c2201_jetting</v>
      </c>
      <c r="D673" s="2">
        <f ca="1">IFERROR(__xludf.DUMMYFUNCTION("""COMPUTED_VALUE"""),43844)</f>
        <v>43844</v>
      </c>
      <c r="E673" s="3">
        <f ca="1">IFERROR(__xludf.DUMMYFUNCTION("""COMPUTED_VALUE"""),0.709826388887449)</f>
        <v>0.70982638888744898</v>
      </c>
      <c r="F673" s="1">
        <f ca="1">IFERROR(__xludf.DUMMYFUNCTION("""COMPUTED_VALUE"""),21679)</f>
        <v>21679</v>
      </c>
      <c r="G673" s="1" t="str">
        <f ca="1">IFERROR(__xludf.DUMMYFUNCTION("""COMPUTED_VALUE"""),"13.1016/77.5862")</f>
        <v>13.1016/77.5862</v>
      </c>
      <c r="H673" s="1" t="str">
        <f ca="1">IFERROR(__xludf.DUMMYFUNCTION("""COMPUTED_VALUE"""),"Puttanahalli")</f>
        <v>Puttanahalli</v>
      </c>
      <c r="I673" s="1"/>
      <c r="J673" s="1" t="str">
        <f ca="1">IFERROR(__xludf.DUMMYFUNCTION("""COMPUTED_VALUE"""),"0d 19h 21m")</f>
        <v>0d 19h 21m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>
      <c r="A674" s="1">
        <f ca="1">IFERROR(__xludf.DUMMYFUNCTION("""COMPUTED_VALUE"""),16)</f>
        <v>16</v>
      </c>
      <c r="B674" s="1" t="str">
        <f ca="1">IFERROR(__xludf.DUMMYFUNCTION("""COMPUTED_VALUE"""),"N2_KA04C2201_Jetting")</f>
        <v>N2_KA04C2201_Jetting</v>
      </c>
      <c r="C674" s="1" t="str">
        <f ca="1">IFERROR(__xludf.DUMMYFUNCTION("""COMPUTED_VALUE"""),"n2_ka04c2201_jetting")</f>
        <v>n2_ka04c2201_jetting</v>
      </c>
      <c r="D674" s="2">
        <f ca="1">IFERROR(__xludf.DUMMYFUNCTION("""COMPUTED_VALUE"""),43844)</f>
        <v>43844</v>
      </c>
      <c r="E674" s="3">
        <f ca="1">IFERROR(__xludf.DUMMYFUNCTION("""COMPUTED_VALUE"""),0.709826388887449)</f>
        <v>0.70982638888744898</v>
      </c>
      <c r="F674" s="1">
        <f ca="1">IFERROR(__xludf.DUMMYFUNCTION("""COMPUTED_VALUE"""),21679)</f>
        <v>21679</v>
      </c>
      <c r="G674" s="1" t="str">
        <f ca="1">IFERROR(__xludf.DUMMYFUNCTION("""COMPUTED_VALUE"""),"13.1016/77.5862")</f>
        <v>13.1016/77.5862</v>
      </c>
      <c r="H674" s="1" t="str">
        <f ca="1">IFERROR(__xludf.DUMMYFUNCTION("""COMPUTED_VALUE"""),"Puttanahalli")</f>
        <v>Puttanahalli</v>
      </c>
      <c r="I674" s="1"/>
      <c r="J674" s="1" t="str">
        <f ca="1">IFERROR(__xludf.DUMMYFUNCTION("""COMPUTED_VALUE"""),"0d 19h 22m")</f>
        <v>0d 19h 22m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>
      <c r="A675" s="1">
        <f ca="1">IFERROR(__xludf.DUMMYFUNCTION("""COMPUTED_VALUE"""),16)</f>
        <v>16</v>
      </c>
      <c r="B675" s="1" t="str">
        <f ca="1">IFERROR(__xludf.DUMMYFUNCTION("""COMPUTED_VALUE"""),"N2_KA04C2201_Jetting")</f>
        <v>N2_KA04C2201_Jetting</v>
      </c>
      <c r="C675" s="1" t="str">
        <f ca="1">IFERROR(__xludf.DUMMYFUNCTION("""COMPUTED_VALUE"""),"n2_ka04c2201_jetting")</f>
        <v>n2_ka04c2201_jetting</v>
      </c>
      <c r="D675" s="2">
        <f ca="1">IFERROR(__xludf.DUMMYFUNCTION("""COMPUTED_VALUE"""),43844)</f>
        <v>43844</v>
      </c>
      <c r="E675" s="3">
        <f ca="1">IFERROR(__xludf.DUMMYFUNCTION("""COMPUTED_VALUE"""),0.709826388887449)</f>
        <v>0.70982638888744898</v>
      </c>
      <c r="F675" s="1">
        <f ca="1">IFERROR(__xludf.DUMMYFUNCTION("""COMPUTED_VALUE"""),21679)</f>
        <v>21679</v>
      </c>
      <c r="G675" s="1" t="str">
        <f ca="1">IFERROR(__xludf.DUMMYFUNCTION("""COMPUTED_VALUE"""),"13.1016/77.5862")</f>
        <v>13.1016/77.5862</v>
      </c>
      <c r="H675" s="1" t="str">
        <f ca="1">IFERROR(__xludf.DUMMYFUNCTION("""COMPUTED_VALUE"""),"Puttanahalli")</f>
        <v>Puttanahalli</v>
      </c>
      <c r="I675" s="1"/>
      <c r="J675" s="1" t="str">
        <f ca="1">IFERROR(__xludf.DUMMYFUNCTION("""COMPUTED_VALUE"""),"0d 19h 23m")</f>
        <v>0d 19h 23m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>
      <c r="A676" s="1">
        <f ca="1">IFERROR(__xludf.DUMMYFUNCTION("""COMPUTED_VALUE"""),16)</f>
        <v>16</v>
      </c>
      <c r="B676" s="1" t="str">
        <f ca="1">IFERROR(__xludf.DUMMYFUNCTION("""COMPUTED_VALUE"""),"N2_KA04C2201_Jetting")</f>
        <v>N2_KA04C2201_Jetting</v>
      </c>
      <c r="C676" s="1" t="str">
        <f ca="1">IFERROR(__xludf.DUMMYFUNCTION("""COMPUTED_VALUE"""),"n2_ka04c2201_jetting")</f>
        <v>n2_ka04c2201_jetting</v>
      </c>
      <c r="D676" s="2">
        <f ca="1">IFERROR(__xludf.DUMMYFUNCTION("""COMPUTED_VALUE"""),43844)</f>
        <v>43844</v>
      </c>
      <c r="E676" s="3">
        <f ca="1">IFERROR(__xludf.DUMMYFUNCTION("""COMPUTED_VALUE"""),0.709826388887449)</f>
        <v>0.70982638888744898</v>
      </c>
      <c r="F676" s="1">
        <f ca="1">IFERROR(__xludf.DUMMYFUNCTION("""COMPUTED_VALUE"""),21679)</f>
        <v>21679</v>
      </c>
      <c r="G676" s="1" t="str">
        <f ca="1">IFERROR(__xludf.DUMMYFUNCTION("""COMPUTED_VALUE"""),"13.1016/77.5862")</f>
        <v>13.1016/77.5862</v>
      </c>
      <c r="H676" s="1" t="str">
        <f ca="1">IFERROR(__xludf.DUMMYFUNCTION("""COMPUTED_VALUE"""),"Puttanahalli")</f>
        <v>Puttanahalli</v>
      </c>
      <c r="I676" s="1"/>
      <c r="J676" s="1" t="str">
        <f ca="1">IFERROR(__xludf.DUMMYFUNCTION("""COMPUTED_VALUE"""),"0d 19h 24m")</f>
        <v>0d 19h 24m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>
      <c r="A677" s="1">
        <f ca="1">IFERROR(__xludf.DUMMYFUNCTION("""COMPUTED_VALUE"""),16)</f>
        <v>16</v>
      </c>
      <c r="B677" s="1" t="str">
        <f ca="1">IFERROR(__xludf.DUMMYFUNCTION("""COMPUTED_VALUE"""),"N2_KA04C2201_Jetting")</f>
        <v>N2_KA04C2201_Jetting</v>
      </c>
      <c r="C677" s="1" t="str">
        <f ca="1">IFERROR(__xludf.DUMMYFUNCTION("""COMPUTED_VALUE"""),"n2_ka04c2201_jetting")</f>
        <v>n2_ka04c2201_jetting</v>
      </c>
      <c r="D677" s="2">
        <f ca="1">IFERROR(__xludf.DUMMYFUNCTION("""COMPUTED_VALUE"""),43844)</f>
        <v>43844</v>
      </c>
      <c r="E677" s="3">
        <f ca="1">IFERROR(__xludf.DUMMYFUNCTION("""COMPUTED_VALUE"""),0.709826388887449)</f>
        <v>0.70982638888744898</v>
      </c>
      <c r="F677" s="1">
        <f ca="1">IFERROR(__xludf.DUMMYFUNCTION("""COMPUTED_VALUE"""),21679)</f>
        <v>21679</v>
      </c>
      <c r="G677" s="1" t="str">
        <f ca="1">IFERROR(__xludf.DUMMYFUNCTION("""COMPUTED_VALUE"""),"13.1016/77.5862")</f>
        <v>13.1016/77.5862</v>
      </c>
      <c r="H677" s="1" t="str">
        <f ca="1">IFERROR(__xludf.DUMMYFUNCTION("""COMPUTED_VALUE"""),"Puttanahalli")</f>
        <v>Puttanahalli</v>
      </c>
      <c r="I677" s="1"/>
      <c r="J677" s="1" t="str">
        <f ca="1">IFERROR(__xludf.DUMMYFUNCTION("""COMPUTED_VALUE"""),"0d 19h 24m")</f>
        <v>0d 19h 24m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>
      <c r="A678" s="1">
        <f ca="1">IFERROR(__xludf.DUMMYFUNCTION("""COMPUTED_VALUE"""),70)</f>
        <v>70</v>
      </c>
      <c r="B678" s="1" t="str">
        <f ca="1">IFERROR(__xludf.DUMMYFUNCTION("""COMPUTED_VALUE"""),"N2_KA04D5125_Tanker")</f>
        <v>N2_KA04D5125_Tanker</v>
      </c>
      <c r="C678" s="1" t="str">
        <f ca="1">IFERROR(__xludf.DUMMYFUNCTION("""COMPUTED_VALUE"""),"n2_ka04d5125_tanker")</f>
        <v>n2_ka04d5125_tanker</v>
      </c>
      <c r="D678" s="2">
        <f ca="1">IFERROR(__xludf.DUMMYFUNCTION("""COMPUTED_VALUE"""),44688)</f>
        <v>44688</v>
      </c>
      <c r="E678" s="3">
        <f ca="1">IFERROR(__xludf.DUMMYFUNCTION("""COMPUTED_VALUE"""),0.651956018518831)</f>
        <v>0.651956018518831</v>
      </c>
      <c r="F678" s="1">
        <f ca="1">IFERROR(__xludf.DUMMYFUNCTION("""COMPUTED_VALUE"""),13275)</f>
        <v>13275</v>
      </c>
      <c r="G678" s="1" t="str">
        <f ca="1">IFERROR(__xludf.DUMMYFUNCTION("""COMPUTED_VALUE"""),"13.0591/77.5871")</f>
        <v>13.0591/77.5871</v>
      </c>
      <c r="H678" s="1" t="str">
        <f ca="1">IFERROR(__xludf.DUMMYFUNCTION("""COMPUTED_VALUE"""),"Chairman's Club &amp; Resort")</f>
        <v>Chairman's Club &amp; Resort</v>
      </c>
      <c r="I678" s="1"/>
      <c r="J678" s="1" t="str">
        <f ca="1">IFERROR(__xludf.DUMMYFUNCTION("""COMPUTED_VALUE"""),"0d 00h 00m")</f>
        <v>0d 00h 00m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>
      <c r="A679" s="1">
        <f ca="1">IFERROR(__xludf.DUMMYFUNCTION("""COMPUTED_VALUE"""),52)</f>
        <v>52</v>
      </c>
      <c r="B679" s="1" t="str">
        <f ca="1">IFERROR(__xludf.DUMMYFUNCTION("""COMPUTED_VALUE"""),"N2_KA04D5125_Tanker")</f>
        <v>N2_KA04D5125_Tanker</v>
      </c>
      <c r="C679" s="1" t="str">
        <f ca="1">IFERROR(__xludf.DUMMYFUNCTION("""COMPUTED_VALUE"""),"n2_ka04d5125_tanker")</f>
        <v>n2_ka04d5125_tanker</v>
      </c>
      <c r="D679" s="2">
        <f ca="1">IFERROR(__xludf.DUMMYFUNCTION("""COMPUTED_VALUE"""),44688)</f>
        <v>44688</v>
      </c>
      <c r="E679" s="3">
        <f ca="1">IFERROR(__xludf.DUMMYFUNCTION("""COMPUTED_VALUE"""),0.651956018518831)</f>
        <v>0.651956018518831</v>
      </c>
      <c r="F679" s="1">
        <f ca="1">IFERROR(__xludf.DUMMYFUNCTION("""COMPUTED_VALUE"""),13275)</f>
        <v>13275</v>
      </c>
      <c r="G679" s="1" t="str">
        <f ca="1">IFERROR(__xludf.DUMMYFUNCTION("""COMPUTED_VALUE"""),"13.0591/77.5871")</f>
        <v>13.0591/77.5871</v>
      </c>
      <c r="H679" s="1" t="str">
        <f ca="1">IFERROR(__xludf.DUMMYFUNCTION("""COMPUTED_VALUE"""),"Chairman's Club &amp; Resort")</f>
        <v>Chairman's Club &amp; Resort</v>
      </c>
      <c r="I679" s="1"/>
      <c r="J679" s="1" t="str">
        <f ca="1">IFERROR(__xludf.DUMMYFUNCTION("""COMPUTED_VALUE"""),"0d 00h 00m")</f>
        <v>0d 00h 00m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>
      <c r="A680" s="1">
        <f ca="1">IFERROR(__xludf.DUMMYFUNCTION("""COMPUTED_VALUE"""),47)</f>
        <v>47</v>
      </c>
      <c r="B680" s="1" t="str">
        <f ca="1">IFERROR(__xludf.DUMMYFUNCTION("""COMPUTED_VALUE"""),"N2_KA04D5125_Tanker")</f>
        <v>N2_KA04D5125_Tanker</v>
      </c>
      <c r="C680" s="1" t="str">
        <f ca="1">IFERROR(__xludf.DUMMYFUNCTION("""COMPUTED_VALUE"""),"n2_ka04d5125_tanker")</f>
        <v>n2_ka04d5125_tanker</v>
      </c>
      <c r="D680" s="2">
        <f ca="1">IFERROR(__xludf.DUMMYFUNCTION("""COMPUTED_VALUE"""),44688)</f>
        <v>44688</v>
      </c>
      <c r="E680" s="3">
        <f ca="1">IFERROR(__xludf.DUMMYFUNCTION("""COMPUTED_VALUE"""),0.651956018518831)</f>
        <v>0.651956018518831</v>
      </c>
      <c r="F680" s="1">
        <f ca="1">IFERROR(__xludf.DUMMYFUNCTION("""COMPUTED_VALUE"""),13275)</f>
        <v>13275</v>
      </c>
      <c r="G680" s="1" t="str">
        <f ca="1">IFERROR(__xludf.DUMMYFUNCTION("""COMPUTED_VALUE"""),"13.0591/77.5871")</f>
        <v>13.0591/77.5871</v>
      </c>
      <c r="H680" s="1" t="str">
        <f ca="1">IFERROR(__xludf.DUMMYFUNCTION("""COMPUTED_VALUE"""),"Chairman's Club &amp; Resort")</f>
        <v>Chairman's Club &amp; Resort</v>
      </c>
      <c r="I680" s="1"/>
      <c r="J680" s="1" t="str">
        <f ca="1">IFERROR(__xludf.DUMMYFUNCTION("""COMPUTED_VALUE"""),"0d 00h 00m")</f>
        <v>0d 00h 00m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>
      <c r="A681" s="1">
        <f ca="1">IFERROR(__xludf.DUMMYFUNCTION("""COMPUTED_VALUE"""),47)</f>
        <v>47</v>
      </c>
      <c r="B681" s="1" t="str">
        <f ca="1">IFERROR(__xludf.DUMMYFUNCTION("""COMPUTED_VALUE"""),"N2_KA04D5125_Tanker")</f>
        <v>N2_KA04D5125_Tanker</v>
      </c>
      <c r="C681" s="1" t="str">
        <f ca="1">IFERROR(__xludf.DUMMYFUNCTION("""COMPUTED_VALUE"""),"n2_ka04d5125_tanker")</f>
        <v>n2_ka04d5125_tanker</v>
      </c>
      <c r="D681" s="2">
        <f ca="1">IFERROR(__xludf.DUMMYFUNCTION("""COMPUTED_VALUE"""),44688)</f>
        <v>44688</v>
      </c>
      <c r="E681" s="3">
        <f ca="1">IFERROR(__xludf.DUMMYFUNCTION("""COMPUTED_VALUE"""),0.651956018518831)</f>
        <v>0.651956018518831</v>
      </c>
      <c r="F681" s="1">
        <f ca="1">IFERROR(__xludf.DUMMYFUNCTION("""COMPUTED_VALUE"""),13275)</f>
        <v>13275</v>
      </c>
      <c r="G681" s="1" t="str">
        <f ca="1">IFERROR(__xludf.DUMMYFUNCTION("""COMPUTED_VALUE"""),"13.0591/77.5871")</f>
        <v>13.0591/77.5871</v>
      </c>
      <c r="H681" s="1" t="str">
        <f ca="1">IFERROR(__xludf.DUMMYFUNCTION("""COMPUTED_VALUE"""),"Chairman's Club &amp; Resort")</f>
        <v>Chairman's Club &amp; Resort</v>
      </c>
      <c r="I681" s="1"/>
      <c r="J681" s="1" t="str">
        <f ca="1">IFERROR(__xludf.DUMMYFUNCTION("""COMPUTED_VALUE"""),"0d 00h 00m")</f>
        <v>0d 00h 00m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>
      <c r="A682" s="1">
        <f ca="1">IFERROR(__xludf.DUMMYFUNCTION("""COMPUTED_VALUE"""),114)</f>
        <v>114</v>
      </c>
      <c r="B682" s="1" t="str">
        <f ca="1">IFERROR(__xludf.DUMMYFUNCTION("""COMPUTED_VALUE"""),"N2_KA04D5125_Tanker")</f>
        <v>N2_KA04D5125_Tanker</v>
      </c>
      <c r="C682" s="1" t="str">
        <f ca="1">IFERROR(__xludf.DUMMYFUNCTION("""COMPUTED_VALUE"""),"n2_ka04d5125_tanker")</f>
        <v>n2_ka04d5125_tanker</v>
      </c>
      <c r="D682" s="2">
        <f ca="1">IFERROR(__xludf.DUMMYFUNCTION("""COMPUTED_VALUE"""),44825)</f>
        <v>44825</v>
      </c>
      <c r="E682" s="3">
        <f ca="1">IFERROR(__xludf.DUMMYFUNCTION("""COMPUTED_VALUE"""),0.572789351852407)</f>
        <v>0.57278935185240698</v>
      </c>
      <c r="F682" s="1">
        <f ca="1">IFERROR(__xludf.DUMMYFUNCTION("""COMPUTED_VALUE"""),13281)</f>
        <v>13281</v>
      </c>
      <c r="G682" s="1" t="str">
        <f ca="1">IFERROR(__xludf.DUMMYFUNCTION("""COMPUTED_VALUE"""),"13.1015/77.5856")</f>
        <v>13.1015/77.5856</v>
      </c>
      <c r="H682" s="1" t="str">
        <f ca="1">IFERROR(__xludf.DUMMYFUNCTION("""COMPUTED_VALUE"""),"Puttanahalli")</f>
        <v>Puttanahalli</v>
      </c>
      <c r="I682" s="1"/>
      <c r="J682" s="1" t="str">
        <f ca="1">IFERROR(__xludf.DUMMYFUNCTION("""COMPUTED_VALUE"""),"0d 00h 00m")</f>
        <v>0d 00h 00m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>
      <c r="A683" s="1">
        <f ca="1">IFERROR(__xludf.DUMMYFUNCTION("""COMPUTED_VALUE"""),100)</f>
        <v>100</v>
      </c>
      <c r="B683" s="1" t="str">
        <f ca="1">IFERROR(__xludf.DUMMYFUNCTION("""COMPUTED_VALUE"""),"N2_KA04D5125_Tanker")</f>
        <v>N2_KA04D5125_Tanker</v>
      </c>
      <c r="C683" s="1" t="str">
        <f ca="1">IFERROR(__xludf.DUMMYFUNCTION("""COMPUTED_VALUE"""),"n2_ka04d5125_tanker")</f>
        <v>n2_ka04d5125_tanker</v>
      </c>
      <c r="D683" s="2">
        <f ca="1">IFERROR(__xludf.DUMMYFUNCTION("""COMPUTED_VALUE"""),44856)</f>
        <v>44856</v>
      </c>
      <c r="E683" s="3">
        <f ca="1">IFERROR(__xludf.DUMMYFUNCTION("""COMPUTED_VALUE"""),0.577499999999417)</f>
        <v>0.57749999999941704</v>
      </c>
      <c r="F683" s="1">
        <f ca="1">IFERROR(__xludf.DUMMYFUNCTION("""COMPUTED_VALUE"""),13291)</f>
        <v>13291</v>
      </c>
      <c r="G683" s="1" t="str">
        <f ca="1">IFERROR(__xludf.DUMMYFUNCTION("""COMPUTED_VALUE"""),"13.1015/77.5858")</f>
        <v>13.1015/77.5858</v>
      </c>
      <c r="H683" s="1" t="str">
        <f ca="1">IFERROR(__xludf.DUMMYFUNCTION("""COMPUTED_VALUE"""),"Puttanahalli")</f>
        <v>Puttanahalli</v>
      </c>
      <c r="I683" s="1"/>
      <c r="J683" s="1" t="str">
        <f ca="1">IFERROR(__xludf.DUMMYFUNCTION("""COMPUTED_VALUE"""),"0d 00h 00m")</f>
        <v>0d 00h 00m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>
      <c r="A684" s="1">
        <f ca="1">IFERROR(__xludf.DUMMYFUNCTION("""COMPUTED_VALUE"""),188)</f>
        <v>188</v>
      </c>
      <c r="B684" s="1" t="str">
        <f ca="1">IFERROR(__xludf.DUMMYFUNCTION("""COMPUTED_VALUE"""),"N3_KA02AC4516_Jetting")</f>
        <v>N3_KA02AC4516_Jetting</v>
      </c>
      <c r="C684" s="1" t="str">
        <f ca="1">IFERROR(__xludf.DUMMYFUNCTION("""COMPUTED_VALUE"""),"n3_ka02ac4516_jetting")</f>
        <v>n3_ka02ac4516_jetting</v>
      </c>
      <c r="D684" s="2">
        <f ca="1">IFERROR(__xludf.DUMMYFUNCTION("""COMPUTED_VALUE"""),44707)</f>
        <v>44707</v>
      </c>
      <c r="E684" s="3">
        <f ca="1">IFERROR(__xludf.DUMMYFUNCTION("""COMPUTED_VALUE"""),0.999108796295331)</f>
        <v>0.999108796295331</v>
      </c>
      <c r="F684" s="1">
        <f ca="1">IFERROR(__xludf.DUMMYFUNCTION("""COMPUTED_VALUE"""),40910)</f>
        <v>40910</v>
      </c>
      <c r="G684" s="1" t="str">
        <f ca="1">IFERROR(__xludf.DUMMYFUNCTION("""COMPUTED_VALUE"""),"13.0821/77.5400")</f>
        <v>13.0821/77.5400</v>
      </c>
      <c r="H684" s="1" t="str">
        <f ca="1">IFERROR(__xludf.DUMMYFUNCTION("""COMPUTED_VALUE"""),"Shingapur")</f>
        <v>Shingapur</v>
      </c>
      <c r="I684" s="1"/>
      <c r="J684" s="1" t="str">
        <f ca="1">IFERROR(__xludf.DUMMYFUNCTION("""COMPUTED_VALUE"""),"0d 00h 00m")</f>
        <v>0d 00h 00m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>
      <c r="A685" s="1">
        <f ca="1">IFERROR(__xludf.DUMMYFUNCTION("""COMPUTED_VALUE"""),176)</f>
        <v>176</v>
      </c>
      <c r="B685" s="1" t="str">
        <f ca="1">IFERROR(__xludf.DUMMYFUNCTION("""COMPUTED_VALUE"""),"N3_KA02AC4516_Jetting")</f>
        <v>N3_KA02AC4516_Jetting</v>
      </c>
      <c r="C685" s="1" t="str">
        <f ca="1">IFERROR(__xludf.DUMMYFUNCTION("""COMPUTED_VALUE"""),"n3_ka02ac4516_jetting")</f>
        <v>n3_ka02ac4516_jetting</v>
      </c>
      <c r="D685" s="2">
        <f ca="1">IFERROR(__xludf.DUMMYFUNCTION("""COMPUTED_VALUE"""),44738)</f>
        <v>44738</v>
      </c>
      <c r="E685" s="3">
        <f ca="1">IFERROR(__xludf.DUMMYFUNCTION("""COMPUTED_VALUE"""),0.999062499999126)</f>
        <v>0.999062499999126</v>
      </c>
      <c r="F685" s="1">
        <f ca="1">IFERROR(__xludf.DUMMYFUNCTION("""COMPUTED_VALUE"""),41464)</f>
        <v>41464</v>
      </c>
      <c r="G685" s="1" t="str">
        <f ca="1">IFERROR(__xludf.DUMMYFUNCTION("""COMPUTED_VALUE"""),"13.0820/77.5400")</f>
        <v>13.0820/77.5400</v>
      </c>
      <c r="H685" s="1" t="str">
        <f ca="1">IFERROR(__xludf.DUMMYFUNCTION("""COMPUTED_VALUE"""),"Shingapur")</f>
        <v>Shingapur</v>
      </c>
      <c r="I685" s="1"/>
      <c r="J685" s="1" t="str">
        <f ca="1">IFERROR(__xludf.DUMMYFUNCTION("""COMPUTED_VALUE"""),"0d 00h 00m")</f>
        <v>0d 00h 00m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>
      <c r="A686" s="1">
        <f ca="1">IFERROR(__xludf.DUMMYFUNCTION("""COMPUTED_VALUE"""),108)</f>
        <v>108</v>
      </c>
      <c r="B686" s="1" t="str">
        <f ca="1">IFERROR(__xludf.DUMMYFUNCTION("""COMPUTED_VALUE"""),"N3_KA02AC4516_Jetting")</f>
        <v>N3_KA02AC4516_Jetting</v>
      </c>
      <c r="C686" s="1" t="str">
        <f ca="1">IFERROR(__xludf.DUMMYFUNCTION("""COMPUTED_VALUE"""),"n3_ka02ac4516_jetting")</f>
        <v>n3_ka02ac4516_jetting</v>
      </c>
      <c r="D686" s="2">
        <f ca="1">IFERROR(__xludf.DUMMYFUNCTION("""COMPUTED_VALUE"""),44762)</f>
        <v>44762</v>
      </c>
      <c r="E686" s="3">
        <f ca="1">IFERROR(__xludf.DUMMYFUNCTION("""COMPUTED_VALUE"""),0.444363425925985)</f>
        <v>0.44436342592598499</v>
      </c>
      <c r="F686" s="1">
        <f ca="1">IFERROR(__xludf.DUMMYFUNCTION("""COMPUTED_VALUE"""),41663)</f>
        <v>41663</v>
      </c>
      <c r="G686" s="1" t="str">
        <f ca="1">IFERROR(__xludf.DUMMYFUNCTION("""COMPUTED_VALUE"""),"13.0621/77.5573")</f>
        <v>13.0621/77.5573</v>
      </c>
      <c r="H686" s="1" t="str">
        <f ca="1">IFERROR(__xludf.DUMMYFUNCTION("""COMPUTED_VALUE"""),"Dod Bammasandra")</f>
        <v>Dod Bammasandra</v>
      </c>
      <c r="I686" s="1"/>
      <c r="J686" s="1" t="str">
        <f ca="1">IFERROR(__xludf.DUMMYFUNCTION("""COMPUTED_VALUE"""),"0d 00h 00m")</f>
        <v>0d 00h 00m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>
      <c r="A687" s="1">
        <f ca="1">IFERROR(__xludf.DUMMYFUNCTION("""COMPUTED_VALUE"""),134)</f>
        <v>134</v>
      </c>
      <c r="B687" s="1" t="str">
        <f ca="1">IFERROR(__xludf.DUMMYFUNCTION("""COMPUTED_VALUE"""),"N3_KA02AC4516_Jetting")</f>
        <v>N3_KA02AC4516_Jetting</v>
      </c>
      <c r="C687" s="1" t="str">
        <f ca="1">IFERROR(__xludf.DUMMYFUNCTION("""COMPUTED_VALUE"""),"n3_ka02ac4516_jetting")</f>
        <v>n3_ka02ac4516_jetting</v>
      </c>
      <c r="D687" s="2">
        <f ca="1">IFERROR(__xludf.DUMMYFUNCTION("""COMPUTED_VALUE"""),44796)</f>
        <v>44796</v>
      </c>
      <c r="E687" s="3">
        <f ca="1">IFERROR(__xludf.DUMMYFUNCTION("""COMPUTED_VALUE"""),0.0121180555543105)</f>
        <v>1.2118055554310499E-2</v>
      </c>
      <c r="F687" s="1">
        <f ca="1">IFERROR(__xludf.DUMMYFUNCTION("""COMPUTED_VALUE"""),41666)</f>
        <v>41666</v>
      </c>
      <c r="G687" s="1" t="str">
        <f ca="1">IFERROR(__xludf.DUMMYFUNCTION("""COMPUTED_VALUE"""),"13.0821/77.5400")</f>
        <v>13.0821/77.5400</v>
      </c>
      <c r="H687" s="1" t="str">
        <f ca="1">IFERROR(__xludf.DUMMYFUNCTION("""COMPUTED_VALUE"""),"Shingapur")</f>
        <v>Shingapur</v>
      </c>
      <c r="I687" s="1"/>
      <c r="J687" s="1" t="str">
        <f ca="1">IFERROR(__xludf.DUMMYFUNCTION("""COMPUTED_VALUE"""),"0d 00h 00m")</f>
        <v>0d 00h 00m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>
      <c r="A688" s="1">
        <f ca="1">IFERROR(__xludf.DUMMYFUNCTION("""COMPUTED_VALUE"""),85)</f>
        <v>85</v>
      </c>
      <c r="B688" s="1" t="str">
        <f ca="1">IFERROR(__xludf.DUMMYFUNCTION("""COMPUTED_VALUE"""),"N3_KA02AC4516_Jetting")</f>
        <v>N3_KA02AC4516_Jetting</v>
      </c>
      <c r="C688" s="1" t="str">
        <f ca="1">IFERROR(__xludf.DUMMYFUNCTION("""COMPUTED_VALUE"""),"n3_ka02ac4516_jetting")</f>
        <v>n3_ka02ac4516_jetting</v>
      </c>
      <c r="D688" s="2">
        <f ca="1">IFERROR(__xludf.DUMMYFUNCTION("""COMPUTED_VALUE"""),44803)</f>
        <v>44803</v>
      </c>
      <c r="E688" s="3">
        <f ca="1">IFERROR(__xludf.DUMMYFUNCTION("""COMPUTED_VALUE"""),0.937025462961173)</f>
        <v>0.93702546296117295</v>
      </c>
      <c r="F688" s="1">
        <f ca="1">IFERROR(__xludf.DUMMYFUNCTION("""COMPUTED_VALUE"""),41666)</f>
        <v>41666</v>
      </c>
      <c r="G688" s="1" t="str">
        <f ca="1">IFERROR(__xludf.DUMMYFUNCTION("""COMPUTED_VALUE"""),"13.0822/77.5400")</f>
        <v>13.0822/77.5400</v>
      </c>
      <c r="H688" s="1" t="str">
        <f ca="1">IFERROR(__xludf.DUMMYFUNCTION("""COMPUTED_VALUE"""),"Shingapur")</f>
        <v>Shingapur</v>
      </c>
      <c r="I688" s="1"/>
      <c r="J688" s="1" t="str">
        <f ca="1">IFERROR(__xludf.DUMMYFUNCTION("""COMPUTED_VALUE"""),"0d 00h 00m")</f>
        <v>0d 00h 00m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>
      <c r="A689" s="1">
        <f ca="1">IFERROR(__xludf.DUMMYFUNCTION("""COMPUTED_VALUE"""),60)</f>
        <v>60</v>
      </c>
      <c r="B689" s="1" t="str">
        <f ca="1">IFERROR(__xludf.DUMMYFUNCTION("""COMPUTED_VALUE"""),"N3_KA02AC4516_Jetting")</f>
        <v>N3_KA02AC4516_Jetting</v>
      </c>
      <c r="C689" s="1" t="str">
        <f ca="1">IFERROR(__xludf.DUMMYFUNCTION("""COMPUTED_VALUE"""),"n3_ka02ac4516_jetting")</f>
        <v>n3_ka02ac4516_jetting</v>
      </c>
      <c r="D689" s="2">
        <f ca="1">IFERROR(__xludf.DUMMYFUNCTION("""COMPUTED_VALUE"""),44803)</f>
        <v>44803</v>
      </c>
      <c r="E689" s="3">
        <f ca="1">IFERROR(__xludf.DUMMYFUNCTION("""COMPUTED_VALUE"""),0.937025462961173)</f>
        <v>0.93702546296117295</v>
      </c>
      <c r="F689" s="1">
        <f ca="1">IFERROR(__xludf.DUMMYFUNCTION("""COMPUTED_VALUE"""),41666)</f>
        <v>41666</v>
      </c>
      <c r="G689" s="1" t="str">
        <f ca="1">IFERROR(__xludf.DUMMYFUNCTION("""COMPUTED_VALUE"""),"13.0822/77.5400")</f>
        <v>13.0822/77.5400</v>
      </c>
      <c r="H689" s="1" t="str">
        <f ca="1">IFERROR(__xludf.DUMMYFUNCTION("""COMPUTED_VALUE"""),"Shingapur")</f>
        <v>Shingapur</v>
      </c>
      <c r="I689" s="1"/>
      <c r="J689" s="1" t="str">
        <f ca="1">IFERROR(__xludf.DUMMYFUNCTION("""COMPUTED_VALUE"""),"0d 00h 00m")</f>
        <v>0d 00h 00m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>
      <c r="A690" s="1">
        <f ca="1">IFERROR(__xludf.DUMMYFUNCTION("""COMPUTED_VALUE"""),148)</f>
        <v>148</v>
      </c>
      <c r="B690" s="1" t="str">
        <f ca="1">IFERROR(__xludf.DUMMYFUNCTION("""COMPUTED_VALUE"""),"N3_KA02AC4524_Jetting")</f>
        <v>N3_KA02AC4524_Jetting</v>
      </c>
      <c r="C690" s="1" t="str">
        <f ca="1">IFERROR(__xludf.DUMMYFUNCTION("""COMPUTED_VALUE"""),"n3_ka02ac4524_jetting")</f>
        <v>n3_ka02ac4524_jetting</v>
      </c>
      <c r="D690" s="2">
        <f ca="1">IFERROR(__xludf.DUMMYFUNCTION("""COMPUTED_VALUE"""),44707)</f>
        <v>44707</v>
      </c>
      <c r="E690" s="3">
        <f ca="1">IFERROR(__xludf.DUMMYFUNCTION("""COMPUTED_VALUE"""),0.998668981483206)</f>
        <v>0.99866898148320604</v>
      </c>
      <c r="F690" s="1">
        <f ca="1">IFERROR(__xludf.DUMMYFUNCTION("""COMPUTED_VALUE"""),26286)</f>
        <v>26286</v>
      </c>
      <c r="G690" s="1" t="str">
        <f ca="1">IFERROR(__xludf.DUMMYFUNCTION("""COMPUTED_VALUE"""),"13.1016/77.5858")</f>
        <v>13.1016/77.5858</v>
      </c>
      <c r="H690" s="1" t="str">
        <f ca="1">IFERROR(__xludf.DUMMYFUNCTION("""COMPUTED_VALUE"""),"Puttanahalli")</f>
        <v>Puttanahalli</v>
      </c>
      <c r="I690" s="1"/>
      <c r="J690" s="1" t="str">
        <f ca="1">IFERROR(__xludf.DUMMYFUNCTION("""COMPUTED_VALUE"""),"0d 00h 00m")</f>
        <v>0d 00h 00m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>
      <c r="A691" s="1">
        <f ca="1">IFERROR(__xludf.DUMMYFUNCTION("""COMPUTED_VALUE"""),205)</f>
        <v>205</v>
      </c>
      <c r="B691" s="1" t="str">
        <f ca="1">IFERROR(__xludf.DUMMYFUNCTION("""COMPUTED_VALUE"""),"N3_KA02AC4524_Jetting")</f>
        <v>N3_KA02AC4524_Jetting</v>
      </c>
      <c r="C691" s="1" t="str">
        <f ca="1">IFERROR(__xludf.DUMMYFUNCTION("""COMPUTED_VALUE"""),"n3_ka02ac4524_jetting")</f>
        <v>n3_ka02ac4524_jetting</v>
      </c>
      <c r="D691" s="2">
        <f ca="1">IFERROR(__xludf.DUMMYFUNCTION("""COMPUTED_VALUE"""),44738)</f>
        <v>44738</v>
      </c>
      <c r="E691" s="3">
        <f ca="1">IFERROR(__xludf.DUMMYFUNCTION("""COMPUTED_VALUE"""),0.999178240741457)</f>
        <v>0.999178240741457</v>
      </c>
      <c r="F691" s="1">
        <f ca="1">IFERROR(__xludf.DUMMYFUNCTION("""COMPUTED_VALUE"""),26926)</f>
        <v>26926</v>
      </c>
      <c r="G691" s="1" t="str">
        <f ca="1">IFERROR(__xludf.DUMMYFUNCTION("""COMPUTED_VALUE"""),"13.1015/77.5859")</f>
        <v>13.1015/77.5859</v>
      </c>
      <c r="H691" s="1" t="str">
        <f ca="1">IFERROR(__xludf.DUMMYFUNCTION("""COMPUTED_VALUE"""),"Puttanahalli")</f>
        <v>Puttanahalli</v>
      </c>
      <c r="I691" s="1"/>
      <c r="J691" s="1" t="str">
        <f ca="1">IFERROR(__xludf.DUMMYFUNCTION("""COMPUTED_VALUE"""),"0d 00h 00m")</f>
        <v>0d 00h 00m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>
      <c r="A692" s="1">
        <f ca="1">IFERROR(__xludf.DUMMYFUNCTION("""COMPUTED_VALUE"""),232)</f>
        <v>232</v>
      </c>
      <c r="B692" s="1" t="str">
        <f ca="1">IFERROR(__xludf.DUMMYFUNCTION("""COMPUTED_VALUE"""),"N3_KA02AC4524_Jetting")</f>
        <v>N3_KA02AC4524_Jetting</v>
      </c>
      <c r="C692" s="1" t="str">
        <f ca="1">IFERROR(__xludf.DUMMYFUNCTION("""COMPUTED_VALUE"""),"n3_ka02ac4524_jetting")</f>
        <v>n3_ka02ac4524_jetting</v>
      </c>
      <c r="D692" s="2">
        <f ca="1">IFERROR(__xludf.DUMMYFUNCTION("""COMPUTED_VALUE"""),44768)</f>
        <v>44768</v>
      </c>
      <c r="E692" s="3">
        <f ca="1">IFERROR(__xludf.DUMMYFUNCTION("""COMPUTED_VALUE"""),0.999282407407008)</f>
        <v>0.99928240740700802</v>
      </c>
      <c r="F692" s="1">
        <f ca="1">IFERROR(__xludf.DUMMYFUNCTION("""COMPUTED_VALUE"""),27612)</f>
        <v>27612</v>
      </c>
      <c r="G692" s="1" t="str">
        <f ca="1">IFERROR(__xludf.DUMMYFUNCTION("""COMPUTED_VALUE"""),"13.1016/77.5857")</f>
        <v>13.1016/77.5857</v>
      </c>
      <c r="H692" s="1" t="str">
        <f ca="1">IFERROR(__xludf.DUMMYFUNCTION("""COMPUTED_VALUE"""),"Puttanahalli")</f>
        <v>Puttanahalli</v>
      </c>
      <c r="I692" s="1"/>
      <c r="J692" s="1" t="str">
        <f ca="1">IFERROR(__xludf.DUMMYFUNCTION("""COMPUTED_VALUE"""),"0d 00h 00m")</f>
        <v>0d 00h 00m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>
      <c r="A693" s="1">
        <f ca="1">IFERROR(__xludf.DUMMYFUNCTION("""COMPUTED_VALUE"""),210)</f>
        <v>210</v>
      </c>
      <c r="B693" s="1" t="str">
        <f ca="1">IFERROR(__xludf.DUMMYFUNCTION("""COMPUTED_VALUE"""),"N3_KA02AC4524_Jetting")</f>
        <v>N3_KA02AC4524_Jetting</v>
      </c>
      <c r="C693" s="1" t="str">
        <f ca="1">IFERROR(__xludf.DUMMYFUNCTION("""COMPUTED_VALUE"""),"n3_ka02ac4524_jetting")</f>
        <v>n3_ka02ac4524_jetting</v>
      </c>
      <c r="D693" s="2">
        <f ca="1">IFERROR(__xludf.DUMMYFUNCTION("""COMPUTED_VALUE"""),44799)</f>
        <v>44799</v>
      </c>
      <c r="E693" s="3">
        <f ca="1">IFERROR(__xludf.DUMMYFUNCTION("""COMPUTED_VALUE"""),0.999155092591536)</f>
        <v>0.99915509259153601</v>
      </c>
      <c r="F693" s="1">
        <f ca="1">IFERROR(__xludf.DUMMYFUNCTION("""COMPUTED_VALUE"""),28488)</f>
        <v>28488</v>
      </c>
      <c r="G693" s="1" t="str">
        <f ca="1">IFERROR(__xludf.DUMMYFUNCTION("""COMPUTED_VALUE"""),"13.0103/77.5661")</f>
        <v>13.0103/77.5661</v>
      </c>
      <c r="H693" s="1" t="str">
        <f ca="1">IFERROR(__xludf.DUMMYFUNCTION("""COMPUTED_VALUE"""),"Malleshwaram")</f>
        <v>Malleshwaram</v>
      </c>
      <c r="I693" s="1"/>
      <c r="J693" s="1" t="str">
        <f ca="1">IFERROR(__xludf.DUMMYFUNCTION("""COMPUTED_VALUE"""),"0d 00h 00m")</f>
        <v>0d 00h 00m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>
      <c r="A694" s="1">
        <f ca="1">IFERROR(__xludf.DUMMYFUNCTION("""COMPUTED_VALUE"""),104)</f>
        <v>104</v>
      </c>
      <c r="B694" s="1" t="str">
        <f ca="1">IFERROR(__xludf.DUMMYFUNCTION("""COMPUTED_VALUE"""),"N3_KA02AC4524_Jetting")</f>
        <v>N3_KA02AC4524_Jetting</v>
      </c>
      <c r="C694" s="1" t="str">
        <f ca="1">IFERROR(__xludf.DUMMYFUNCTION("""COMPUTED_VALUE"""),"n3_ka02ac4524_jetting")</f>
        <v>n3_ka02ac4524_jetting</v>
      </c>
      <c r="D694" s="2">
        <f ca="1">IFERROR(__xludf.DUMMYFUNCTION("""COMPUTED_VALUE"""),44819)</f>
        <v>44819</v>
      </c>
      <c r="E694" s="3">
        <f ca="1">IFERROR(__xludf.DUMMYFUNCTION("""COMPUTED_VALUE"""),0.567650462962774)</f>
        <v>0.56765046296277399</v>
      </c>
      <c r="F694" s="1">
        <f ca="1">IFERROR(__xludf.DUMMYFUNCTION("""COMPUTED_VALUE"""),29090)</f>
        <v>29090</v>
      </c>
      <c r="G694" s="1" t="str">
        <f ca="1">IFERROR(__xludf.DUMMYFUNCTION("""COMPUTED_VALUE"""),"13.1014/77.5857")</f>
        <v>13.1014/77.5857</v>
      </c>
      <c r="H694" s="1" t="str">
        <f ca="1">IFERROR(__xludf.DUMMYFUNCTION("""COMPUTED_VALUE"""),"Puttanahalli")</f>
        <v>Puttanahalli</v>
      </c>
      <c r="I694" s="1"/>
      <c r="J694" s="1" t="str">
        <f ca="1">IFERROR(__xludf.DUMMYFUNCTION("""COMPUTED_VALUE"""),"0d 00h 00m")</f>
        <v>0d 00h 00m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>
      <c r="A695" s="1">
        <f ca="1">IFERROR(__xludf.DUMMYFUNCTION("""COMPUTED_VALUE"""),117)</f>
        <v>117</v>
      </c>
      <c r="B695" s="1" t="str">
        <f ca="1">IFERROR(__xludf.DUMMYFUNCTION("""COMPUTED_VALUE"""),"N3_KA02AC4524_Jetting")</f>
        <v>N3_KA02AC4524_Jetting</v>
      </c>
      <c r="C695" s="1" t="str">
        <f ca="1">IFERROR(__xludf.DUMMYFUNCTION("""COMPUTED_VALUE"""),"n3_ka02ac4524_jetting")</f>
        <v>n3_ka02ac4524_jetting</v>
      </c>
      <c r="D695" s="2">
        <f ca="1">IFERROR(__xludf.DUMMYFUNCTION("""COMPUTED_VALUE"""),44859)</f>
        <v>44859</v>
      </c>
      <c r="E695" s="3">
        <f ca="1">IFERROR(__xludf.DUMMYFUNCTION("""COMPUTED_VALUE"""),0.94300925925927)</f>
        <v>0.94300925925927004</v>
      </c>
      <c r="F695" s="1">
        <f ca="1">IFERROR(__xludf.DUMMYFUNCTION("""COMPUTED_VALUE"""),29105)</f>
        <v>29105</v>
      </c>
      <c r="G695" s="1" t="str">
        <f ca="1">IFERROR(__xludf.DUMMYFUNCTION("""COMPUTED_VALUE"""),"13.0102/77.5664")</f>
        <v>13.0102/77.5664</v>
      </c>
      <c r="H695" s="1" t="str">
        <f ca="1">IFERROR(__xludf.DUMMYFUNCTION("""COMPUTED_VALUE"""),"Malleshwaram")</f>
        <v>Malleshwaram</v>
      </c>
      <c r="I695" s="1"/>
      <c r="J695" s="1" t="str">
        <f ca="1">IFERROR(__xludf.DUMMYFUNCTION("""COMPUTED_VALUE"""),"0d 00h 00m")</f>
        <v>0d 00h 00m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>
      <c r="A696" s="1">
        <f ca="1">IFERROR(__xludf.DUMMYFUNCTION("""COMPUTED_VALUE"""),208)</f>
        <v>208</v>
      </c>
      <c r="B696" s="1" t="str">
        <f ca="1">IFERROR(__xludf.DUMMYFUNCTION("""COMPUTED_VALUE"""),"N3_KA04AA7682_Desilting")</f>
        <v>N3_KA04AA7682_Desilting</v>
      </c>
      <c r="C696" s="1" t="str">
        <f ca="1">IFERROR(__xludf.DUMMYFUNCTION("""COMPUTED_VALUE"""),"n3_ka04aa7682_desilting")</f>
        <v>n3_ka04aa7682_desilting</v>
      </c>
      <c r="D696" s="2">
        <f ca="1">IFERROR(__xludf.DUMMYFUNCTION("""COMPUTED_VALUE"""),44707)</f>
        <v>44707</v>
      </c>
      <c r="E696" s="3">
        <f ca="1">IFERROR(__xludf.DUMMYFUNCTION("""COMPUTED_VALUE"""),0.999224537037662)</f>
        <v>0.99922453703766201</v>
      </c>
      <c r="F696" s="1">
        <f ca="1">IFERROR(__xludf.DUMMYFUNCTION("""COMPUTED_VALUE"""),46757)</f>
        <v>46757</v>
      </c>
      <c r="G696" s="1" t="str">
        <f ca="1">IFERROR(__xludf.DUMMYFUNCTION("""COMPUTED_VALUE"""),"13.0591/77.5871")</f>
        <v>13.0591/77.5871</v>
      </c>
      <c r="H696" s="1" t="str">
        <f ca="1">IFERROR(__xludf.DUMMYFUNCTION("""COMPUTED_VALUE"""),"Chairman's Club &amp; Resort")</f>
        <v>Chairman's Club &amp; Resort</v>
      </c>
      <c r="I696" s="1"/>
      <c r="J696" s="1" t="str">
        <f ca="1">IFERROR(__xludf.DUMMYFUNCTION("""COMPUTED_VALUE"""),"0d 00h 00m")</f>
        <v>0d 00h 00m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>
      <c r="A697" s="1">
        <f ca="1">IFERROR(__xludf.DUMMYFUNCTION("""COMPUTED_VALUE"""),216)</f>
        <v>216</v>
      </c>
      <c r="B697" s="1" t="str">
        <f ca="1">IFERROR(__xludf.DUMMYFUNCTION("""COMPUTED_VALUE"""),"N3_KA04AA7682_Desilting")</f>
        <v>N3_KA04AA7682_Desilting</v>
      </c>
      <c r="C697" s="1" t="str">
        <f ca="1">IFERROR(__xludf.DUMMYFUNCTION("""COMPUTED_VALUE"""),"n3_ka04aa7682_desilting")</f>
        <v>n3_ka04aa7682_desilting</v>
      </c>
      <c r="D697" s="2">
        <f ca="1">IFERROR(__xludf.DUMMYFUNCTION("""COMPUTED_VALUE"""),44738)</f>
        <v>44738</v>
      </c>
      <c r="E697" s="3">
        <f ca="1">IFERROR(__xludf.DUMMYFUNCTION("""COMPUTED_VALUE"""),0.99921296296452)</f>
        <v>0.99921296296452</v>
      </c>
      <c r="F697" s="1">
        <f ca="1">IFERROR(__xludf.DUMMYFUNCTION("""COMPUTED_VALUE"""),47235)</f>
        <v>47235</v>
      </c>
      <c r="G697" s="1" t="str">
        <f ca="1">IFERROR(__xludf.DUMMYFUNCTION("""COMPUTED_VALUE"""),"13.0271/77.5179")</f>
        <v>13.0271/77.5179</v>
      </c>
      <c r="H697" s="1" t="str">
        <f ca="1">IFERROR(__xludf.DUMMYFUNCTION("""COMPUTED_VALUE"""),"Peenya")</f>
        <v>Peenya</v>
      </c>
      <c r="I697" s="1"/>
      <c r="J697" s="1" t="str">
        <f ca="1">IFERROR(__xludf.DUMMYFUNCTION("""COMPUTED_VALUE"""),"0d 00h 00m")</f>
        <v>0d 00h 00m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>
      <c r="A698" s="1">
        <f ca="1">IFERROR(__xludf.DUMMYFUNCTION("""COMPUTED_VALUE"""),86)</f>
        <v>86</v>
      </c>
      <c r="B698" s="1" t="str">
        <f ca="1">IFERROR(__xludf.DUMMYFUNCTION("""COMPUTED_VALUE"""),"N3_KA04AA7682_Desilting")</f>
        <v>N3_KA04AA7682_Desilting</v>
      </c>
      <c r="C698" s="1" t="str">
        <f ca="1">IFERROR(__xludf.DUMMYFUNCTION("""COMPUTED_VALUE"""),"n3_ka04aa7682_desilting")</f>
        <v>n3_ka04aa7682_desilting</v>
      </c>
      <c r="D698" s="2">
        <f ca="1">IFERROR(__xludf.DUMMYFUNCTION("""COMPUTED_VALUE"""),44751)</f>
        <v>44751</v>
      </c>
      <c r="E698" s="3">
        <f ca="1">IFERROR(__xludf.DUMMYFUNCTION("""COMPUTED_VALUE"""),0.657175925927731)</f>
        <v>0.657175925927731</v>
      </c>
      <c r="F698" s="1">
        <f ca="1">IFERROR(__xludf.DUMMYFUNCTION("""COMPUTED_VALUE"""),47239)</f>
        <v>47239</v>
      </c>
      <c r="G698" s="1" t="str">
        <f ca="1">IFERROR(__xludf.DUMMYFUNCTION("""COMPUTED_VALUE"""),"13.0271/77.5180")</f>
        <v>13.0271/77.5180</v>
      </c>
      <c r="H698" s="1" t="str">
        <f ca="1">IFERROR(__xludf.DUMMYFUNCTION("""COMPUTED_VALUE"""),"Peenya")</f>
        <v>Peenya</v>
      </c>
      <c r="I698" s="1"/>
      <c r="J698" s="1" t="str">
        <f ca="1">IFERROR(__xludf.DUMMYFUNCTION("""COMPUTED_VALUE"""),"0d 00h 00m")</f>
        <v>0d 00h 00m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>
      <c r="A699" s="1">
        <f ca="1">IFERROR(__xludf.DUMMYFUNCTION("""COMPUTED_VALUE"""),231)</f>
        <v>231</v>
      </c>
      <c r="B699" s="1" t="str">
        <f ca="1">IFERROR(__xludf.DUMMYFUNCTION("""COMPUTED_VALUE"""),"N3_KA04AA7682_Desilting")</f>
        <v>N3_KA04AA7682_Desilting</v>
      </c>
      <c r="C699" s="1" t="str">
        <f ca="1">IFERROR(__xludf.DUMMYFUNCTION("""COMPUTED_VALUE"""),"n3_ka04aa7682_desilting")</f>
        <v>n3_ka04aa7682_desilting</v>
      </c>
      <c r="D699" s="2">
        <f ca="1">IFERROR(__xludf.DUMMYFUNCTION("""COMPUTED_VALUE"""),44799)</f>
        <v>44799</v>
      </c>
      <c r="E699" s="3">
        <f ca="1">IFERROR(__xludf.DUMMYFUNCTION("""COMPUTED_VALUE"""),0.999282407407008)</f>
        <v>0.99928240740700802</v>
      </c>
      <c r="F699" s="1">
        <f ca="1">IFERROR(__xludf.DUMMYFUNCTION("""COMPUTED_VALUE"""),48170)</f>
        <v>48170</v>
      </c>
      <c r="G699" s="1" t="str">
        <f ca="1">IFERROR(__xludf.DUMMYFUNCTION("""COMPUTED_VALUE"""),"13.0591/77.5871")</f>
        <v>13.0591/77.5871</v>
      </c>
      <c r="H699" s="1" t="str">
        <f ca="1">IFERROR(__xludf.DUMMYFUNCTION("""COMPUTED_VALUE"""),"Chairman's Club &amp; Resort")</f>
        <v>Chairman's Club &amp; Resort</v>
      </c>
      <c r="I699" s="1"/>
      <c r="J699" s="1" t="str">
        <f ca="1">IFERROR(__xludf.DUMMYFUNCTION("""COMPUTED_VALUE"""),"0d 00h 00m")</f>
        <v>0d 00h 00m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>
      <c r="A700" s="1">
        <f ca="1">IFERROR(__xludf.DUMMYFUNCTION("""COMPUTED_VALUE"""),205)</f>
        <v>205</v>
      </c>
      <c r="B700" s="1" t="str">
        <f ca="1">IFERROR(__xludf.DUMMYFUNCTION("""COMPUTED_VALUE"""),"N3_KA04AA7682_Desilting")</f>
        <v>N3_KA04AA7682_Desilting</v>
      </c>
      <c r="C700" s="1" t="str">
        <f ca="1">IFERROR(__xludf.DUMMYFUNCTION("""COMPUTED_VALUE"""),"n3_ka04aa7682_desilting")</f>
        <v>n3_ka04aa7682_desilting</v>
      </c>
      <c r="D700" s="2">
        <f ca="1">IFERROR(__xludf.DUMMYFUNCTION("""COMPUTED_VALUE"""),44830)</f>
        <v>44830</v>
      </c>
      <c r="E700" s="3">
        <f ca="1">IFERROR(__xludf.DUMMYFUNCTION("""COMPUTED_VALUE"""),0.999166666668315)</f>
        <v>0.999166666668315</v>
      </c>
      <c r="F700" s="1">
        <f ca="1">IFERROR(__xludf.DUMMYFUNCTION("""COMPUTED_VALUE"""),49266)</f>
        <v>49266</v>
      </c>
      <c r="G700" s="1" t="str">
        <f ca="1">IFERROR(__xludf.DUMMYFUNCTION("""COMPUTED_VALUE"""),"13.0592/77.5869")</f>
        <v>13.0592/77.5869</v>
      </c>
      <c r="H700" s="1" t="str">
        <f ca="1">IFERROR(__xludf.DUMMYFUNCTION("""COMPUTED_VALUE"""),"Chairman's Club &amp; Resort")</f>
        <v>Chairman's Club &amp; Resort</v>
      </c>
      <c r="I700" s="1"/>
      <c r="J700" s="1" t="str">
        <f ca="1">IFERROR(__xludf.DUMMYFUNCTION("""COMPUTED_VALUE"""),"0d 00h 00m")</f>
        <v>0d 00h 00m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>
      <c r="A701" s="1">
        <f ca="1">IFERROR(__xludf.DUMMYFUNCTION("""COMPUTED_VALUE"""),230)</f>
        <v>230</v>
      </c>
      <c r="B701" s="1" t="str">
        <f ca="1">IFERROR(__xludf.DUMMYFUNCTION("""COMPUTED_VALUE"""),"N3_KA04AA7682_Desilting")</f>
        <v>N3_KA04AA7682_Desilting</v>
      </c>
      <c r="C701" s="1" t="str">
        <f ca="1">IFERROR(__xludf.DUMMYFUNCTION("""COMPUTED_VALUE"""),"n3_ka04aa7682_desilting")</f>
        <v>n3_ka04aa7682_desilting</v>
      </c>
      <c r="D701" s="2">
        <f ca="1">IFERROR(__xludf.DUMMYFUNCTION("""COMPUTED_VALUE"""),44860)</f>
        <v>44860</v>
      </c>
      <c r="E701" s="3">
        <f ca="1">IFERROR(__xludf.DUMMYFUNCTION("""COMPUTED_VALUE"""),0.999282407407008)</f>
        <v>0.99928240740700802</v>
      </c>
      <c r="F701" s="1">
        <f ca="1">IFERROR(__xludf.DUMMYFUNCTION("""COMPUTED_VALUE"""),50242)</f>
        <v>50242</v>
      </c>
      <c r="G701" s="1" t="str">
        <f ca="1">IFERROR(__xludf.DUMMYFUNCTION("""COMPUTED_VALUE"""),"13.0592/77.5867")</f>
        <v>13.0592/77.5867</v>
      </c>
      <c r="H701" s="1" t="str">
        <f ca="1">IFERROR(__xludf.DUMMYFUNCTION("""COMPUTED_VALUE"""),"Chairman's Club &amp; Resort")</f>
        <v>Chairman's Club &amp; Resort</v>
      </c>
      <c r="I701" s="1"/>
      <c r="J701" s="1" t="str">
        <f ca="1">IFERROR(__xludf.DUMMYFUNCTION("""COMPUTED_VALUE"""),"0d 00h 00m")</f>
        <v>0d 00h 00m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>
      <c r="A702" s="1">
        <f ca="1">IFERROR(__xludf.DUMMYFUNCTION("""COMPUTED_VALUE"""),185)</f>
        <v>185</v>
      </c>
      <c r="B702" s="1" t="str">
        <f ca="1">IFERROR(__xludf.DUMMYFUNCTION("""COMPUTED_VALUE"""),"N3_KA04AD5792_Jetting")</f>
        <v>N3_KA04AD5792_Jetting</v>
      </c>
      <c r="C702" s="1" t="str">
        <f ca="1">IFERROR(__xludf.DUMMYFUNCTION("""COMPUTED_VALUE"""),"n3_ka04ad5792_jetting")</f>
        <v>n3_ka04ad5792_jetting</v>
      </c>
      <c r="D702" s="2">
        <f ca="1">IFERROR(__xludf.DUMMYFUNCTION("""COMPUTED_VALUE"""),44707)</f>
        <v>44707</v>
      </c>
      <c r="E702" s="3">
        <f ca="1">IFERROR(__xludf.DUMMYFUNCTION("""COMPUTED_VALUE"""),0.999097222222189)</f>
        <v>0.999097222222189</v>
      </c>
      <c r="F702" s="1">
        <f ca="1">IFERROR(__xludf.DUMMYFUNCTION("""COMPUTED_VALUE"""),31686)</f>
        <v>31686</v>
      </c>
      <c r="G702" s="1" t="str">
        <f ca="1">IFERROR(__xludf.DUMMYFUNCTION("""COMPUTED_VALUE"""),"13.0591/77.5870")</f>
        <v>13.0591/77.5870</v>
      </c>
      <c r="H702" s="1" t="str">
        <f ca="1">IFERROR(__xludf.DUMMYFUNCTION("""COMPUTED_VALUE"""),"Chairman's Club &amp; Resort")</f>
        <v>Chairman's Club &amp; Resort</v>
      </c>
      <c r="I702" s="1"/>
      <c r="J702" s="1" t="str">
        <f ca="1">IFERROR(__xludf.DUMMYFUNCTION("""COMPUTED_VALUE"""),"0d 00h 00m")</f>
        <v>0d 00h 00m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>
      <c r="A703" s="1">
        <f ca="1">IFERROR(__xludf.DUMMYFUNCTION("""COMPUTED_VALUE"""),179)</f>
        <v>179</v>
      </c>
      <c r="B703" s="1" t="str">
        <f ca="1">IFERROR(__xludf.DUMMYFUNCTION("""COMPUTED_VALUE"""),"N3_KA04AD5792_Jetting")</f>
        <v>N3_KA04AD5792_Jetting</v>
      </c>
      <c r="C703" s="1" t="str">
        <f ca="1">IFERROR(__xludf.DUMMYFUNCTION("""COMPUTED_VALUE"""),"n3_ka04ad5792_jetting")</f>
        <v>n3_ka04ad5792_jetting</v>
      </c>
      <c r="D703" s="2">
        <f ca="1">IFERROR(__xludf.DUMMYFUNCTION("""COMPUTED_VALUE"""),44738)</f>
        <v>44738</v>
      </c>
      <c r="E703" s="3">
        <f ca="1">IFERROR(__xludf.DUMMYFUNCTION("""COMPUTED_VALUE"""),0.999074074072268)</f>
        <v>0.999074074072268</v>
      </c>
      <c r="F703" s="1">
        <f ca="1">IFERROR(__xludf.DUMMYFUNCTION("""COMPUTED_VALUE"""),32964)</f>
        <v>32964</v>
      </c>
      <c r="G703" s="1" t="str">
        <f ca="1">IFERROR(__xludf.DUMMYFUNCTION("""COMPUTED_VALUE"""),"13.0591/77.5871")</f>
        <v>13.0591/77.5871</v>
      </c>
      <c r="H703" s="1" t="str">
        <f ca="1">IFERROR(__xludf.DUMMYFUNCTION("""COMPUTED_VALUE"""),"Chairman's Club &amp; Resort")</f>
        <v>Chairman's Club &amp; Resort</v>
      </c>
      <c r="I703" s="1"/>
      <c r="J703" s="1" t="str">
        <f ca="1">IFERROR(__xludf.DUMMYFUNCTION("""COMPUTED_VALUE"""),"0d 00h 00m")</f>
        <v>0d 00h 00m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>
      <c r="A704" s="1">
        <f ca="1">IFERROR(__xludf.DUMMYFUNCTION("""COMPUTED_VALUE"""),191)</f>
        <v>191</v>
      </c>
      <c r="B704" s="1" t="str">
        <f ca="1">IFERROR(__xludf.DUMMYFUNCTION("""COMPUTED_VALUE"""),"N3_KA04AD5792_Jetting")</f>
        <v>N3_KA04AD5792_Jetting</v>
      </c>
      <c r="C704" s="1" t="str">
        <f ca="1">IFERROR(__xludf.DUMMYFUNCTION("""COMPUTED_VALUE"""),"n3_ka04ad5792_jetting")</f>
        <v>n3_ka04ad5792_jetting</v>
      </c>
      <c r="D704" s="2">
        <f ca="1">IFERROR(__xludf.DUMMYFUNCTION("""COMPUTED_VALUE"""),44768)</f>
        <v>44768</v>
      </c>
      <c r="E704" s="3">
        <f ca="1">IFERROR(__xludf.DUMMYFUNCTION("""COMPUTED_VALUE"""),0.999085648149048)</f>
        <v>0.99908564814904799</v>
      </c>
      <c r="F704" s="1">
        <f ca="1">IFERROR(__xludf.DUMMYFUNCTION("""COMPUTED_VALUE"""),33971)</f>
        <v>33971</v>
      </c>
      <c r="G704" s="1" t="str">
        <f ca="1">IFERROR(__xludf.DUMMYFUNCTION("""COMPUTED_VALUE"""),"13.0592/77.5871")</f>
        <v>13.0592/77.5871</v>
      </c>
      <c r="H704" s="1" t="str">
        <f ca="1">IFERROR(__xludf.DUMMYFUNCTION("""COMPUTED_VALUE"""),"Chairman's Club &amp; Resort")</f>
        <v>Chairman's Club &amp; Resort</v>
      </c>
      <c r="I704" s="1"/>
      <c r="J704" s="1" t="str">
        <f ca="1">IFERROR(__xludf.DUMMYFUNCTION("""COMPUTED_VALUE"""),"0d 00h 00m")</f>
        <v>0d 00h 00m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>
      <c r="A705" s="1">
        <f ca="1">IFERROR(__xludf.DUMMYFUNCTION("""COMPUTED_VALUE"""),209)</f>
        <v>209</v>
      </c>
      <c r="B705" s="1" t="str">
        <f ca="1">IFERROR(__xludf.DUMMYFUNCTION("""COMPUTED_VALUE"""),"N3_KA04AD5792_Jetting")</f>
        <v>N3_KA04AD5792_Jetting</v>
      </c>
      <c r="C705" s="1" t="str">
        <f ca="1">IFERROR(__xludf.DUMMYFUNCTION("""COMPUTED_VALUE"""),"n3_ka04ad5792_jetting")</f>
        <v>n3_ka04ad5792_jetting</v>
      </c>
      <c r="D705" s="2">
        <f ca="1">IFERROR(__xludf.DUMMYFUNCTION("""COMPUTED_VALUE"""),44799)</f>
        <v>44799</v>
      </c>
      <c r="E705" s="3">
        <f ca="1">IFERROR(__xludf.DUMMYFUNCTION("""COMPUTED_VALUE"""),0.999143518518394)</f>
        <v>0.999143518518394</v>
      </c>
      <c r="F705" s="1">
        <f ca="1">IFERROR(__xludf.DUMMYFUNCTION("""COMPUTED_VALUE"""),34809)</f>
        <v>34809</v>
      </c>
      <c r="G705" s="1" t="str">
        <f ca="1">IFERROR(__xludf.DUMMYFUNCTION("""COMPUTED_VALUE"""),"13.0592/77.5873")</f>
        <v>13.0592/77.5873</v>
      </c>
      <c r="H705" s="1" t="str">
        <f ca="1">IFERROR(__xludf.DUMMYFUNCTION("""COMPUTED_VALUE"""),"Chairman's Club &amp; Resort")</f>
        <v>Chairman's Club &amp; Resort</v>
      </c>
      <c r="I705" s="1"/>
      <c r="J705" s="1" t="str">
        <f ca="1">IFERROR(__xludf.DUMMYFUNCTION("""COMPUTED_VALUE"""),"0d 00h 00m")</f>
        <v>0d 00h 00m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>
      <c r="A706" s="1">
        <f ca="1">IFERROR(__xludf.DUMMYFUNCTION("""COMPUTED_VALUE"""),219)</f>
        <v>219</v>
      </c>
      <c r="B706" s="1" t="str">
        <f ca="1">IFERROR(__xludf.DUMMYFUNCTION("""COMPUTED_VALUE"""),"N3_KA04AD5792_Jetting")</f>
        <v>N3_KA04AD5792_Jetting</v>
      </c>
      <c r="C706" s="1" t="str">
        <f ca="1">IFERROR(__xludf.DUMMYFUNCTION("""COMPUTED_VALUE"""),"n3_ka04ad5792_jetting")</f>
        <v>n3_ka04ad5792_jetting</v>
      </c>
      <c r="D706" s="2">
        <f ca="1">IFERROR(__xludf.DUMMYFUNCTION("""COMPUTED_VALUE"""),44830)</f>
        <v>44830</v>
      </c>
      <c r="E706" s="3">
        <f ca="1">IFERROR(__xludf.DUMMYFUNCTION("""COMPUTED_VALUE"""),0.999224537037662)</f>
        <v>0.99922453703766201</v>
      </c>
      <c r="F706" s="1">
        <f ca="1">IFERROR(__xludf.DUMMYFUNCTION("""COMPUTED_VALUE"""),35736)</f>
        <v>35736</v>
      </c>
      <c r="G706" s="1" t="str">
        <f ca="1">IFERROR(__xludf.DUMMYFUNCTION("""COMPUTED_VALUE"""),"13.0591/77.5869")</f>
        <v>13.0591/77.5869</v>
      </c>
      <c r="H706" s="1" t="str">
        <f ca="1">IFERROR(__xludf.DUMMYFUNCTION("""COMPUTED_VALUE"""),"Chairman's Club &amp; Resort")</f>
        <v>Chairman's Club &amp; Resort</v>
      </c>
      <c r="I706" s="1"/>
      <c r="J706" s="1" t="str">
        <f ca="1">IFERROR(__xludf.DUMMYFUNCTION("""COMPUTED_VALUE"""),"0d 00h 00m")</f>
        <v>0d 00h 00m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>
      <c r="A707" s="1">
        <f ca="1">IFERROR(__xludf.DUMMYFUNCTION("""COMPUTED_VALUE"""),220)</f>
        <v>220</v>
      </c>
      <c r="B707" s="1" t="str">
        <f ca="1">IFERROR(__xludf.DUMMYFUNCTION("""COMPUTED_VALUE"""),"N3_KA04AD5792_Jetting")</f>
        <v>N3_KA04AD5792_Jetting</v>
      </c>
      <c r="C707" s="1" t="str">
        <f ca="1">IFERROR(__xludf.DUMMYFUNCTION("""COMPUTED_VALUE"""),"n3_ka04ad5792_jetting")</f>
        <v>n3_ka04ad5792_jetting</v>
      </c>
      <c r="D707" s="2">
        <f ca="1">IFERROR(__xludf.DUMMYFUNCTION("""COMPUTED_VALUE"""),44860)</f>
        <v>44860</v>
      </c>
      <c r="E707" s="3">
        <f ca="1">IFERROR(__xludf.DUMMYFUNCTION("""COMPUTED_VALUE"""),0.999236111110803)</f>
        <v>0.99923611111080302</v>
      </c>
      <c r="F707" s="1">
        <f ca="1">IFERROR(__xludf.DUMMYFUNCTION("""COMPUTED_VALUE"""),36535)</f>
        <v>36535</v>
      </c>
      <c r="G707" s="1" t="str">
        <f ca="1">IFERROR(__xludf.DUMMYFUNCTION("""COMPUTED_VALUE"""),"13.0591/77.5872")</f>
        <v>13.0591/77.5872</v>
      </c>
      <c r="H707" s="1" t="str">
        <f ca="1">IFERROR(__xludf.DUMMYFUNCTION("""COMPUTED_VALUE"""),"Chairman's Club &amp; Resort")</f>
        <v>Chairman's Club &amp; Resort</v>
      </c>
      <c r="I707" s="1"/>
      <c r="J707" s="1" t="str">
        <f ca="1">IFERROR(__xludf.DUMMYFUNCTION("""COMPUTED_VALUE"""),"0d 00h 00m")</f>
        <v>0d 00h 00m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>
      <c r="A708" s="1">
        <f ca="1">IFERROR(__xludf.DUMMYFUNCTION("""COMPUTED_VALUE"""),160)</f>
        <v>160</v>
      </c>
      <c r="B708" s="1" t="str">
        <f ca="1">IFERROR(__xludf.DUMMYFUNCTION("""COMPUTED_VALUE"""),"N3_KA04C5142_Jetting")</f>
        <v>N3_KA04C5142_Jetting</v>
      </c>
      <c r="C708" s="1" t="str">
        <f ca="1">IFERROR(__xludf.DUMMYFUNCTION("""COMPUTED_VALUE"""),"n3_ka04c5142_jetting")</f>
        <v>n3_ka04c5142_jetting</v>
      </c>
      <c r="D708" s="2">
        <f ca="1">IFERROR(__xludf.DUMMYFUNCTION("""COMPUTED_VALUE"""),44707)</f>
        <v>44707</v>
      </c>
      <c r="E708" s="3">
        <f ca="1">IFERROR(__xludf.DUMMYFUNCTION("""COMPUTED_VALUE"""),0.99900462962978)</f>
        <v>0.99900462962977998</v>
      </c>
      <c r="F708" s="1">
        <f ca="1">IFERROR(__xludf.DUMMYFUNCTION("""COMPUTED_VALUE"""),46816)</f>
        <v>46816</v>
      </c>
      <c r="G708" s="1" t="str">
        <f ca="1">IFERROR(__xludf.DUMMYFUNCTION("""COMPUTED_VALUE"""),"13.0591/77.5874")</f>
        <v>13.0591/77.5874</v>
      </c>
      <c r="H708" s="1" t="str">
        <f ca="1">IFERROR(__xludf.DUMMYFUNCTION("""COMPUTED_VALUE"""),"Chairman's Club &amp; Resort")</f>
        <v>Chairman's Club &amp; Resort</v>
      </c>
      <c r="I708" s="1"/>
      <c r="J708" s="1" t="str">
        <f ca="1">IFERROR(__xludf.DUMMYFUNCTION("""COMPUTED_VALUE"""),"0d 00h 00m")</f>
        <v>0d 00h 00m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>
      <c r="A709" s="1">
        <f ca="1">IFERROR(__xludf.DUMMYFUNCTION("""COMPUTED_VALUE"""),232)</f>
        <v>232</v>
      </c>
      <c r="B709" s="1" t="str">
        <f ca="1">IFERROR(__xludf.DUMMYFUNCTION("""COMPUTED_VALUE"""),"N3_KA04C5142_Jetting")</f>
        <v>N3_KA04C5142_Jetting</v>
      </c>
      <c r="C709" s="1" t="str">
        <f ca="1">IFERROR(__xludf.DUMMYFUNCTION("""COMPUTED_VALUE"""),"n3_ka04c5142_jetting")</f>
        <v>n3_ka04c5142_jetting</v>
      </c>
      <c r="D709" s="2">
        <f ca="1">IFERROR(__xludf.DUMMYFUNCTION("""COMPUTED_VALUE"""),44738)</f>
        <v>44738</v>
      </c>
      <c r="E709" s="3">
        <f ca="1">IFERROR(__xludf.DUMMYFUNCTION("""COMPUTED_VALUE"""),0.99929398148015)</f>
        <v>0.99929398148015003</v>
      </c>
      <c r="F709" s="1">
        <f ca="1">IFERROR(__xludf.DUMMYFUNCTION("""COMPUTED_VALUE"""),48766)</f>
        <v>48766</v>
      </c>
      <c r="G709" s="1" t="str">
        <f ca="1">IFERROR(__xludf.DUMMYFUNCTION("""COMPUTED_VALUE"""),"13.0591/77.5872")</f>
        <v>13.0591/77.5872</v>
      </c>
      <c r="H709" s="1" t="str">
        <f ca="1">IFERROR(__xludf.DUMMYFUNCTION("""COMPUTED_VALUE"""),"Chairman's Club &amp; Resort")</f>
        <v>Chairman's Club &amp; Resort</v>
      </c>
      <c r="I709" s="1"/>
      <c r="J709" s="1" t="str">
        <f ca="1">IFERROR(__xludf.DUMMYFUNCTION("""COMPUTED_VALUE"""),"0d 00h 00m")</f>
        <v>0d 00h 00m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>
      <c r="A710" s="1">
        <f ca="1">IFERROR(__xludf.DUMMYFUNCTION("""COMPUTED_VALUE"""),158)</f>
        <v>158</v>
      </c>
      <c r="B710" s="1" t="str">
        <f ca="1">IFERROR(__xludf.DUMMYFUNCTION("""COMPUTED_VALUE"""),"N3_KA04C5142_Jetting")</f>
        <v>N3_KA04C5142_Jetting</v>
      </c>
      <c r="C710" s="1" t="str">
        <f ca="1">IFERROR(__xludf.DUMMYFUNCTION("""COMPUTED_VALUE"""),"n3_ka04c5142_jetting")</f>
        <v>n3_ka04c5142_jetting</v>
      </c>
      <c r="D710" s="2">
        <f ca="1">IFERROR(__xludf.DUMMYFUNCTION("""COMPUTED_VALUE"""),44768)</f>
        <v>44768</v>
      </c>
      <c r="E710" s="3">
        <f ca="1">IFERROR(__xludf.DUMMYFUNCTION("""COMPUTED_VALUE"""),0.998414351852261)</f>
        <v>0.99841435185226102</v>
      </c>
      <c r="F710" s="1">
        <f ca="1">IFERROR(__xludf.DUMMYFUNCTION("""COMPUTED_VALUE"""),49654)</f>
        <v>49654</v>
      </c>
      <c r="G710" s="1" t="str">
        <f ca="1">IFERROR(__xludf.DUMMYFUNCTION("""COMPUTED_VALUE"""),"13.0594/77.5873")</f>
        <v>13.0594/77.5873</v>
      </c>
      <c r="H710" s="1" t="str">
        <f ca="1">IFERROR(__xludf.DUMMYFUNCTION("""COMPUTED_VALUE"""),"Chairman's Club &amp; Resort")</f>
        <v>Chairman's Club &amp; Resort</v>
      </c>
      <c r="I710" s="1"/>
      <c r="J710" s="1" t="str">
        <f ca="1">IFERROR(__xludf.DUMMYFUNCTION("""COMPUTED_VALUE"""),"0d 00h 00m")</f>
        <v>0d 00h 00m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>
      <c r="A711" s="1">
        <f ca="1">IFERROR(__xludf.DUMMYFUNCTION("""COMPUTED_VALUE"""),161)</f>
        <v>161</v>
      </c>
      <c r="B711" s="1" t="str">
        <f ca="1">IFERROR(__xludf.DUMMYFUNCTION("""COMPUTED_VALUE"""),"N3_KA04C5142_Jetting")</f>
        <v>N3_KA04C5142_Jetting</v>
      </c>
      <c r="C711" s="1" t="str">
        <f ca="1">IFERROR(__xludf.DUMMYFUNCTION("""COMPUTED_VALUE"""),"n3_ka04c5142_jetting")</f>
        <v>n3_ka04c5142_jetting</v>
      </c>
      <c r="D711" s="2">
        <f ca="1">IFERROR(__xludf.DUMMYFUNCTION("""COMPUTED_VALUE"""),44799)</f>
        <v>44799</v>
      </c>
      <c r="E711" s="3">
        <f ca="1">IFERROR(__xludf.DUMMYFUNCTION("""COMPUTED_VALUE"""),0.937384259257669)</f>
        <v>0.93738425925766899</v>
      </c>
      <c r="F711" s="1">
        <f ca="1">IFERROR(__xludf.DUMMYFUNCTION("""COMPUTED_VALUE"""),51245)</f>
        <v>51245</v>
      </c>
      <c r="G711" s="1" t="str">
        <f ca="1">IFERROR(__xludf.DUMMYFUNCTION("""COMPUTED_VALUE"""),"13.0591/77.5870")</f>
        <v>13.0591/77.5870</v>
      </c>
      <c r="H711" s="1" t="str">
        <f ca="1">IFERROR(__xludf.DUMMYFUNCTION("""COMPUTED_VALUE"""),"Chairman's Club &amp; Resort")</f>
        <v>Chairman's Club &amp; Resort</v>
      </c>
      <c r="I711" s="1"/>
      <c r="J711" s="1" t="str">
        <f ca="1">IFERROR(__xludf.DUMMYFUNCTION("""COMPUTED_VALUE"""),"0d 00h 00m")</f>
        <v>0d 00h 00m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>
      <c r="A712" s="1">
        <f ca="1">IFERROR(__xludf.DUMMYFUNCTION("""COMPUTED_VALUE"""),139)</f>
        <v>139</v>
      </c>
      <c r="B712" s="1" t="str">
        <f ca="1">IFERROR(__xludf.DUMMYFUNCTION("""COMPUTED_VALUE"""),"N3_KA04C5142_Jetting")</f>
        <v>N3_KA04C5142_Jetting</v>
      </c>
      <c r="C712" s="1" t="str">
        <f ca="1">IFERROR(__xludf.DUMMYFUNCTION("""COMPUTED_VALUE"""),"n3_ka04c5142_jetting")</f>
        <v>n3_ka04c5142_jetting</v>
      </c>
      <c r="D712" s="2">
        <f ca="1">IFERROR(__xludf.DUMMYFUNCTION("""COMPUTED_VALUE"""),44829)</f>
        <v>44829</v>
      </c>
      <c r="E712" s="3">
        <f ca="1">IFERROR(__xludf.DUMMYFUNCTION("""COMPUTED_VALUE"""),0.657696759259124)</f>
        <v>0.65769675925912396</v>
      </c>
      <c r="F712" s="1">
        <f ca="1">IFERROR(__xludf.DUMMYFUNCTION("""COMPUTED_VALUE"""),51420)</f>
        <v>51420</v>
      </c>
      <c r="G712" s="1" t="str">
        <f ca="1">IFERROR(__xludf.DUMMYFUNCTION("""COMPUTED_VALUE"""),"13.0591/77.5870")</f>
        <v>13.0591/77.5870</v>
      </c>
      <c r="H712" s="1" t="str">
        <f ca="1">IFERROR(__xludf.DUMMYFUNCTION("""COMPUTED_VALUE"""),"Chairman's Club &amp; Resort")</f>
        <v>Chairman's Club &amp; Resort</v>
      </c>
      <c r="I712" s="1"/>
      <c r="J712" s="1" t="str">
        <f ca="1">IFERROR(__xludf.DUMMYFUNCTION("""COMPUTED_VALUE"""),"0d 00h 00m")</f>
        <v>0d 00h 00m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>
      <c r="A713" s="1">
        <f ca="1">IFERROR(__xludf.DUMMYFUNCTION("""COMPUTED_VALUE"""),142)</f>
        <v>142</v>
      </c>
      <c r="B713" s="1" t="str">
        <f ca="1">IFERROR(__xludf.DUMMYFUNCTION("""COMPUTED_VALUE"""),"N3_KA04C5142_Jetting")</f>
        <v>N3_KA04C5142_Jetting</v>
      </c>
      <c r="C713" s="1" t="str">
        <f ca="1">IFERROR(__xludf.DUMMYFUNCTION("""COMPUTED_VALUE"""),"n3_ka04c5142_jetting")</f>
        <v>n3_ka04c5142_jetting</v>
      </c>
      <c r="D713" s="2">
        <f ca="1">IFERROR(__xludf.DUMMYFUNCTION("""COMPUTED_VALUE"""),44860)</f>
        <v>44860</v>
      </c>
      <c r="E713" s="3">
        <f ca="1">IFERROR(__xludf.DUMMYFUNCTION("""COMPUTED_VALUE"""),0.753171296295477)</f>
        <v>0.75317129629547697</v>
      </c>
      <c r="F713" s="1">
        <f ca="1">IFERROR(__xludf.DUMMYFUNCTION("""COMPUTED_VALUE"""),51593)</f>
        <v>51593</v>
      </c>
      <c r="G713" s="1" t="str">
        <f ca="1">IFERROR(__xludf.DUMMYFUNCTION("""COMPUTED_VALUE"""),"13.0590/77.5873")</f>
        <v>13.0590/77.5873</v>
      </c>
      <c r="H713" s="1" t="str">
        <f ca="1">IFERROR(__xludf.DUMMYFUNCTION("""COMPUTED_VALUE"""),"Chairman's Club &amp; Resort")</f>
        <v>Chairman's Club &amp; Resort</v>
      </c>
      <c r="I713" s="1"/>
      <c r="J713" s="1" t="str">
        <f ca="1">IFERROR(__xludf.DUMMYFUNCTION("""COMPUTED_VALUE"""),"0d 00h 00m")</f>
        <v>0d 00h 00m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>
      <c r="A714" s="1">
        <f ca="1">IFERROR(__xludf.DUMMYFUNCTION("""COMPUTED_VALUE"""),63)</f>
        <v>63</v>
      </c>
      <c r="B714" s="1" t="str">
        <f ca="1">IFERROR(__xludf.DUMMYFUNCTION("""COMPUTED_VALUE"""),"N3_KA04D4102_Jetting")</f>
        <v>N3_KA04D4102_Jetting</v>
      </c>
      <c r="C714" s="1" t="str">
        <f ca="1">IFERROR(__xludf.DUMMYFUNCTION("""COMPUTED_VALUE"""),"n3_ka04d4102_jetting")</f>
        <v>n3_ka04d4102_jetting</v>
      </c>
      <c r="D714" s="2">
        <f ca="1">IFERROR(__xludf.DUMMYFUNCTION("""COMPUTED_VALUE"""),44675)</f>
        <v>44675</v>
      </c>
      <c r="E714" s="3">
        <f ca="1">IFERROR(__xludf.DUMMYFUNCTION("""COMPUTED_VALUE"""),0.76883101851854)</f>
        <v>0.76883101851853997</v>
      </c>
      <c r="F714" s="1">
        <f ca="1">IFERROR(__xludf.DUMMYFUNCTION("""COMPUTED_VALUE"""),48841)</f>
        <v>48841</v>
      </c>
      <c r="G714" s="1" t="str">
        <f ca="1">IFERROR(__xludf.DUMMYFUNCTION("""COMPUTED_VALUE"""),"13.0820/77.5404")</f>
        <v>13.0820/77.5404</v>
      </c>
      <c r="H714" s="1" t="str">
        <f ca="1">IFERROR(__xludf.DUMMYFUNCTION("""COMPUTED_VALUE"""),"Shingapur")</f>
        <v>Shingapur</v>
      </c>
      <c r="I714" s="1"/>
      <c r="J714" s="1" t="str">
        <f ca="1">IFERROR(__xludf.DUMMYFUNCTION("""COMPUTED_VALUE"""),"0d 00h 00m")</f>
        <v>0d 00h 00m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>
      <c r="A715" s="1">
        <f ca="1">IFERROR(__xludf.DUMMYFUNCTION("""COMPUTED_VALUE"""),50)</f>
        <v>50</v>
      </c>
      <c r="B715" s="1" t="str">
        <f ca="1">IFERROR(__xludf.DUMMYFUNCTION("""COMPUTED_VALUE"""),"N3_KA04D4102_Jetting")</f>
        <v>N3_KA04D4102_Jetting</v>
      </c>
      <c r="C715" s="1" t="str">
        <f ca="1">IFERROR(__xludf.DUMMYFUNCTION("""COMPUTED_VALUE"""),"n3_ka04d4102_jetting")</f>
        <v>n3_ka04d4102_jetting</v>
      </c>
      <c r="D715" s="2">
        <f ca="1">IFERROR(__xludf.DUMMYFUNCTION("""COMPUTED_VALUE"""),44675)</f>
        <v>44675</v>
      </c>
      <c r="E715" s="3">
        <f ca="1">IFERROR(__xludf.DUMMYFUNCTION("""COMPUTED_VALUE"""),0.76883101851854)</f>
        <v>0.76883101851853997</v>
      </c>
      <c r="F715" s="1">
        <f ca="1">IFERROR(__xludf.DUMMYFUNCTION("""COMPUTED_VALUE"""),48841)</f>
        <v>48841</v>
      </c>
      <c r="G715" s="1" t="str">
        <f ca="1">IFERROR(__xludf.DUMMYFUNCTION("""COMPUTED_VALUE"""),"13.0820/77.5404")</f>
        <v>13.0820/77.5404</v>
      </c>
      <c r="H715" s="1" t="str">
        <f ca="1">IFERROR(__xludf.DUMMYFUNCTION("""COMPUTED_VALUE"""),"Shingapur")</f>
        <v>Shingapur</v>
      </c>
      <c r="I715" s="1"/>
      <c r="J715" s="1" t="str">
        <f ca="1">IFERROR(__xludf.DUMMYFUNCTION("""COMPUTED_VALUE"""),"0d 00h 00m")</f>
        <v>0d 00h 00m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>
      <c r="A716" s="1">
        <f ca="1">IFERROR(__xludf.DUMMYFUNCTION("""COMPUTED_VALUE"""),227)</f>
        <v>227</v>
      </c>
      <c r="B716" s="1" t="str">
        <f ca="1">IFERROR(__xludf.DUMMYFUNCTION("""COMPUTED_VALUE"""),"N3_KA04D4102_Jetting")</f>
        <v>N3_KA04D4102_Jetting</v>
      </c>
      <c r="C716" s="1" t="str">
        <f ca="1">IFERROR(__xludf.DUMMYFUNCTION("""COMPUTED_VALUE"""),"n3_ka04d4102_jetting")</f>
        <v>n3_ka04d4102_jetting</v>
      </c>
      <c r="D716" s="2">
        <f ca="1">IFERROR(__xludf.DUMMYFUNCTION("""COMPUTED_VALUE"""),44768)</f>
        <v>44768</v>
      </c>
      <c r="E716" s="3">
        <f ca="1">IFERROR(__xludf.DUMMYFUNCTION("""COMPUTED_VALUE"""),0.999270833333866)</f>
        <v>0.99927083333386602</v>
      </c>
      <c r="F716" s="1">
        <f ca="1">IFERROR(__xludf.DUMMYFUNCTION("""COMPUTED_VALUE"""),49128)</f>
        <v>49128</v>
      </c>
      <c r="G716" s="1" t="str">
        <f ca="1">IFERROR(__xludf.DUMMYFUNCTION("""COMPUTED_VALUE"""),"13.0822/77.5400")</f>
        <v>13.0822/77.5400</v>
      </c>
      <c r="H716" s="1" t="str">
        <f ca="1">IFERROR(__xludf.DUMMYFUNCTION("""COMPUTED_VALUE"""),"Shingapur")</f>
        <v>Shingapur</v>
      </c>
      <c r="I716" s="1"/>
      <c r="J716" s="1" t="str">
        <f ca="1">IFERROR(__xludf.DUMMYFUNCTION("""COMPUTED_VALUE"""),"0d 00h 00m")</f>
        <v>0d 00h 00m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>
      <c r="A717" s="1">
        <f ca="1">IFERROR(__xludf.DUMMYFUNCTION("""COMPUTED_VALUE"""),97)</f>
        <v>97</v>
      </c>
      <c r="B717" s="1" t="str">
        <f ca="1">IFERROR(__xludf.DUMMYFUNCTION("""COMPUTED_VALUE"""),"N3_KA04D4102_Jetting")</f>
        <v>N3_KA04D4102_Jetting</v>
      </c>
      <c r="C717" s="1" t="str">
        <f ca="1">IFERROR(__xludf.DUMMYFUNCTION("""COMPUTED_VALUE"""),"n3_ka04d4102_jetting")</f>
        <v>n3_ka04d4102_jetting</v>
      </c>
      <c r="D717" s="2">
        <f ca="1">IFERROR(__xludf.DUMMYFUNCTION("""COMPUTED_VALUE"""),44780)</f>
        <v>44780</v>
      </c>
      <c r="E717" s="3">
        <f ca="1">IFERROR(__xludf.DUMMYFUNCTION("""COMPUTED_VALUE"""),0.967002314813726)</f>
        <v>0.967002314813726</v>
      </c>
      <c r="F717" s="1">
        <f ca="1">IFERROR(__xludf.DUMMYFUNCTION("""COMPUTED_VALUE"""),49329)</f>
        <v>49329</v>
      </c>
      <c r="G717" s="1" t="str">
        <f ca="1">IFERROR(__xludf.DUMMYFUNCTION("""COMPUTED_VALUE"""),"13.0817/77.5395")</f>
        <v>13.0817/77.5395</v>
      </c>
      <c r="H717" s="1" t="str">
        <f ca="1">IFERROR(__xludf.DUMMYFUNCTION("""COMPUTED_VALUE"""),"Shingapur")</f>
        <v>Shingapur</v>
      </c>
      <c r="I717" s="1"/>
      <c r="J717" s="1" t="str">
        <f ca="1">IFERROR(__xludf.DUMMYFUNCTION("""COMPUTED_VALUE"""),"0d 00h 00m")</f>
        <v>0d 00h 00m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>
      <c r="A718" s="1">
        <f ca="1">IFERROR(__xludf.DUMMYFUNCTION("""COMPUTED_VALUE"""),64)</f>
        <v>64</v>
      </c>
      <c r="B718" s="1" t="str">
        <f ca="1">IFERROR(__xludf.DUMMYFUNCTION("""COMPUTED_VALUE"""),"N3_KA04D4102_Jetting")</f>
        <v>N3_KA04D4102_Jetting</v>
      </c>
      <c r="C718" s="1" t="str">
        <f ca="1">IFERROR(__xludf.DUMMYFUNCTION("""COMPUTED_VALUE"""),"n3_ka04d4102_jetting")</f>
        <v>n3_ka04d4102_jetting</v>
      </c>
      <c r="D718" s="2">
        <f ca="1">IFERROR(__xludf.DUMMYFUNCTION("""COMPUTED_VALUE"""),44780)</f>
        <v>44780</v>
      </c>
      <c r="E718" s="3">
        <f ca="1">IFERROR(__xludf.DUMMYFUNCTION("""COMPUTED_VALUE"""),0.967002314813726)</f>
        <v>0.967002314813726</v>
      </c>
      <c r="F718" s="1">
        <f ca="1">IFERROR(__xludf.DUMMYFUNCTION("""COMPUTED_VALUE"""),49329)</f>
        <v>49329</v>
      </c>
      <c r="G718" s="1" t="str">
        <f ca="1">IFERROR(__xludf.DUMMYFUNCTION("""COMPUTED_VALUE"""),"13.0817/77.5395")</f>
        <v>13.0817/77.5395</v>
      </c>
      <c r="H718" s="1" t="str">
        <f ca="1">IFERROR(__xludf.DUMMYFUNCTION("""COMPUTED_VALUE"""),"Shingapur")</f>
        <v>Shingapur</v>
      </c>
      <c r="I718" s="1"/>
      <c r="J718" s="1" t="str">
        <f ca="1">IFERROR(__xludf.DUMMYFUNCTION("""COMPUTED_VALUE"""),"0d 00h 00m")</f>
        <v>0d 00h 00m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>
      <c r="A719" s="1">
        <f ca="1">IFERROR(__xludf.DUMMYFUNCTION("""COMPUTED_VALUE"""),231)</f>
        <v>231</v>
      </c>
      <c r="B719" s="1" t="str">
        <f ca="1">IFERROR(__xludf.DUMMYFUNCTION("""COMPUTED_VALUE"""),"N3_KA04D4102_Jetting")</f>
        <v>N3_KA04D4102_Jetting</v>
      </c>
      <c r="C719" s="1" t="str">
        <f ca="1">IFERROR(__xludf.DUMMYFUNCTION("""COMPUTED_VALUE"""),"n3_ka04d4102_jetting")</f>
        <v>n3_ka04d4102_jetting</v>
      </c>
      <c r="D719" s="2">
        <f ca="1">IFERROR(__xludf.DUMMYFUNCTION("""COMPUTED_VALUE"""),44860)</f>
        <v>44860</v>
      </c>
      <c r="E719" s="3">
        <f ca="1">IFERROR(__xludf.DUMMYFUNCTION("""COMPUTED_VALUE"""),0.999282407407008)</f>
        <v>0.99928240740700802</v>
      </c>
      <c r="F719" s="1">
        <f ca="1">IFERROR(__xludf.DUMMYFUNCTION("""COMPUTED_VALUE"""),49643)</f>
        <v>49643</v>
      </c>
      <c r="G719" s="1" t="str">
        <f ca="1">IFERROR(__xludf.DUMMYFUNCTION("""COMPUTED_VALUE"""),"13.0820/77.5399")</f>
        <v>13.0820/77.5399</v>
      </c>
      <c r="H719" s="1" t="str">
        <f ca="1">IFERROR(__xludf.DUMMYFUNCTION("""COMPUTED_VALUE"""),"Shingapur")</f>
        <v>Shingapur</v>
      </c>
      <c r="I719" s="1"/>
      <c r="J719" s="1" t="str">
        <f ca="1">IFERROR(__xludf.DUMMYFUNCTION("""COMPUTED_VALUE"""),"0d 00h 00m")</f>
        <v>0d 00h 00m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>
      <c r="A720" s="1">
        <f ca="1">IFERROR(__xludf.DUMMYFUNCTION("""COMPUTED_VALUE"""),178)</f>
        <v>178</v>
      </c>
      <c r="B720" s="1" t="str">
        <f ca="1">IFERROR(__xludf.DUMMYFUNCTION("""COMPUTED_VALUE"""),"N3_KA04D5128_Tanker")</f>
        <v>N3_KA04D5128_Tanker</v>
      </c>
      <c r="C720" s="1" t="str">
        <f ca="1">IFERROR(__xludf.DUMMYFUNCTION("""COMPUTED_VALUE"""),"n3_ka04d5128_tanker")</f>
        <v>n3_ka04d5128_tanker</v>
      </c>
      <c r="D720" s="2">
        <f ca="1">IFERROR(__xludf.DUMMYFUNCTION("""COMPUTED_VALUE"""),44707)</f>
        <v>44707</v>
      </c>
      <c r="E720" s="3">
        <f ca="1">IFERROR(__xludf.DUMMYFUNCTION("""COMPUTED_VALUE"""),0.999085648149048)</f>
        <v>0.99908564814904799</v>
      </c>
      <c r="F720" s="1">
        <f ca="1">IFERROR(__xludf.DUMMYFUNCTION("""COMPUTED_VALUE"""),26663)</f>
        <v>26663</v>
      </c>
      <c r="G720" s="1" t="str">
        <f ca="1">IFERROR(__xludf.DUMMYFUNCTION("""COMPUTED_VALUE"""),"13.0592/77.5869")</f>
        <v>13.0592/77.5869</v>
      </c>
      <c r="H720" s="1" t="str">
        <f ca="1">IFERROR(__xludf.DUMMYFUNCTION("""COMPUTED_VALUE"""),"Chairman's Club &amp; Resort")</f>
        <v>Chairman's Club &amp; Resort</v>
      </c>
      <c r="I720" s="1"/>
      <c r="J720" s="1" t="str">
        <f ca="1">IFERROR(__xludf.DUMMYFUNCTION("""COMPUTED_VALUE"""),"0d 00h 00m")</f>
        <v>0d 00h 00m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>
      <c r="A721" s="1">
        <f ca="1">IFERROR(__xludf.DUMMYFUNCTION("""COMPUTED_VALUE"""),214)</f>
        <v>214</v>
      </c>
      <c r="B721" s="1" t="str">
        <f ca="1">IFERROR(__xludf.DUMMYFUNCTION("""COMPUTED_VALUE"""),"N3_KA04D5128_Tanker")</f>
        <v>N3_KA04D5128_Tanker</v>
      </c>
      <c r="C721" s="1" t="str">
        <f ca="1">IFERROR(__xludf.DUMMYFUNCTION("""COMPUTED_VALUE"""),"n3_ka04d5128_tanker")</f>
        <v>n3_ka04d5128_tanker</v>
      </c>
      <c r="D721" s="2">
        <f ca="1">IFERROR(__xludf.DUMMYFUNCTION("""COMPUTED_VALUE"""),44738)</f>
        <v>44738</v>
      </c>
      <c r="E721" s="3">
        <f ca="1">IFERROR(__xludf.DUMMYFUNCTION("""COMPUTED_VALUE"""),0.99920138888774)</f>
        <v>0.99920138888774002</v>
      </c>
      <c r="F721" s="1">
        <f ca="1">IFERROR(__xludf.DUMMYFUNCTION("""COMPUTED_VALUE"""),27115)</f>
        <v>27115</v>
      </c>
      <c r="G721" s="1" t="str">
        <f ca="1">IFERROR(__xludf.DUMMYFUNCTION("""COMPUTED_VALUE"""),"13.0592/77.5869")</f>
        <v>13.0592/77.5869</v>
      </c>
      <c r="H721" s="1" t="str">
        <f ca="1">IFERROR(__xludf.DUMMYFUNCTION("""COMPUTED_VALUE"""),"Chairman's Club &amp; Resort")</f>
        <v>Chairman's Club &amp; Resort</v>
      </c>
      <c r="I721" s="1"/>
      <c r="J721" s="1" t="str">
        <f ca="1">IFERROR(__xludf.DUMMYFUNCTION("""COMPUTED_VALUE"""),"0d 00h 00m")</f>
        <v>0d 00h 00m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>
      <c r="A722" s="1">
        <f ca="1">IFERROR(__xludf.DUMMYFUNCTION("""COMPUTED_VALUE"""),114)</f>
        <v>114</v>
      </c>
      <c r="B722" s="1" t="str">
        <f ca="1">IFERROR(__xludf.DUMMYFUNCTION("""COMPUTED_VALUE"""),"N3_KA04D5128_Tanker")</f>
        <v>N3_KA04D5128_Tanker</v>
      </c>
      <c r="C722" s="1" t="str">
        <f ca="1">IFERROR(__xludf.DUMMYFUNCTION("""COMPUTED_VALUE"""),"n3_ka04d5128_tanker")</f>
        <v>n3_ka04d5128_tanker</v>
      </c>
      <c r="D722" s="2">
        <f ca="1">IFERROR(__xludf.DUMMYFUNCTION("""COMPUTED_VALUE"""),44763)</f>
        <v>44763</v>
      </c>
      <c r="E722" s="3">
        <f ca="1">IFERROR(__xludf.DUMMYFUNCTION("""COMPUTED_VALUE"""),0.983425925925985)</f>
        <v>0.98342592592598499</v>
      </c>
      <c r="F722" s="1">
        <f ca="1">IFERROR(__xludf.DUMMYFUNCTION("""COMPUTED_VALUE"""),27394)</f>
        <v>27394</v>
      </c>
      <c r="G722" s="1" t="str">
        <f ca="1">IFERROR(__xludf.DUMMYFUNCTION("""COMPUTED_VALUE"""),"13.0592/77.5869")</f>
        <v>13.0592/77.5869</v>
      </c>
      <c r="H722" s="1" t="str">
        <f ca="1">IFERROR(__xludf.DUMMYFUNCTION("""COMPUTED_VALUE"""),"Chairman's Club &amp; Resort")</f>
        <v>Chairman's Club &amp; Resort</v>
      </c>
      <c r="I722" s="1"/>
      <c r="J722" s="1" t="str">
        <f ca="1">IFERROR(__xludf.DUMMYFUNCTION("""COMPUTED_VALUE"""),"0d 00h 00m")</f>
        <v>0d 00h 00m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>
      <c r="A723" s="1">
        <f ca="1">IFERROR(__xludf.DUMMYFUNCTION("""COMPUTED_VALUE"""),116)</f>
        <v>116</v>
      </c>
      <c r="B723" s="1" t="str">
        <f ca="1">IFERROR(__xludf.DUMMYFUNCTION("""COMPUTED_VALUE"""),"N3_KA04D5128_Tanker")</f>
        <v>N3_KA04D5128_Tanker</v>
      </c>
      <c r="C723" s="1" t="str">
        <f ca="1">IFERROR(__xludf.DUMMYFUNCTION("""COMPUTED_VALUE"""),"n3_ka04d5128_tanker")</f>
        <v>n3_ka04d5128_tanker</v>
      </c>
      <c r="D723" s="2">
        <f ca="1">IFERROR(__xludf.DUMMYFUNCTION("""COMPUTED_VALUE"""),44789)</f>
        <v>44789</v>
      </c>
      <c r="E723" s="3">
        <f ca="1">IFERROR(__xludf.DUMMYFUNCTION("""COMPUTED_VALUE"""),0.651261574075761)</f>
        <v>0.65126157407576102</v>
      </c>
      <c r="F723" s="1">
        <f ca="1">IFERROR(__xludf.DUMMYFUNCTION("""COMPUTED_VALUE"""),27394)</f>
        <v>27394</v>
      </c>
      <c r="G723" s="1" t="str">
        <f ca="1">IFERROR(__xludf.DUMMYFUNCTION("""COMPUTED_VALUE"""),"13.0592/77.5868")</f>
        <v>13.0592/77.5868</v>
      </c>
      <c r="H723" s="1" t="str">
        <f ca="1">IFERROR(__xludf.DUMMYFUNCTION("""COMPUTED_VALUE"""),"Chairman's Club &amp; Resort")</f>
        <v>Chairman's Club &amp; Resort</v>
      </c>
      <c r="I723" s="1"/>
      <c r="J723" s="1" t="str">
        <f ca="1">IFERROR(__xludf.DUMMYFUNCTION("""COMPUTED_VALUE"""),"0d 00h 00m")</f>
        <v>0d 00h 00m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>
      <c r="A724" s="1">
        <f ca="1">IFERROR(__xludf.DUMMYFUNCTION("""COMPUTED_VALUE"""),77)</f>
        <v>77</v>
      </c>
      <c r="B724" s="1" t="str">
        <f ca="1">IFERROR(__xludf.DUMMYFUNCTION("""COMPUTED_VALUE"""),"N3_KA04D5128_Tanker")</f>
        <v>N3_KA04D5128_Tanker</v>
      </c>
      <c r="C724" s="1" t="str">
        <f ca="1">IFERROR(__xludf.DUMMYFUNCTION("""COMPUTED_VALUE"""),"n3_ka04d5128_tanker")</f>
        <v>n3_ka04d5128_tanker</v>
      </c>
      <c r="D724" s="2">
        <f ca="1">IFERROR(__xludf.DUMMYFUNCTION("""COMPUTED_VALUE"""),44789)</f>
        <v>44789</v>
      </c>
      <c r="E724" s="3">
        <f ca="1">IFERROR(__xludf.DUMMYFUNCTION("""COMPUTED_VALUE"""),0.651261574075761)</f>
        <v>0.65126157407576102</v>
      </c>
      <c r="F724" s="1">
        <f ca="1">IFERROR(__xludf.DUMMYFUNCTION("""COMPUTED_VALUE"""),27394)</f>
        <v>27394</v>
      </c>
      <c r="G724" s="1" t="str">
        <f ca="1">IFERROR(__xludf.DUMMYFUNCTION("""COMPUTED_VALUE"""),"13.0592/77.5868")</f>
        <v>13.0592/77.5868</v>
      </c>
      <c r="H724" s="1" t="str">
        <f ca="1">IFERROR(__xludf.DUMMYFUNCTION("""COMPUTED_VALUE"""),"Chairman's Club &amp; Resort")</f>
        <v>Chairman's Club &amp; Resort</v>
      </c>
      <c r="I724" s="1"/>
      <c r="J724" s="1" t="str">
        <f ca="1">IFERROR(__xludf.DUMMYFUNCTION("""COMPUTED_VALUE"""),"0d 00h 00m")</f>
        <v>0d 00h 00m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>
      <c r="A725" s="1">
        <f ca="1">IFERROR(__xludf.DUMMYFUNCTION("""COMPUTED_VALUE"""),181)</f>
        <v>181</v>
      </c>
      <c r="B725" s="1" t="str">
        <f ca="1">IFERROR(__xludf.DUMMYFUNCTION("""COMPUTED_VALUE"""),"N3_KA04D5128_Tanker")</f>
        <v>N3_KA04D5128_Tanker</v>
      </c>
      <c r="C725" s="1" t="str">
        <f ca="1">IFERROR(__xludf.DUMMYFUNCTION("""COMPUTED_VALUE"""),"n3_ka04d5128_tanker")</f>
        <v>n3_ka04d5128_tanker</v>
      </c>
      <c r="D725" s="2">
        <f ca="1">IFERROR(__xludf.DUMMYFUNCTION("""COMPUTED_VALUE"""),44860)</f>
        <v>44860</v>
      </c>
      <c r="E725" s="3">
        <f ca="1">IFERROR(__xludf.DUMMYFUNCTION("""COMPUTED_VALUE"""),0.999085648149048)</f>
        <v>0.99908564814904799</v>
      </c>
      <c r="F725" s="1">
        <f ca="1">IFERROR(__xludf.DUMMYFUNCTION("""COMPUTED_VALUE"""),27628)</f>
        <v>27628</v>
      </c>
      <c r="G725" s="1" t="str">
        <f ca="1">IFERROR(__xludf.DUMMYFUNCTION("""COMPUTED_VALUE"""),"13.0590/77.5871")</f>
        <v>13.0590/77.5871</v>
      </c>
      <c r="H725" s="1" t="str">
        <f ca="1">IFERROR(__xludf.DUMMYFUNCTION("""COMPUTED_VALUE"""),"Chairman's Club &amp; Resort")</f>
        <v>Chairman's Club &amp; Resort</v>
      </c>
      <c r="I725" s="1"/>
      <c r="J725" s="1" t="str">
        <f ca="1">IFERROR(__xludf.DUMMYFUNCTION("""COMPUTED_VALUE"""),"0d 00h 00m")</f>
        <v>0d 00h 00m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>
      <c r="A726" s="1">
        <f ca="1">IFERROR(__xludf.DUMMYFUNCTION("""COMPUTED_VALUE"""),25)</f>
        <v>25</v>
      </c>
      <c r="B726" s="1" t="str">
        <f ca="1">IFERROR(__xludf.DUMMYFUNCTION("""COMPUTED_VALUE"""),"N3_KA04D6659_Jetting")</f>
        <v>N3_KA04D6659_Jetting</v>
      </c>
      <c r="C726" s="1" t="str">
        <f ca="1">IFERROR(__xludf.DUMMYFUNCTION("""COMPUTED_VALUE"""),"n3_ka04d6659_jetting")</f>
        <v>n3_ka04d6659_jetting</v>
      </c>
      <c r="D726" s="2">
        <f ca="1">IFERROR(__xludf.DUMMYFUNCTION("""COMPUTED_VALUE"""),44041)</f>
        <v>44041</v>
      </c>
      <c r="E726" s="3">
        <f ca="1">IFERROR(__xludf.DUMMYFUNCTION("""COMPUTED_VALUE"""),0.411631944443797)</f>
        <v>0.41163194444379703</v>
      </c>
      <c r="F726" s="1">
        <f ca="1">IFERROR(__xludf.DUMMYFUNCTION("""COMPUTED_VALUE"""),45534)</f>
        <v>45534</v>
      </c>
      <c r="G726" s="1" t="str">
        <f ca="1">IFERROR(__xludf.DUMMYFUNCTION("""COMPUTED_VALUE"""),"13.0599/77.5757")</f>
        <v>13.0599/77.5757</v>
      </c>
      <c r="H726" s="1" t="str">
        <f ca="1">IFERROR(__xludf.DUMMYFUNCTION("""COMPUTED_VALUE"""),"Kodagihalli")</f>
        <v>Kodagihalli</v>
      </c>
      <c r="I726" s="1"/>
      <c r="J726" s="1" t="str">
        <f ca="1">IFERROR(__xludf.DUMMYFUNCTION("""COMPUTED_VALUE"""),"0d 00h 00m")</f>
        <v>0d 00h 00m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>
      <c r="A727" s="1">
        <f ca="1">IFERROR(__xludf.DUMMYFUNCTION("""COMPUTED_VALUE"""),185)</f>
        <v>185</v>
      </c>
      <c r="B727" s="1" t="str">
        <f ca="1">IFERROR(__xludf.DUMMYFUNCTION("""COMPUTED_VALUE"""),"N3_KA04D6659_Jetting")</f>
        <v>N3_KA04D6659_Jetting</v>
      </c>
      <c r="C727" s="1" t="str">
        <f ca="1">IFERROR(__xludf.DUMMYFUNCTION("""COMPUTED_VALUE"""),"n3_ka04d6659_jetting")</f>
        <v>n3_ka04d6659_jetting</v>
      </c>
      <c r="D727" s="2">
        <f ca="1">IFERROR(__xludf.DUMMYFUNCTION("""COMPUTED_VALUE"""),44738)</f>
        <v>44738</v>
      </c>
      <c r="E727" s="3">
        <f ca="1">IFERROR(__xludf.DUMMYFUNCTION("""COMPUTED_VALUE"""),0.999097222222189)</f>
        <v>0.999097222222189</v>
      </c>
      <c r="F727" s="1">
        <f ca="1">IFERROR(__xludf.DUMMYFUNCTION("""COMPUTED_VALUE"""),45986)</f>
        <v>45986</v>
      </c>
      <c r="G727" s="1" t="str">
        <f ca="1">IFERROR(__xludf.DUMMYFUNCTION("""COMPUTED_VALUE"""),"13.0591/77.5873")</f>
        <v>13.0591/77.5873</v>
      </c>
      <c r="H727" s="1" t="str">
        <f ca="1">IFERROR(__xludf.DUMMYFUNCTION("""COMPUTED_VALUE"""),"Chairman's Club &amp; Resort")</f>
        <v>Chairman's Club &amp; Resort</v>
      </c>
      <c r="I727" s="1"/>
      <c r="J727" s="1" t="str">
        <f ca="1">IFERROR(__xludf.DUMMYFUNCTION("""COMPUTED_VALUE"""),"0d 00h 00m")</f>
        <v>0d 00h 00m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>
      <c r="A728" s="1">
        <f ca="1">IFERROR(__xludf.DUMMYFUNCTION("""COMPUTED_VALUE"""),203)</f>
        <v>203</v>
      </c>
      <c r="B728" s="1" t="str">
        <f ca="1">IFERROR(__xludf.DUMMYFUNCTION("""COMPUTED_VALUE"""),"N3_KA04D6659_Jetting")</f>
        <v>N3_KA04D6659_Jetting</v>
      </c>
      <c r="C728" s="1" t="str">
        <f ca="1">IFERROR(__xludf.DUMMYFUNCTION("""COMPUTED_VALUE"""),"n3_ka04d6659_jetting")</f>
        <v>n3_ka04d6659_jetting</v>
      </c>
      <c r="D728" s="2">
        <f ca="1">IFERROR(__xludf.DUMMYFUNCTION("""COMPUTED_VALUE"""),44768)</f>
        <v>44768</v>
      </c>
      <c r="E728" s="3">
        <f ca="1">IFERROR(__xludf.DUMMYFUNCTION("""COMPUTED_VALUE"""),0.999131944445252)</f>
        <v>0.999131944445252</v>
      </c>
      <c r="F728" s="1">
        <f ca="1">IFERROR(__xludf.DUMMYFUNCTION("""COMPUTED_VALUE"""),47170)</f>
        <v>47170</v>
      </c>
      <c r="G728" s="1" t="str">
        <f ca="1">IFERROR(__xludf.DUMMYFUNCTION("""COMPUTED_VALUE"""),"13.0590/77.5872")</f>
        <v>13.0590/77.5872</v>
      </c>
      <c r="H728" s="1" t="str">
        <f ca="1">IFERROR(__xludf.DUMMYFUNCTION("""COMPUTED_VALUE"""),"Chairman's Club &amp; Resort")</f>
        <v>Chairman's Club &amp; Resort</v>
      </c>
      <c r="I728" s="1"/>
      <c r="J728" s="1" t="str">
        <f ca="1">IFERROR(__xludf.DUMMYFUNCTION("""COMPUTED_VALUE"""),"0d 00h 00m")</f>
        <v>0d 00h 00m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>
      <c r="A729" s="1">
        <f ca="1">IFERROR(__xludf.DUMMYFUNCTION("""COMPUTED_VALUE"""),201)</f>
        <v>201</v>
      </c>
      <c r="B729" s="1" t="str">
        <f ca="1">IFERROR(__xludf.DUMMYFUNCTION("""COMPUTED_VALUE"""),"N3_KA04D6659_Jetting")</f>
        <v>N3_KA04D6659_Jetting</v>
      </c>
      <c r="C729" s="1" t="str">
        <f ca="1">IFERROR(__xludf.DUMMYFUNCTION("""COMPUTED_VALUE"""),"n3_ka04d6659_jetting")</f>
        <v>n3_ka04d6659_jetting</v>
      </c>
      <c r="D729" s="2">
        <f ca="1">IFERROR(__xludf.DUMMYFUNCTION("""COMPUTED_VALUE"""),44799)</f>
        <v>44799</v>
      </c>
      <c r="E729" s="3">
        <f ca="1">IFERROR(__xludf.DUMMYFUNCTION("""COMPUTED_VALUE"""),0.999120370372111)</f>
        <v>0.99912037037211099</v>
      </c>
      <c r="F729" s="1">
        <f ca="1">IFERROR(__xludf.DUMMYFUNCTION("""COMPUTED_VALUE"""),49182)</f>
        <v>49182</v>
      </c>
      <c r="G729" s="1" t="str">
        <f ca="1">IFERROR(__xludf.DUMMYFUNCTION("""COMPUTED_VALUE"""),"13.0590/77.5871")</f>
        <v>13.0590/77.5871</v>
      </c>
      <c r="H729" s="1" t="str">
        <f ca="1">IFERROR(__xludf.DUMMYFUNCTION("""COMPUTED_VALUE"""),"Chairman's Club &amp; Resort")</f>
        <v>Chairman's Club &amp; Resort</v>
      </c>
      <c r="I729" s="1"/>
      <c r="J729" s="1" t="str">
        <f ca="1">IFERROR(__xludf.DUMMYFUNCTION("""COMPUTED_VALUE"""),"0d 00h 00m")</f>
        <v>0d 00h 00m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>
      <c r="A730" s="1">
        <f ca="1">IFERROR(__xludf.DUMMYFUNCTION("""COMPUTED_VALUE"""),215)</f>
        <v>215</v>
      </c>
      <c r="B730" s="1" t="str">
        <f ca="1">IFERROR(__xludf.DUMMYFUNCTION("""COMPUTED_VALUE"""),"N3_KA04D6659_Jetting")</f>
        <v>N3_KA04D6659_Jetting</v>
      </c>
      <c r="C730" s="1" t="str">
        <f ca="1">IFERROR(__xludf.DUMMYFUNCTION("""COMPUTED_VALUE"""),"n3_ka04d6659_jetting")</f>
        <v>n3_ka04d6659_jetting</v>
      </c>
      <c r="D730" s="2">
        <f ca="1">IFERROR(__xludf.DUMMYFUNCTION("""COMPUTED_VALUE"""),44830)</f>
        <v>44830</v>
      </c>
      <c r="E730" s="3">
        <f ca="1">IFERROR(__xludf.DUMMYFUNCTION("""COMPUTED_VALUE"""),0.99921296296452)</f>
        <v>0.99921296296452</v>
      </c>
      <c r="F730" s="1">
        <f ca="1">IFERROR(__xludf.DUMMYFUNCTION("""COMPUTED_VALUE"""),50098)</f>
        <v>50098</v>
      </c>
      <c r="G730" s="1" t="str">
        <f ca="1">IFERROR(__xludf.DUMMYFUNCTION("""COMPUTED_VALUE"""),"13.0590/77.5873")</f>
        <v>13.0590/77.5873</v>
      </c>
      <c r="H730" s="1" t="str">
        <f ca="1">IFERROR(__xludf.DUMMYFUNCTION("""COMPUTED_VALUE"""),"Chairman's Club &amp; Resort")</f>
        <v>Chairman's Club &amp; Resort</v>
      </c>
      <c r="I730" s="1"/>
      <c r="J730" s="1" t="str">
        <f ca="1">IFERROR(__xludf.DUMMYFUNCTION("""COMPUTED_VALUE"""),"0d 00h 00m")</f>
        <v>0d 00h 00m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>
      <c r="A731" s="1">
        <f ca="1">IFERROR(__xludf.DUMMYFUNCTION("""COMPUTED_VALUE"""),233)</f>
        <v>233</v>
      </c>
      <c r="B731" s="1" t="str">
        <f ca="1">IFERROR(__xludf.DUMMYFUNCTION("""COMPUTED_VALUE"""),"N3_KA04D6659_Jetting")</f>
        <v>N3_KA04D6659_Jetting</v>
      </c>
      <c r="C731" s="1" t="str">
        <f ca="1">IFERROR(__xludf.DUMMYFUNCTION("""COMPUTED_VALUE"""),"n3_ka04d6659_jetting")</f>
        <v>n3_ka04d6659_jetting</v>
      </c>
      <c r="D731" s="2">
        <f ca="1">IFERROR(__xludf.DUMMYFUNCTION("""COMPUTED_VALUE"""),44860)</f>
        <v>44860</v>
      </c>
      <c r="E731" s="3">
        <f ca="1">IFERROR(__xludf.DUMMYFUNCTION("""COMPUTED_VALUE"""),0.999282407407008)</f>
        <v>0.99928240740700802</v>
      </c>
      <c r="F731" s="1">
        <f ca="1">IFERROR(__xludf.DUMMYFUNCTION("""COMPUTED_VALUE"""),51127)</f>
        <v>51127</v>
      </c>
      <c r="G731" s="1" t="str">
        <f ca="1">IFERROR(__xludf.DUMMYFUNCTION("""COMPUTED_VALUE"""),"13.0590/77.5872")</f>
        <v>13.0590/77.5872</v>
      </c>
      <c r="H731" s="1" t="str">
        <f ca="1">IFERROR(__xludf.DUMMYFUNCTION("""COMPUTED_VALUE"""),"Chairman's Club &amp; Resort")</f>
        <v>Chairman's Club &amp; Resort</v>
      </c>
      <c r="I731" s="1"/>
      <c r="J731" s="1" t="str">
        <f ca="1">IFERROR(__xludf.DUMMYFUNCTION("""COMPUTED_VALUE"""),"0d 00h 00m")</f>
        <v>0d 00h 00m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>
      <c r="A732" s="1">
        <f ca="1">IFERROR(__xludf.DUMMYFUNCTION("""COMPUTED_VALUE"""),27)</f>
        <v>27</v>
      </c>
      <c r="B732" s="1" t="str">
        <f ca="1">IFERROR(__xludf.DUMMYFUNCTION("""COMPUTED_VALUE"""),"NE1_CAA3313_Tanker")</f>
        <v>NE1_CAA3313_Tanker</v>
      </c>
      <c r="C732" s="1" t="str">
        <f ca="1">IFERROR(__xludf.DUMMYFUNCTION("""COMPUTED_VALUE"""),"ne1_caa3313_tanker")</f>
        <v>ne1_caa3313_tanker</v>
      </c>
      <c r="D732" s="2">
        <f ca="1">IFERROR(__xludf.DUMMYFUNCTION("""COMPUTED_VALUE"""),44041)</f>
        <v>44041</v>
      </c>
      <c r="E732" s="3">
        <f ca="1">IFERROR(__xludf.DUMMYFUNCTION("""COMPUTED_VALUE"""),0.436932870368764)</f>
        <v>0.43693287036876399</v>
      </c>
      <c r="F732" s="1">
        <f ca="1">IFERROR(__xludf.DUMMYFUNCTION("""COMPUTED_VALUE"""),13729)</f>
        <v>13729</v>
      </c>
      <c r="G732" s="1" t="str">
        <f ca="1">IFERROR(__xludf.DUMMYFUNCTION("""COMPUTED_VALUE"""),"13.0111/77.5672")</f>
        <v>13.0111/77.5672</v>
      </c>
      <c r="H732" s="1" t="str">
        <f ca="1">IFERROR(__xludf.DUMMYFUNCTION("""COMPUTED_VALUE"""),"Malleshwaram")</f>
        <v>Malleshwaram</v>
      </c>
      <c r="I732" s="1"/>
      <c r="J732" s="1" t="str">
        <f ca="1">IFERROR(__xludf.DUMMYFUNCTION("""COMPUTED_VALUE"""),"876d 00h 01m")</f>
        <v>876d 00h 01m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>
      <c r="A733" s="1">
        <f ca="1">IFERROR(__xludf.DUMMYFUNCTION("""COMPUTED_VALUE"""),26)</f>
        <v>26</v>
      </c>
      <c r="B733" s="1" t="str">
        <f ca="1">IFERROR(__xludf.DUMMYFUNCTION("""COMPUTED_VALUE"""),"NE1_CAA3313_Tanker")</f>
        <v>NE1_CAA3313_Tanker</v>
      </c>
      <c r="C733" s="1" t="str">
        <f ca="1">IFERROR(__xludf.DUMMYFUNCTION("""COMPUTED_VALUE"""),"ne1_caa3313_tanker")</f>
        <v>ne1_caa3313_tanker</v>
      </c>
      <c r="D733" s="2">
        <f ca="1">IFERROR(__xludf.DUMMYFUNCTION("""COMPUTED_VALUE"""),44041)</f>
        <v>44041</v>
      </c>
      <c r="E733" s="3">
        <f ca="1">IFERROR(__xludf.DUMMYFUNCTION("""COMPUTED_VALUE"""),0.436932870368764)</f>
        <v>0.43693287036876399</v>
      </c>
      <c r="F733" s="1">
        <f ca="1">IFERROR(__xludf.DUMMYFUNCTION("""COMPUTED_VALUE"""),13729)</f>
        <v>13729</v>
      </c>
      <c r="G733" s="1" t="str">
        <f ca="1">IFERROR(__xludf.DUMMYFUNCTION("""COMPUTED_VALUE"""),"13.0111/77.5672")</f>
        <v>13.0111/77.5672</v>
      </c>
      <c r="H733" s="1" t="str">
        <f ca="1">IFERROR(__xludf.DUMMYFUNCTION("""COMPUTED_VALUE"""),"Malleshwaram")</f>
        <v>Malleshwaram</v>
      </c>
      <c r="I733" s="1"/>
      <c r="J733" s="1" t="str">
        <f ca="1">IFERROR(__xludf.DUMMYFUNCTION("""COMPUTED_VALUE"""),"876d 00h 02m")</f>
        <v>876d 00h 02m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>
      <c r="A734" s="1">
        <f ca="1">IFERROR(__xludf.DUMMYFUNCTION("""COMPUTED_VALUE"""),26)</f>
        <v>26</v>
      </c>
      <c r="B734" s="1" t="str">
        <f ca="1">IFERROR(__xludf.DUMMYFUNCTION("""COMPUTED_VALUE"""),"NE1_CAA3313_Tanker")</f>
        <v>NE1_CAA3313_Tanker</v>
      </c>
      <c r="C734" s="1" t="str">
        <f ca="1">IFERROR(__xludf.DUMMYFUNCTION("""COMPUTED_VALUE"""),"ne1_caa3313_tanker")</f>
        <v>ne1_caa3313_tanker</v>
      </c>
      <c r="D734" s="2">
        <f ca="1">IFERROR(__xludf.DUMMYFUNCTION("""COMPUTED_VALUE"""),44041)</f>
        <v>44041</v>
      </c>
      <c r="E734" s="3">
        <f ca="1">IFERROR(__xludf.DUMMYFUNCTION("""COMPUTED_VALUE"""),0.436932870368764)</f>
        <v>0.43693287036876399</v>
      </c>
      <c r="F734" s="1">
        <f ca="1">IFERROR(__xludf.DUMMYFUNCTION("""COMPUTED_VALUE"""),13729)</f>
        <v>13729</v>
      </c>
      <c r="G734" s="1" t="str">
        <f ca="1">IFERROR(__xludf.DUMMYFUNCTION("""COMPUTED_VALUE"""),"13.0111/77.5672")</f>
        <v>13.0111/77.5672</v>
      </c>
      <c r="H734" s="1" t="str">
        <f ca="1">IFERROR(__xludf.DUMMYFUNCTION("""COMPUTED_VALUE"""),"Malleshwaram")</f>
        <v>Malleshwaram</v>
      </c>
      <c r="I734" s="1"/>
      <c r="J734" s="1" t="str">
        <f ca="1">IFERROR(__xludf.DUMMYFUNCTION("""COMPUTED_VALUE"""),"876d 00h 03m")</f>
        <v>876d 00h 03m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>
      <c r="A735" s="1">
        <f ca="1">IFERROR(__xludf.DUMMYFUNCTION("""COMPUTED_VALUE"""),26)</f>
        <v>26</v>
      </c>
      <c r="B735" s="1" t="str">
        <f ca="1">IFERROR(__xludf.DUMMYFUNCTION("""COMPUTED_VALUE"""),"NE1_CAA3313_Tanker")</f>
        <v>NE1_CAA3313_Tanker</v>
      </c>
      <c r="C735" s="1" t="str">
        <f ca="1">IFERROR(__xludf.DUMMYFUNCTION("""COMPUTED_VALUE"""),"ne1_caa3313_tanker")</f>
        <v>ne1_caa3313_tanker</v>
      </c>
      <c r="D735" s="2">
        <f ca="1">IFERROR(__xludf.DUMMYFUNCTION("""COMPUTED_VALUE"""),44041)</f>
        <v>44041</v>
      </c>
      <c r="E735" s="3">
        <f ca="1">IFERROR(__xludf.DUMMYFUNCTION("""COMPUTED_VALUE"""),0.436932870368764)</f>
        <v>0.43693287036876399</v>
      </c>
      <c r="F735" s="1">
        <f ca="1">IFERROR(__xludf.DUMMYFUNCTION("""COMPUTED_VALUE"""),13729)</f>
        <v>13729</v>
      </c>
      <c r="G735" s="1" t="str">
        <f ca="1">IFERROR(__xludf.DUMMYFUNCTION("""COMPUTED_VALUE"""),"13.0111/77.5672")</f>
        <v>13.0111/77.5672</v>
      </c>
      <c r="H735" s="1" t="str">
        <f ca="1">IFERROR(__xludf.DUMMYFUNCTION("""COMPUTED_VALUE"""),"Malleshwaram")</f>
        <v>Malleshwaram</v>
      </c>
      <c r="I735" s="1"/>
      <c r="J735" s="1" t="str">
        <f ca="1">IFERROR(__xludf.DUMMYFUNCTION("""COMPUTED_VALUE"""),"876d 00h 04m")</f>
        <v>876d 00h 04m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>
      <c r="A736" s="1">
        <f ca="1">IFERROR(__xludf.DUMMYFUNCTION("""COMPUTED_VALUE"""),26)</f>
        <v>26</v>
      </c>
      <c r="B736" s="1" t="str">
        <f ca="1">IFERROR(__xludf.DUMMYFUNCTION("""COMPUTED_VALUE"""),"NE1_CAA3313_Tanker")</f>
        <v>NE1_CAA3313_Tanker</v>
      </c>
      <c r="C736" s="1" t="str">
        <f ca="1">IFERROR(__xludf.DUMMYFUNCTION("""COMPUTED_VALUE"""),"ne1_caa3313_tanker")</f>
        <v>ne1_caa3313_tanker</v>
      </c>
      <c r="D736" s="2">
        <f ca="1">IFERROR(__xludf.DUMMYFUNCTION("""COMPUTED_VALUE"""),44041)</f>
        <v>44041</v>
      </c>
      <c r="E736" s="3">
        <f ca="1">IFERROR(__xludf.DUMMYFUNCTION("""COMPUTED_VALUE"""),0.436932870368764)</f>
        <v>0.43693287036876399</v>
      </c>
      <c r="F736" s="1">
        <f ca="1">IFERROR(__xludf.DUMMYFUNCTION("""COMPUTED_VALUE"""),13729)</f>
        <v>13729</v>
      </c>
      <c r="G736" s="1" t="str">
        <f ca="1">IFERROR(__xludf.DUMMYFUNCTION("""COMPUTED_VALUE"""),"13.0111/77.5672")</f>
        <v>13.0111/77.5672</v>
      </c>
      <c r="H736" s="1" t="str">
        <f ca="1">IFERROR(__xludf.DUMMYFUNCTION("""COMPUTED_VALUE"""),"Malleshwaram")</f>
        <v>Malleshwaram</v>
      </c>
      <c r="I736" s="1"/>
      <c r="J736" s="1" t="str">
        <f ca="1">IFERROR(__xludf.DUMMYFUNCTION("""COMPUTED_VALUE"""),"876d 00h 05m")</f>
        <v>876d 00h 05m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>
      <c r="A737" s="1">
        <f ca="1">IFERROR(__xludf.DUMMYFUNCTION("""COMPUTED_VALUE"""),26)</f>
        <v>26</v>
      </c>
      <c r="B737" s="1" t="str">
        <f ca="1">IFERROR(__xludf.DUMMYFUNCTION("""COMPUTED_VALUE"""),"NE1_CAA3313_Tanker")</f>
        <v>NE1_CAA3313_Tanker</v>
      </c>
      <c r="C737" s="1" t="str">
        <f ca="1">IFERROR(__xludf.DUMMYFUNCTION("""COMPUTED_VALUE"""),"ne1_caa3313_tanker")</f>
        <v>ne1_caa3313_tanker</v>
      </c>
      <c r="D737" s="2">
        <f ca="1">IFERROR(__xludf.DUMMYFUNCTION("""COMPUTED_VALUE"""),44041)</f>
        <v>44041</v>
      </c>
      <c r="E737" s="3">
        <f ca="1">IFERROR(__xludf.DUMMYFUNCTION("""COMPUTED_VALUE"""),0.436932870368764)</f>
        <v>0.43693287036876399</v>
      </c>
      <c r="F737" s="1">
        <f ca="1">IFERROR(__xludf.DUMMYFUNCTION("""COMPUTED_VALUE"""),13729)</f>
        <v>13729</v>
      </c>
      <c r="G737" s="1" t="str">
        <f ca="1">IFERROR(__xludf.DUMMYFUNCTION("""COMPUTED_VALUE"""),"13.0111/77.5672")</f>
        <v>13.0111/77.5672</v>
      </c>
      <c r="H737" s="1" t="str">
        <f ca="1">IFERROR(__xludf.DUMMYFUNCTION("""COMPUTED_VALUE"""),"Malleshwaram")</f>
        <v>Malleshwaram</v>
      </c>
      <c r="I737" s="1"/>
      <c r="J737" s="1" t="str">
        <f ca="1">IFERROR(__xludf.DUMMYFUNCTION("""COMPUTED_VALUE"""),"876d 00h 05m")</f>
        <v>876d 00h 05m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>
      <c r="A738" s="1">
        <f ca="1">IFERROR(__xludf.DUMMYFUNCTION("""COMPUTED_VALUE"""),123)</f>
        <v>123</v>
      </c>
      <c r="B738" s="1" t="str">
        <f ca="1">IFERROR(__xludf.DUMMYFUNCTION("""COMPUTED_VALUE"""),"NE1_KA03C5068_TANKER")</f>
        <v>NE1_KA03C5068_TANKER</v>
      </c>
      <c r="C738" s="1" t="str">
        <f ca="1">IFERROR(__xludf.DUMMYFUNCTION("""COMPUTED_VALUE"""),"ne1_ka03c5068_tanker")</f>
        <v>ne1_ka03c5068_tanker</v>
      </c>
      <c r="D738" s="2">
        <f ca="1">IFERROR(__xludf.DUMMYFUNCTION("""COMPUTED_VALUE"""),44623)</f>
        <v>44623</v>
      </c>
      <c r="E738" s="3">
        <f ca="1">IFERROR(__xludf.DUMMYFUNCTION("""COMPUTED_VALUE"""),0.744409722221462)</f>
        <v>0.74440972222146196</v>
      </c>
      <c r="F738" s="1">
        <f ca="1">IFERROR(__xludf.DUMMYFUNCTION("""COMPUTED_VALUE"""),1056415)</f>
        <v>1056415</v>
      </c>
      <c r="G738" s="1" t="str">
        <f ca="1">IFERROR(__xludf.DUMMYFUNCTION("""COMPUTED_VALUE"""),"12.9705/77.5914")</f>
        <v>12.9705/77.5914</v>
      </c>
      <c r="H738" s="1" t="str">
        <f ca="1">IFERROR(__xludf.DUMMYFUNCTION("""COMPUTED_VALUE"""),"Iris Hotel")</f>
        <v>Iris Hotel</v>
      </c>
      <c r="I738" s="1"/>
      <c r="J738" s="1" t="str">
        <f ca="1">IFERROR(__xludf.DUMMYFUNCTION("""COMPUTED_VALUE"""),"747d 17h 32m")</f>
        <v>747d 17h 32m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>
      <c r="A739" s="1">
        <f ca="1">IFERROR(__xludf.DUMMYFUNCTION("""COMPUTED_VALUE"""),123)</f>
        <v>123</v>
      </c>
      <c r="B739" s="1" t="str">
        <f ca="1">IFERROR(__xludf.DUMMYFUNCTION("""COMPUTED_VALUE"""),"NE1_KA03C5068_TANKER")</f>
        <v>NE1_KA03C5068_TANKER</v>
      </c>
      <c r="C739" s="1" t="str">
        <f ca="1">IFERROR(__xludf.DUMMYFUNCTION("""COMPUTED_VALUE"""),"ne1_ka03c5068_tanker")</f>
        <v>ne1_ka03c5068_tanker</v>
      </c>
      <c r="D739" s="2">
        <f ca="1">IFERROR(__xludf.DUMMYFUNCTION("""COMPUTED_VALUE"""),44623)</f>
        <v>44623</v>
      </c>
      <c r="E739" s="3">
        <f ca="1">IFERROR(__xludf.DUMMYFUNCTION("""COMPUTED_VALUE"""),0.744409722221462)</f>
        <v>0.74440972222146196</v>
      </c>
      <c r="F739" s="1">
        <f ca="1">IFERROR(__xludf.DUMMYFUNCTION("""COMPUTED_VALUE"""),1056415)</f>
        <v>1056415</v>
      </c>
      <c r="G739" s="1" t="str">
        <f ca="1">IFERROR(__xludf.DUMMYFUNCTION("""COMPUTED_VALUE"""),"12.9705/77.5914")</f>
        <v>12.9705/77.5914</v>
      </c>
      <c r="H739" s="1" t="str">
        <f ca="1">IFERROR(__xludf.DUMMYFUNCTION("""COMPUTED_VALUE"""),"Iris Hotel")</f>
        <v>Iris Hotel</v>
      </c>
      <c r="I739" s="1"/>
      <c r="J739" s="1" t="str">
        <f ca="1">IFERROR(__xludf.DUMMYFUNCTION("""COMPUTED_VALUE"""),"747d 17h 33m")</f>
        <v>747d 17h 33m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>
      <c r="A740" s="1">
        <f ca="1">IFERROR(__xludf.DUMMYFUNCTION("""COMPUTED_VALUE"""),120)</f>
        <v>120</v>
      </c>
      <c r="B740" s="1" t="str">
        <f ca="1">IFERROR(__xludf.DUMMYFUNCTION("""COMPUTED_VALUE"""),"NE1_KA03C5068_TANKER")</f>
        <v>NE1_KA03C5068_TANKER</v>
      </c>
      <c r="C740" s="1" t="str">
        <f ca="1">IFERROR(__xludf.DUMMYFUNCTION("""COMPUTED_VALUE"""),"ne1_ka03c5068_tanker")</f>
        <v>ne1_ka03c5068_tanker</v>
      </c>
      <c r="D740" s="2">
        <f ca="1">IFERROR(__xludf.DUMMYFUNCTION("""COMPUTED_VALUE"""),44623)</f>
        <v>44623</v>
      </c>
      <c r="E740" s="3">
        <f ca="1">IFERROR(__xludf.DUMMYFUNCTION("""COMPUTED_VALUE"""),0.744409722221462)</f>
        <v>0.74440972222146196</v>
      </c>
      <c r="F740" s="1">
        <f ca="1">IFERROR(__xludf.DUMMYFUNCTION("""COMPUTED_VALUE"""),1056415)</f>
        <v>1056415</v>
      </c>
      <c r="G740" s="1" t="str">
        <f ca="1">IFERROR(__xludf.DUMMYFUNCTION("""COMPUTED_VALUE"""),"12.9705/77.5914")</f>
        <v>12.9705/77.5914</v>
      </c>
      <c r="H740" s="1" t="str">
        <f ca="1">IFERROR(__xludf.DUMMYFUNCTION("""COMPUTED_VALUE"""),"Iris Hotel")</f>
        <v>Iris Hotel</v>
      </c>
      <c r="I740" s="1"/>
      <c r="J740" s="1" t="str">
        <f ca="1">IFERROR(__xludf.DUMMYFUNCTION("""COMPUTED_VALUE"""),"747d 17h 36m")</f>
        <v>747d 17h 36m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>
      <c r="A741" s="1">
        <f ca="1">IFERROR(__xludf.DUMMYFUNCTION("""COMPUTED_VALUE"""),120)</f>
        <v>120</v>
      </c>
      <c r="B741" s="1" t="str">
        <f ca="1">IFERROR(__xludf.DUMMYFUNCTION("""COMPUTED_VALUE"""),"NE1_KA03C5068_TANKER")</f>
        <v>NE1_KA03C5068_TANKER</v>
      </c>
      <c r="C741" s="1" t="str">
        <f ca="1">IFERROR(__xludf.DUMMYFUNCTION("""COMPUTED_VALUE"""),"ne1_ka03c5068_tanker")</f>
        <v>ne1_ka03c5068_tanker</v>
      </c>
      <c r="D741" s="2">
        <f ca="1">IFERROR(__xludf.DUMMYFUNCTION("""COMPUTED_VALUE"""),44623)</f>
        <v>44623</v>
      </c>
      <c r="E741" s="3">
        <f ca="1">IFERROR(__xludf.DUMMYFUNCTION("""COMPUTED_VALUE"""),0.744409722221462)</f>
        <v>0.74440972222146196</v>
      </c>
      <c r="F741" s="1">
        <f ca="1">IFERROR(__xludf.DUMMYFUNCTION("""COMPUTED_VALUE"""),1056415)</f>
        <v>1056415</v>
      </c>
      <c r="G741" s="1" t="str">
        <f ca="1">IFERROR(__xludf.DUMMYFUNCTION("""COMPUTED_VALUE"""),"12.9705/77.5914")</f>
        <v>12.9705/77.5914</v>
      </c>
      <c r="H741" s="1" t="str">
        <f ca="1">IFERROR(__xludf.DUMMYFUNCTION("""COMPUTED_VALUE"""),"Iris Hotel")</f>
        <v>Iris Hotel</v>
      </c>
      <c r="I741" s="1"/>
      <c r="J741" s="1" t="str">
        <f ca="1">IFERROR(__xludf.DUMMYFUNCTION("""COMPUTED_VALUE"""),"747d 17h 37m")</f>
        <v>747d 17h 37m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>
      <c r="A742" s="1">
        <f ca="1">IFERROR(__xludf.DUMMYFUNCTION("""COMPUTED_VALUE"""),119)</f>
        <v>119</v>
      </c>
      <c r="B742" s="1" t="str">
        <f ca="1">IFERROR(__xludf.DUMMYFUNCTION("""COMPUTED_VALUE"""),"NE1_KA03C5068_TANKER")</f>
        <v>NE1_KA03C5068_TANKER</v>
      </c>
      <c r="C742" s="1" t="str">
        <f ca="1">IFERROR(__xludf.DUMMYFUNCTION("""COMPUTED_VALUE"""),"ne1_ka03c5068_tanker")</f>
        <v>ne1_ka03c5068_tanker</v>
      </c>
      <c r="D742" s="2">
        <f ca="1">IFERROR(__xludf.DUMMYFUNCTION("""COMPUTED_VALUE"""),44623)</f>
        <v>44623</v>
      </c>
      <c r="E742" s="3">
        <f ca="1">IFERROR(__xludf.DUMMYFUNCTION("""COMPUTED_VALUE"""),0.744409722221462)</f>
        <v>0.74440972222146196</v>
      </c>
      <c r="F742" s="1">
        <f ca="1">IFERROR(__xludf.DUMMYFUNCTION("""COMPUTED_VALUE"""),1056415)</f>
        <v>1056415</v>
      </c>
      <c r="G742" s="1" t="str">
        <f ca="1">IFERROR(__xludf.DUMMYFUNCTION("""COMPUTED_VALUE"""),"12.9705/77.5914")</f>
        <v>12.9705/77.5914</v>
      </c>
      <c r="H742" s="1" t="str">
        <f ca="1">IFERROR(__xludf.DUMMYFUNCTION("""COMPUTED_VALUE"""),"Iris Hotel")</f>
        <v>Iris Hotel</v>
      </c>
      <c r="I742" s="1"/>
      <c r="J742" s="1" t="str">
        <f ca="1">IFERROR(__xludf.DUMMYFUNCTION("""COMPUTED_VALUE"""),"747d 17h 39m")</f>
        <v>747d 17h 39m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>
      <c r="A743" s="1">
        <f ca="1">IFERROR(__xludf.DUMMYFUNCTION("""COMPUTED_VALUE"""),119)</f>
        <v>119</v>
      </c>
      <c r="B743" s="1" t="str">
        <f ca="1">IFERROR(__xludf.DUMMYFUNCTION("""COMPUTED_VALUE"""),"NE1_KA03C5068_TANKER")</f>
        <v>NE1_KA03C5068_TANKER</v>
      </c>
      <c r="C743" s="1" t="str">
        <f ca="1">IFERROR(__xludf.DUMMYFUNCTION("""COMPUTED_VALUE"""),"ne1_ka03c5068_tanker")</f>
        <v>ne1_ka03c5068_tanker</v>
      </c>
      <c r="D743" s="2">
        <f ca="1">IFERROR(__xludf.DUMMYFUNCTION("""COMPUTED_VALUE"""),44623)</f>
        <v>44623</v>
      </c>
      <c r="E743" s="3">
        <f ca="1">IFERROR(__xludf.DUMMYFUNCTION("""COMPUTED_VALUE"""),0.744409722221462)</f>
        <v>0.74440972222146196</v>
      </c>
      <c r="F743" s="1">
        <f ca="1">IFERROR(__xludf.DUMMYFUNCTION("""COMPUTED_VALUE"""),1056415)</f>
        <v>1056415</v>
      </c>
      <c r="G743" s="1" t="str">
        <f ca="1">IFERROR(__xludf.DUMMYFUNCTION("""COMPUTED_VALUE"""),"12.9705/77.5914")</f>
        <v>12.9705/77.5914</v>
      </c>
      <c r="H743" s="1" t="str">
        <f ca="1">IFERROR(__xludf.DUMMYFUNCTION("""COMPUTED_VALUE"""),"Iris Hotel")</f>
        <v>Iris Hotel</v>
      </c>
      <c r="I743" s="1"/>
      <c r="J743" s="1" t="str">
        <f ca="1">IFERROR(__xludf.DUMMYFUNCTION("""COMPUTED_VALUE"""),"747d 17h 40m")</f>
        <v>747d 17h 40m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>
      <c r="A744" s="1">
        <f ca="1">IFERROR(__xludf.DUMMYFUNCTION("""COMPUTED_VALUE"""),119)</f>
        <v>119</v>
      </c>
      <c r="B744" s="1" t="str">
        <f ca="1">IFERROR(__xludf.DUMMYFUNCTION("""COMPUTED_VALUE"""),"NE1_KA03C5068_TANKER")</f>
        <v>NE1_KA03C5068_TANKER</v>
      </c>
      <c r="C744" s="1" t="str">
        <f ca="1">IFERROR(__xludf.DUMMYFUNCTION("""COMPUTED_VALUE"""),"ne1_ka03c5068_tanker")</f>
        <v>ne1_ka03c5068_tanker</v>
      </c>
      <c r="D744" s="2">
        <f ca="1">IFERROR(__xludf.DUMMYFUNCTION("""COMPUTED_VALUE"""),44623)</f>
        <v>44623</v>
      </c>
      <c r="E744" s="3">
        <f ca="1">IFERROR(__xludf.DUMMYFUNCTION("""COMPUTED_VALUE"""),0.744409722221462)</f>
        <v>0.74440972222146196</v>
      </c>
      <c r="F744" s="1">
        <f ca="1">IFERROR(__xludf.DUMMYFUNCTION("""COMPUTED_VALUE"""),1056415)</f>
        <v>1056415</v>
      </c>
      <c r="G744" s="1" t="str">
        <f ca="1">IFERROR(__xludf.DUMMYFUNCTION("""COMPUTED_VALUE"""),"12.9705/77.5914")</f>
        <v>12.9705/77.5914</v>
      </c>
      <c r="H744" s="1" t="str">
        <f ca="1">IFERROR(__xludf.DUMMYFUNCTION("""COMPUTED_VALUE"""),"Iris Hotel")</f>
        <v>Iris Hotel</v>
      </c>
      <c r="I744" s="1"/>
      <c r="J744" s="1" t="str">
        <f ca="1">IFERROR(__xludf.DUMMYFUNCTION("""COMPUTED_VALUE"""),"747d 17h 41m")</f>
        <v>747d 17h 41m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>
      <c r="A745" s="1">
        <f ca="1">IFERROR(__xludf.DUMMYFUNCTION("""COMPUTED_VALUE"""),69)</f>
        <v>69</v>
      </c>
      <c r="B745" s="1" t="str">
        <f ca="1">IFERROR(__xludf.DUMMYFUNCTION("""COMPUTED_VALUE"""),"NE1_KA04A6216_Jetting")</f>
        <v>NE1_KA04A6216_Jetting</v>
      </c>
      <c r="C745" s="1" t="str">
        <f ca="1">IFERROR(__xludf.DUMMYFUNCTION("""COMPUTED_VALUE"""),"ne1_ka04a6216_jetting")</f>
        <v>ne1_ka04a6216_jetting</v>
      </c>
      <c r="D745" s="2">
        <f ca="1">IFERROR(__xludf.DUMMYFUNCTION("""COMPUTED_VALUE"""),44687)</f>
        <v>44687</v>
      </c>
      <c r="E745" s="3">
        <f ca="1">IFERROR(__xludf.DUMMYFUNCTION("""COMPUTED_VALUE"""),0.628645833334303)</f>
        <v>0.62864583333430302</v>
      </c>
      <c r="F745" s="1">
        <f ca="1">IFERROR(__xludf.DUMMYFUNCTION("""COMPUTED_VALUE"""),1575129)</f>
        <v>1575129</v>
      </c>
      <c r="G745" s="1" t="str">
        <f ca="1">IFERROR(__xludf.DUMMYFUNCTION("""COMPUTED_VALUE"""),"12.9997/77.5636")</f>
        <v>12.9997/77.5636</v>
      </c>
      <c r="H745" s="1" t="str">
        <f ca="1">IFERROR(__xludf.DUMMYFUNCTION("""COMPUTED_VALUE"""),"Malleswaram")</f>
        <v>Malleswaram</v>
      </c>
      <c r="I745" s="1"/>
      <c r="J745" s="1" t="str">
        <f ca="1">IFERROR(__xludf.DUMMYFUNCTION("""COMPUTED_VALUE"""),"0d 00h 00m")</f>
        <v>0d 00h 00m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>
      <c r="A746" s="1">
        <f ca="1">IFERROR(__xludf.DUMMYFUNCTION("""COMPUTED_VALUE"""),152)</f>
        <v>152</v>
      </c>
      <c r="B746" s="1" t="str">
        <f ca="1">IFERROR(__xludf.DUMMYFUNCTION("""COMPUTED_VALUE"""),"NE1_KA04A6216_Jetting")</f>
        <v>NE1_KA04A6216_Jetting</v>
      </c>
      <c r="C746" s="1" t="str">
        <f ca="1">IFERROR(__xludf.DUMMYFUNCTION("""COMPUTED_VALUE"""),"ne1_ka04a6216_jetting")</f>
        <v>ne1_ka04a6216_jetting</v>
      </c>
      <c r="D746" s="2">
        <f ca="1">IFERROR(__xludf.DUMMYFUNCTION("""COMPUTED_VALUE"""),44738)</f>
        <v>44738</v>
      </c>
      <c r="E746" s="3">
        <f ca="1">IFERROR(__xludf.DUMMYFUNCTION("""COMPUTED_VALUE"""),0.940717592591681)</f>
        <v>0.94071759259168097</v>
      </c>
      <c r="F746" s="1">
        <f ca="1">IFERROR(__xludf.DUMMYFUNCTION("""COMPUTED_VALUE"""),1577742)</f>
        <v>1577742</v>
      </c>
      <c r="G746" s="1" t="str">
        <f ca="1">IFERROR(__xludf.DUMMYFUNCTION("""COMPUTED_VALUE"""),"13.0113/77.5681")</f>
        <v>13.0113/77.5681</v>
      </c>
      <c r="H746" s="1" t="str">
        <f ca="1">IFERROR(__xludf.DUMMYFUNCTION("""COMPUTED_VALUE"""),"Malleshwaram")</f>
        <v>Malleshwaram</v>
      </c>
      <c r="I746" s="1"/>
      <c r="J746" s="1" t="str">
        <f ca="1">IFERROR(__xludf.DUMMYFUNCTION("""COMPUTED_VALUE"""),"0d 00h 00m")</f>
        <v>0d 00h 00m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>
      <c r="A747" s="1">
        <f ca="1">IFERROR(__xludf.DUMMYFUNCTION("""COMPUTED_VALUE"""),155)</f>
        <v>155</v>
      </c>
      <c r="B747" s="1" t="str">
        <f ca="1">IFERROR(__xludf.DUMMYFUNCTION("""COMPUTED_VALUE"""),"NE1_KA04A6216_Jetting")</f>
        <v>NE1_KA04A6216_Jetting</v>
      </c>
      <c r="C747" s="1" t="str">
        <f ca="1">IFERROR(__xludf.DUMMYFUNCTION("""COMPUTED_VALUE"""),"ne1_ka04a6216_jetting")</f>
        <v>ne1_ka04a6216_jetting</v>
      </c>
      <c r="D747" s="2">
        <f ca="1">IFERROR(__xludf.DUMMYFUNCTION("""COMPUTED_VALUE"""),44768)</f>
        <v>44768</v>
      </c>
      <c r="E747" s="3">
        <f ca="1">IFERROR(__xludf.DUMMYFUNCTION("""COMPUTED_VALUE"""),0.921365740741748)</f>
        <v>0.92136574074174804</v>
      </c>
      <c r="F747" s="1">
        <f ca="1">IFERROR(__xludf.DUMMYFUNCTION("""COMPUTED_VALUE"""),1608142)</f>
        <v>1608142</v>
      </c>
      <c r="G747" s="1" t="str">
        <f ca="1">IFERROR(__xludf.DUMMYFUNCTION("""COMPUTED_VALUE"""),"13.0115/77.5678")</f>
        <v>13.0115/77.5678</v>
      </c>
      <c r="H747" s="1" t="str">
        <f ca="1">IFERROR(__xludf.DUMMYFUNCTION("""COMPUTED_VALUE"""),"Malleshwaram")</f>
        <v>Malleshwaram</v>
      </c>
      <c r="I747" s="1"/>
      <c r="J747" s="1" t="str">
        <f ca="1">IFERROR(__xludf.DUMMYFUNCTION("""COMPUTED_VALUE"""),"0d 00h 00m")</f>
        <v>0d 00h 00m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>
      <c r="A748" s="1">
        <f ca="1">IFERROR(__xludf.DUMMYFUNCTION("""COMPUTED_VALUE"""),183)</f>
        <v>183</v>
      </c>
      <c r="B748" s="1" t="str">
        <f ca="1">IFERROR(__xludf.DUMMYFUNCTION("""COMPUTED_VALUE"""),"NE1_KA04A6216_Jetting")</f>
        <v>NE1_KA04A6216_Jetting</v>
      </c>
      <c r="C748" s="1" t="str">
        <f ca="1">IFERROR(__xludf.DUMMYFUNCTION("""COMPUTED_VALUE"""),"ne1_ka04a6216_jetting")</f>
        <v>ne1_ka04a6216_jetting</v>
      </c>
      <c r="D748" s="2">
        <f ca="1">IFERROR(__xludf.DUMMYFUNCTION("""COMPUTED_VALUE"""),44799)</f>
        <v>44799</v>
      </c>
      <c r="E748" s="3">
        <f ca="1">IFERROR(__xludf.DUMMYFUNCTION("""COMPUTED_VALUE"""),0.999050925925985)</f>
        <v>0.99905092592598499</v>
      </c>
      <c r="F748" s="1">
        <f ca="1">IFERROR(__xludf.DUMMYFUNCTION("""COMPUTED_VALUE"""),1608379)</f>
        <v>1608379</v>
      </c>
      <c r="G748" s="1" t="str">
        <f ca="1">IFERROR(__xludf.DUMMYFUNCTION("""COMPUTED_VALUE"""),"13.0103/77.5666")</f>
        <v>13.0103/77.5666</v>
      </c>
      <c r="H748" s="1" t="str">
        <f ca="1">IFERROR(__xludf.DUMMYFUNCTION("""COMPUTED_VALUE"""),"Malleshwaram")</f>
        <v>Malleshwaram</v>
      </c>
      <c r="I748" s="1"/>
      <c r="J748" s="1" t="str">
        <f ca="1">IFERROR(__xludf.DUMMYFUNCTION("""COMPUTED_VALUE"""),"0d 00h 00m")</f>
        <v>0d 00h 00m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>
      <c r="A749" s="1">
        <f ca="1">IFERROR(__xludf.DUMMYFUNCTION("""COMPUTED_VALUE"""),156)</f>
        <v>156</v>
      </c>
      <c r="B749" s="1" t="str">
        <f ca="1">IFERROR(__xludf.DUMMYFUNCTION("""COMPUTED_VALUE"""),"NE1_KA04A6216_Jetting")</f>
        <v>NE1_KA04A6216_Jetting</v>
      </c>
      <c r="C749" s="1" t="str">
        <f ca="1">IFERROR(__xludf.DUMMYFUNCTION("""COMPUTED_VALUE"""),"ne1_ka04a6216_jetting")</f>
        <v>ne1_ka04a6216_jetting</v>
      </c>
      <c r="D749" s="2">
        <f ca="1">IFERROR(__xludf.DUMMYFUNCTION("""COMPUTED_VALUE"""),44830)</f>
        <v>44830</v>
      </c>
      <c r="E749" s="3">
        <f ca="1">IFERROR(__xludf.DUMMYFUNCTION("""COMPUTED_VALUE"""),0.994745370371674)</f>
        <v>0.99474537037167399</v>
      </c>
      <c r="F749" s="1">
        <f ca="1">IFERROR(__xludf.DUMMYFUNCTION("""COMPUTED_VALUE"""),1608717)</f>
        <v>1608717</v>
      </c>
      <c r="G749" s="1" t="str">
        <f ca="1">IFERROR(__xludf.DUMMYFUNCTION("""COMPUTED_VALUE"""),"13.0113/77.5679")</f>
        <v>13.0113/77.5679</v>
      </c>
      <c r="H749" s="1" t="str">
        <f ca="1">IFERROR(__xludf.DUMMYFUNCTION("""COMPUTED_VALUE"""),"Malleshwaram")</f>
        <v>Malleshwaram</v>
      </c>
      <c r="I749" s="1"/>
      <c r="J749" s="1" t="str">
        <f ca="1">IFERROR(__xludf.DUMMYFUNCTION("""COMPUTED_VALUE"""),"0d 00h 00m")</f>
        <v>0d 00h 00m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>
      <c r="A750" s="1">
        <f ca="1">IFERROR(__xludf.DUMMYFUNCTION("""COMPUTED_VALUE"""),152)</f>
        <v>152</v>
      </c>
      <c r="B750" s="1" t="str">
        <f ca="1">IFERROR(__xludf.DUMMYFUNCTION("""COMPUTED_VALUE"""),"NE1_KA04A6216_Jetting")</f>
        <v>NE1_KA04A6216_Jetting</v>
      </c>
      <c r="C750" s="1" t="str">
        <f ca="1">IFERROR(__xludf.DUMMYFUNCTION("""COMPUTED_VALUE"""),"ne1_ka04a6216_jetting")</f>
        <v>ne1_ka04a6216_jetting</v>
      </c>
      <c r="D750" s="2">
        <f ca="1">IFERROR(__xludf.DUMMYFUNCTION("""COMPUTED_VALUE"""),44860)</f>
        <v>44860</v>
      </c>
      <c r="E750" s="3">
        <f ca="1">IFERROR(__xludf.DUMMYFUNCTION("""COMPUTED_VALUE"""),0.998518518517812)</f>
        <v>0.99851851851781204</v>
      </c>
      <c r="F750" s="1">
        <f ca="1">IFERROR(__xludf.DUMMYFUNCTION("""COMPUTED_VALUE"""),1609029)</f>
        <v>1609029</v>
      </c>
      <c r="G750" s="1" t="str">
        <f ca="1">IFERROR(__xludf.DUMMYFUNCTION("""COMPUTED_VALUE"""),"13.0108/77.5673")</f>
        <v>13.0108/77.5673</v>
      </c>
      <c r="H750" s="1" t="str">
        <f ca="1">IFERROR(__xludf.DUMMYFUNCTION("""COMPUTED_VALUE"""),"Malleshwaram")</f>
        <v>Malleshwaram</v>
      </c>
      <c r="I750" s="1"/>
      <c r="J750" s="1" t="str">
        <f ca="1">IFERROR(__xludf.DUMMYFUNCTION("""COMPUTED_VALUE"""),"0d 00h 00m")</f>
        <v>0d 00h 00m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>
      <c r="A751" s="1">
        <f ca="1">IFERROR(__xludf.DUMMYFUNCTION("""COMPUTED_VALUE"""),145)</f>
        <v>145</v>
      </c>
      <c r="B751" s="1" t="str">
        <f ca="1">IFERROR(__xludf.DUMMYFUNCTION("""COMPUTED_VALUE"""),"NE1_KA04A6216_JETTING")</f>
        <v>NE1_KA04A6216_JETTING</v>
      </c>
      <c r="C751" s="1" t="str">
        <f ca="1">IFERROR(__xludf.DUMMYFUNCTION("""COMPUTED_VALUE"""),"ne1_ka04a6216_jetting")</f>
        <v>ne1_ka04a6216_jetting</v>
      </c>
      <c r="D751" s="2">
        <f ca="1">IFERROR(__xludf.DUMMYFUNCTION("""COMPUTED_VALUE"""),44769)</f>
        <v>44769</v>
      </c>
      <c r="E751" s="3">
        <f ca="1">IFERROR(__xludf.DUMMYFUNCTION("""COMPUTED_VALUE"""),0.830324074075178)</f>
        <v>0.83032407407517805</v>
      </c>
      <c r="F751" s="1">
        <f ca="1">IFERROR(__xludf.DUMMYFUNCTION("""COMPUTED_VALUE"""),1608152)</f>
        <v>1608152</v>
      </c>
      <c r="G751" s="1" t="str">
        <f ca="1">IFERROR(__xludf.DUMMYFUNCTION("""COMPUTED_VALUE"""),"13.0113/77.5678")</f>
        <v>13.0113/77.5678</v>
      </c>
      <c r="H751" s="1" t="str">
        <f ca="1">IFERROR(__xludf.DUMMYFUNCTION("""COMPUTED_VALUE"""),"Malleshwaram")</f>
        <v>Malleshwaram</v>
      </c>
      <c r="I751" s="1"/>
      <c r="J751" s="1" t="str">
        <f ca="1">IFERROR(__xludf.DUMMYFUNCTION("""COMPUTED_VALUE"""),"1d 14h 35m")</f>
        <v>1d 14h 35m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>
      <c r="A752" s="1">
        <f ca="1">IFERROR(__xludf.DUMMYFUNCTION("""COMPUTED_VALUE"""),143)</f>
        <v>143</v>
      </c>
      <c r="B752" s="1" t="str">
        <f ca="1">IFERROR(__xludf.DUMMYFUNCTION("""COMPUTED_VALUE"""),"NE1_KA04A6216_JETTING")</f>
        <v>NE1_KA04A6216_JETTING</v>
      </c>
      <c r="C752" s="1" t="str">
        <f ca="1">IFERROR(__xludf.DUMMYFUNCTION("""COMPUTED_VALUE"""),"ne1_ka04a6216_jetting")</f>
        <v>ne1_ka04a6216_jetting</v>
      </c>
      <c r="D752" s="2">
        <f ca="1">IFERROR(__xludf.DUMMYFUNCTION("""COMPUTED_VALUE"""),44860)</f>
        <v>44860</v>
      </c>
      <c r="E752" s="3">
        <f ca="1">IFERROR(__xludf.DUMMYFUNCTION("""COMPUTED_VALUE"""),0.998518518517812)</f>
        <v>0.99851851851781204</v>
      </c>
      <c r="F752" s="1">
        <f ca="1">IFERROR(__xludf.DUMMYFUNCTION("""COMPUTED_VALUE"""),1609029)</f>
        <v>1609029</v>
      </c>
      <c r="G752" s="1" t="str">
        <f ca="1">IFERROR(__xludf.DUMMYFUNCTION("""COMPUTED_VALUE"""),"13.0108/77.5673")</f>
        <v>13.0108/77.5673</v>
      </c>
      <c r="H752" s="1" t="str">
        <f ca="1">IFERROR(__xludf.DUMMYFUNCTION("""COMPUTED_VALUE"""),"Malleshwaram")</f>
        <v>Malleshwaram</v>
      </c>
      <c r="I752" s="1"/>
      <c r="J752" s="1" t="str">
        <f ca="1">IFERROR(__xludf.DUMMYFUNCTION("""COMPUTED_VALUE"""),"1d 14h 36m")</f>
        <v>1d 14h 36m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>
      <c r="A753" s="1">
        <f ca="1">IFERROR(__xludf.DUMMYFUNCTION("""COMPUTED_VALUE"""),141)</f>
        <v>141</v>
      </c>
      <c r="B753" s="1" t="str">
        <f ca="1">IFERROR(__xludf.DUMMYFUNCTION("""COMPUTED_VALUE"""),"NE1_KA04A6216_JETTING")</f>
        <v>NE1_KA04A6216_JETTING</v>
      </c>
      <c r="C753" s="1" t="str">
        <f ca="1">IFERROR(__xludf.DUMMYFUNCTION("""COMPUTED_VALUE"""),"ne1_ka04a6216_jetting")</f>
        <v>ne1_ka04a6216_jetting</v>
      </c>
      <c r="D753" s="2">
        <f ca="1">IFERROR(__xludf.DUMMYFUNCTION("""COMPUTED_VALUE"""),44952)</f>
        <v>44952</v>
      </c>
      <c r="E753" s="3">
        <f ca="1">IFERROR(__xludf.DUMMYFUNCTION("""COMPUTED_VALUE"""),0.580057870371092)</f>
        <v>0.58005787037109202</v>
      </c>
      <c r="F753" s="1">
        <f ca="1">IFERROR(__xludf.DUMMYFUNCTION("""COMPUTED_VALUE"""),1609344)</f>
        <v>1609344</v>
      </c>
      <c r="G753" s="1" t="str">
        <f ca="1">IFERROR(__xludf.DUMMYFUNCTION("""COMPUTED_VALUE"""),"13.0113/77.5677")</f>
        <v>13.0113/77.5677</v>
      </c>
      <c r="H753" s="1" t="str">
        <f ca="1">IFERROR(__xludf.DUMMYFUNCTION("""COMPUTED_VALUE"""),"Malleshwaram")</f>
        <v>Malleshwaram</v>
      </c>
      <c r="I753" s="1"/>
      <c r="J753" s="1" t="str">
        <f ca="1">IFERROR(__xludf.DUMMYFUNCTION("""COMPUTED_VALUE"""),"1d 14h 39m")</f>
        <v>1d 14h 39m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>
      <c r="A754" s="1">
        <f ca="1">IFERROR(__xludf.DUMMYFUNCTION("""COMPUTED_VALUE"""),150)</f>
        <v>150</v>
      </c>
      <c r="B754" s="1" t="str">
        <f ca="1">IFERROR(__xludf.DUMMYFUNCTION("""COMPUTED_VALUE"""),"NE1_KA04A6216_JETTING")</f>
        <v>NE1_KA04A6216_JETTING</v>
      </c>
      <c r="C754" s="1" t="str">
        <f ca="1">IFERROR(__xludf.DUMMYFUNCTION("""COMPUTED_VALUE"""),"ne1_ka04a6216_jetting")</f>
        <v>ne1_ka04a6216_jetting</v>
      </c>
      <c r="D754" s="2">
        <f ca="1">IFERROR(__xludf.DUMMYFUNCTION("""COMPUTED_VALUE"""),45042)</f>
        <v>45042</v>
      </c>
      <c r="E754" s="3">
        <f ca="1">IFERROR(__xludf.DUMMYFUNCTION("""COMPUTED_VALUE"""),0.88431712962847)</f>
        <v>0.88431712962846998</v>
      </c>
      <c r="F754" s="1">
        <f ca="1">IFERROR(__xludf.DUMMYFUNCTION("""COMPUTED_VALUE"""),1238376)</f>
        <v>1238376</v>
      </c>
      <c r="G754" s="1" t="str">
        <f ca="1">IFERROR(__xludf.DUMMYFUNCTION("""COMPUTED_VALUE"""),"13.0105/77.5668")</f>
        <v>13.0105/77.5668</v>
      </c>
      <c r="H754" s="1" t="str">
        <f ca="1">IFERROR(__xludf.DUMMYFUNCTION("""COMPUTED_VALUE"""),"Malleshwaram")</f>
        <v>Malleshwaram</v>
      </c>
      <c r="I754" s="1"/>
      <c r="J754" s="1" t="str">
        <f ca="1">IFERROR(__xludf.DUMMYFUNCTION("""COMPUTED_VALUE"""),"1d 14h 40m")</f>
        <v>1d 14h 40m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>
      <c r="A755" s="1">
        <f ca="1">IFERROR(__xludf.DUMMYFUNCTION("""COMPUTED_VALUE"""),147)</f>
        <v>147</v>
      </c>
      <c r="B755" s="1" t="str">
        <f ca="1">IFERROR(__xludf.DUMMYFUNCTION("""COMPUTED_VALUE"""),"NE1_KA04A6216_JETTING")</f>
        <v>NE1_KA04A6216_JETTING</v>
      </c>
      <c r="C755" s="1" t="str">
        <f ca="1">IFERROR(__xludf.DUMMYFUNCTION("""COMPUTED_VALUE"""),"ne1_ka04a6216_jetting")</f>
        <v>ne1_ka04a6216_jetting</v>
      </c>
      <c r="D755" s="2">
        <f ca="1">IFERROR(__xludf.DUMMYFUNCTION("""COMPUTED_VALUE"""),45134)</f>
        <v>45134</v>
      </c>
      <c r="E755" s="3">
        <f ca="1">IFERROR(__xludf.DUMMYFUNCTION("""COMPUTED_VALUE"""),0.5320601851854)</f>
        <v>0.53206018518539999</v>
      </c>
      <c r="F755" s="1">
        <f ca="1">IFERROR(__xludf.DUMMYFUNCTION("""COMPUTED_VALUE"""),1317029)</f>
        <v>1317029</v>
      </c>
      <c r="G755" s="1" t="str">
        <f ca="1">IFERROR(__xludf.DUMMYFUNCTION("""COMPUTED_VALUE"""),"13.0111/77.5674")</f>
        <v>13.0111/77.5674</v>
      </c>
      <c r="H755" s="1" t="str">
        <f ca="1">IFERROR(__xludf.DUMMYFUNCTION("""COMPUTED_VALUE"""),"Malleshwaram")</f>
        <v>Malleshwaram</v>
      </c>
      <c r="I755" s="1"/>
      <c r="J755" s="1" t="str">
        <f ca="1">IFERROR(__xludf.DUMMYFUNCTION("""COMPUTED_VALUE"""),"1d 14h 41m")</f>
        <v>1d 14h 41m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>
      <c r="A756" s="1">
        <f ca="1">IFERROR(__xludf.DUMMYFUNCTION("""COMPUTED_VALUE"""),152)</f>
        <v>152</v>
      </c>
      <c r="B756" s="1" t="str">
        <f ca="1">IFERROR(__xludf.DUMMYFUNCTION("""COMPUTED_VALUE"""),"NE1_KA04A6216_JETTING")</f>
        <v>NE1_KA04A6216_JETTING</v>
      </c>
      <c r="C756" s="1" t="str">
        <f ca="1">IFERROR(__xludf.DUMMYFUNCTION("""COMPUTED_VALUE"""),"ne1_ka04a6216_jetting")</f>
        <v>ne1_ka04a6216_jetting</v>
      </c>
      <c r="D756" s="2">
        <f ca="1">IFERROR(__xludf.DUMMYFUNCTION("""COMPUTED_VALUE"""),45226)</f>
        <v>45226</v>
      </c>
      <c r="E756" s="3">
        <f ca="1">IFERROR(__xludf.DUMMYFUNCTION("""COMPUTED_VALUE"""),0.660185185184673)</f>
        <v>0.66018518518467295</v>
      </c>
      <c r="F756" s="1">
        <f ca="1">IFERROR(__xludf.DUMMYFUNCTION("""COMPUTED_VALUE"""),1351210)</f>
        <v>1351210</v>
      </c>
      <c r="G756" s="1" t="str">
        <f ca="1">IFERROR(__xludf.DUMMYFUNCTION("""COMPUTED_VALUE"""),"13.0111/77.5678")</f>
        <v>13.0111/77.5678</v>
      </c>
      <c r="H756" s="1" t="str">
        <f ca="1">IFERROR(__xludf.DUMMYFUNCTION("""COMPUTED_VALUE"""),"Malleshwaram")</f>
        <v>Malleshwaram</v>
      </c>
      <c r="I756" s="1"/>
      <c r="J756" s="1" t="str">
        <f ca="1">IFERROR(__xludf.DUMMYFUNCTION("""COMPUTED_VALUE"""),"1d 14h 42m")</f>
        <v>1d 14h 42m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>
      <c r="A757" s="1">
        <f ca="1">IFERROR(__xludf.DUMMYFUNCTION("""COMPUTED_VALUE"""),158)</f>
        <v>158</v>
      </c>
      <c r="B757" s="1" t="str">
        <f ca="1">IFERROR(__xludf.DUMMYFUNCTION("""COMPUTED_VALUE"""),"NE1_KA04A6216_JETTING")</f>
        <v>NE1_KA04A6216_JETTING</v>
      </c>
      <c r="C757" s="1" t="str">
        <f ca="1">IFERROR(__xludf.DUMMYFUNCTION("""COMPUTED_VALUE"""),"ne1_ka04a6216_jetting")</f>
        <v>ne1_ka04a6216_jetting</v>
      </c>
      <c r="D757" s="2">
        <f ca="1">IFERROR(__xludf.DUMMYFUNCTION("""COMPUTED_VALUE"""),45315)</f>
        <v>45315</v>
      </c>
      <c r="E757" s="3">
        <f ca="1">IFERROR(__xludf.DUMMYFUNCTION("""COMPUTED_VALUE"""),0.655150462964229)</f>
        <v>0.65515046296422896</v>
      </c>
      <c r="F757" s="1">
        <f ca="1">IFERROR(__xludf.DUMMYFUNCTION("""COMPUTED_VALUE"""),1408744)</f>
        <v>1408744</v>
      </c>
      <c r="G757" s="1" t="str">
        <f ca="1">IFERROR(__xludf.DUMMYFUNCTION("""COMPUTED_VALUE"""),"13.0109/77.5673")</f>
        <v>13.0109/77.5673</v>
      </c>
      <c r="H757" s="1" t="str">
        <f ca="1">IFERROR(__xludf.DUMMYFUNCTION("""COMPUTED_VALUE"""),"Malleshwaram")</f>
        <v>Malleshwaram</v>
      </c>
      <c r="I757" s="1"/>
      <c r="J757" s="1" t="str">
        <f ca="1">IFERROR(__xludf.DUMMYFUNCTION("""COMPUTED_VALUE"""),"1d 14h 43m")</f>
        <v>1d 14h 43m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>
      <c r="A758" s="1">
        <f ca="1">IFERROR(__xludf.DUMMYFUNCTION("""COMPUTED_VALUE"""),28)</f>
        <v>28</v>
      </c>
      <c r="B758" s="1" t="str">
        <f ca="1">IFERROR(__xludf.DUMMYFUNCTION("""COMPUTED_VALUE"""),"NE1_KA04A9515_Jetting")</f>
        <v>NE1_KA04A9515_Jetting</v>
      </c>
      <c r="C758" s="1" t="str">
        <f ca="1">IFERROR(__xludf.DUMMYFUNCTION("""COMPUTED_VALUE"""),"ne1_ka04a9515_jetting")</f>
        <v>ne1_ka04a9515_jetting</v>
      </c>
      <c r="D758" s="2">
        <f ca="1">IFERROR(__xludf.DUMMYFUNCTION("""COMPUTED_VALUE"""),44111)</f>
        <v>44111</v>
      </c>
      <c r="E758" s="3">
        <f ca="1">IFERROR(__xludf.DUMMYFUNCTION("""COMPUTED_VALUE"""),0.481956018516939)</f>
        <v>0.48195601851693898</v>
      </c>
      <c r="F758" s="1">
        <f ca="1">IFERROR(__xludf.DUMMYFUNCTION("""COMPUTED_VALUE"""),4283)</f>
        <v>4283</v>
      </c>
      <c r="G758" s="1" t="str">
        <f ca="1">IFERROR(__xludf.DUMMYFUNCTION("""COMPUTED_VALUE"""),"13.0119/77.5677")</f>
        <v>13.0119/77.5677</v>
      </c>
      <c r="H758" s="1" t="str">
        <f ca="1">IFERROR(__xludf.DUMMYFUNCTION("""COMPUTED_VALUE"""),"Malleshwaram")</f>
        <v>Malleshwaram</v>
      </c>
      <c r="I758" s="1"/>
      <c r="J758" s="1" t="str">
        <f ca="1">IFERROR(__xludf.DUMMYFUNCTION("""COMPUTED_VALUE"""),"47d 17h 08m")</f>
        <v>47d 17h 08m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>
      <c r="A759" s="1">
        <f ca="1">IFERROR(__xludf.DUMMYFUNCTION("""COMPUTED_VALUE"""),27)</f>
        <v>27</v>
      </c>
      <c r="B759" s="1" t="str">
        <f ca="1">IFERROR(__xludf.DUMMYFUNCTION("""COMPUTED_VALUE"""),"NE1_KA04A9515_Jetting")</f>
        <v>NE1_KA04A9515_Jetting</v>
      </c>
      <c r="C759" s="1" t="str">
        <f ca="1">IFERROR(__xludf.DUMMYFUNCTION("""COMPUTED_VALUE"""),"ne1_ka04a9515_jetting")</f>
        <v>ne1_ka04a9515_jetting</v>
      </c>
      <c r="D759" s="2">
        <f ca="1">IFERROR(__xludf.DUMMYFUNCTION("""COMPUTED_VALUE"""),44111)</f>
        <v>44111</v>
      </c>
      <c r="E759" s="3">
        <f ca="1">IFERROR(__xludf.DUMMYFUNCTION("""COMPUTED_VALUE"""),0.481956018516939)</f>
        <v>0.48195601851693898</v>
      </c>
      <c r="F759" s="1">
        <f ca="1">IFERROR(__xludf.DUMMYFUNCTION("""COMPUTED_VALUE"""),4283)</f>
        <v>4283</v>
      </c>
      <c r="G759" s="1" t="str">
        <f ca="1">IFERROR(__xludf.DUMMYFUNCTION("""COMPUTED_VALUE"""),"13.0119/77.5677")</f>
        <v>13.0119/77.5677</v>
      </c>
      <c r="H759" s="1" t="str">
        <f ca="1">IFERROR(__xludf.DUMMYFUNCTION("""COMPUTED_VALUE"""),"Malleshwaram")</f>
        <v>Malleshwaram</v>
      </c>
      <c r="I759" s="1"/>
      <c r="J759" s="1" t="str">
        <f ca="1">IFERROR(__xludf.DUMMYFUNCTION("""COMPUTED_VALUE"""),"47d 17h 09m")</f>
        <v>47d 17h 09m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>
      <c r="A760" s="1">
        <f ca="1">IFERROR(__xludf.DUMMYFUNCTION("""COMPUTED_VALUE"""),27)</f>
        <v>27</v>
      </c>
      <c r="B760" s="1" t="str">
        <f ca="1">IFERROR(__xludf.DUMMYFUNCTION("""COMPUTED_VALUE"""),"NE1_KA04A9515_Jetting")</f>
        <v>NE1_KA04A9515_Jetting</v>
      </c>
      <c r="C760" s="1" t="str">
        <f ca="1">IFERROR(__xludf.DUMMYFUNCTION("""COMPUTED_VALUE"""),"ne1_ka04a9515_jetting")</f>
        <v>ne1_ka04a9515_jetting</v>
      </c>
      <c r="D760" s="2">
        <f ca="1">IFERROR(__xludf.DUMMYFUNCTION("""COMPUTED_VALUE"""),44111)</f>
        <v>44111</v>
      </c>
      <c r="E760" s="3">
        <f ca="1">IFERROR(__xludf.DUMMYFUNCTION("""COMPUTED_VALUE"""),0.481956018516939)</f>
        <v>0.48195601851693898</v>
      </c>
      <c r="F760" s="1">
        <f ca="1">IFERROR(__xludf.DUMMYFUNCTION("""COMPUTED_VALUE"""),4283)</f>
        <v>4283</v>
      </c>
      <c r="G760" s="1" t="str">
        <f ca="1">IFERROR(__xludf.DUMMYFUNCTION("""COMPUTED_VALUE"""),"13.0119/77.5677")</f>
        <v>13.0119/77.5677</v>
      </c>
      <c r="H760" s="1" t="str">
        <f ca="1">IFERROR(__xludf.DUMMYFUNCTION("""COMPUTED_VALUE"""),"Malleshwaram")</f>
        <v>Malleshwaram</v>
      </c>
      <c r="I760" s="1"/>
      <c r="J760" s="1" t="str">
        <f ca="1">IFERROR(__xludf.DUMMYFUNCTION("""COMPUTED_VALUE"""),"47d 17h 10m")</f>
        <v>47d 17h 10m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>
      <c r="A761" s="1">
        <f ca="1">IFERROR(__xludf.DUMMYFUNCTION("""COMPUTED_VALUE"""),27)</f>
        <v>27</v>
      </c>
      <c r="B761" s="1" t="str">
        <f ca="1">IFERROR(__xludf.DUMMYFUNCTION("""COMPUTED_VALUE"""),"NE1_KA04A9515_Jetting")</f>
        <v>NE1_KA04A9515_Jetting</v>
      </c>
      <c r="C761" s="1" t="str">
        <f ca="1">IFERROR(__xludf.DUMMYFUNCTION("""COMPUTED_VALUE"""),"ne1_ka04a9515_jetting")</f>
        <v>ne1_ka04a9515_jetting</v>
      </c>
      <c r="D761" s="2">
        <f ca="1">IFERROR(__xludf.DUMMYFUNCTION("""COMPUTED_VALUE"""),44111)</f>
        <v>44111</v>
      </c>
      <c r="E761" s="3">
        <f ca="1">IFERROR(__xludf.DUMMYFUNCTION("""COMPUTED_VALUE"""),0.481956018516939)</f>
        <v>0.48195601851693898</v>
      </c>
      <c r="F761" s="1">
        <f ca="1">IFERROR(__xludf.DUMMYFUNCTION("""COMPUTED_VALUE"""),4283)</f>
        <v>4283</v>
      </c>
      <c r="G761" s="1" t="str">
        <f ca="1">IFERROR(__xludf.DUMMYFUNCTION("""COMPUTED_VALUE"""),"13.0119/77.5677")</f>
        <v>13.0119/77.5677</v>
      </c>
      <c r="H761" s="1" t="str">
        <f ca="1">IFERROR(__xludf.DUMMYFUNCTION("""COMPUTED_VALUE"""),"Malleshwaram")</f>
        <v>Malleshwaram</v>
      </c>
      <c r="I761" s="1"/>
      <c r="J761" s="1" t="str">
        <f ca="1">IFERROR(__xludf.DUMMYFUNCTION("""COMPUTED_VALUE"""),"47d 17h 10m")</f>
        <v>47d 17h 10m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>
      <c r="A762" s="1">
        <f ca="1">IFERROR(__xludf.DUMMYFUNCTION("""COMPUTED_VALUE"""),27)</f>
        <v>27</v>
      </c>
      <c r="B762" s="1" t="str">
        <f ca="1">IFERROR(__xludf.DUMMYFUNCTION("""COMPUTED_VALUE"""),"NE1_KA04A9515_Jetting")</f>
        <v>NE1_KA04A9515_Jetting</v>
      </c>
      <c r="C762" s="1" t="str">
        <f ca="1">IFERROR(__xludf.DUMMYFUNCTION("""COMPUTED_VALUE"""),"ne1_ka04a9515_jetting")</f>
        <v>ne1_ka04a9515_jetting</v>
      </c>
      <c r="D762" s="2">
        <f ca="1">IFERROR(__xludf.DUMMYFUNCTION("""COMPUTED_VALUE"""),44111)</f>
        <v>44111</v>
      </c>
      <c r="E762" s="3">
        <f ca="1">IFERROR(__xludf.DUMMYFUNCTION("""COMPUTED_VALUE"""),0.481956018516939)</f>
        <v>0.48195601851693898</v>
      </c>
      <c r="F762" s="1">
        <f ca="1">IFERROR(__xludf.DUMMYFUNCTION("""COMPUTED_VALUE"""),4283)</f>
        <v>4283</v>
      </c>
      <c r="G762" s="1" t="str">
        <f ca="1">IFERROR(__xludf.DUMMYFUNCTION("""COMPUTED_VALUE"""),"13.0119/77.5677")</f>
        <v>13.0119/77.5677</v>
      </c>
      <c r="H762" s="1" t="str">
        <f ca="1">IFERROR(__xludf.DUMMYFUNCTION("""COMPUTED_VALUE"""),"Malleshwaram")</f>
        <v>Malleshwaram</v>
      </c>
      <c r="I762" s="1"/>
      <c r="J762" s="1" t="str">
        <f ca="1">IFERROR(__xludf.DUMMYFUNCTION("""COMPUTED_VALUE"""),"47d 17h 11m")</f>
        <v>47d 17h 11m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>
      <c r="A763" s="1">
        <f ca="1">IFERROR(__xludf.DUMMYFUNCTION("""COMPUTED_VALUE"""),27)</f>
        <v>27</v>
      </c>
      <c r="B763" s="1" t="str">
        <f ca="1">IFERROR(__xludf.DUMMYFUNCTION("""COMPUTED_VALUE"""),"NE1_KA04A9515_Jetting")</f>
        <v>NE1_KA04A9515_Jetting</v>
      </c>
      <c r="C763" s="1" t="str">
        <f ca="1">IFERROR(__xludf.DUMMYFUNCTION("""COMPUTED_VALUE"""),"ne1_ka04a9515_jetting")</f>
        <v>ne1_ka04a9515_jetting</v>
      </c>
      <c r="D763" s="2">
        <f ca="1">IFERROR(__xludf.DUMMYFUNCTION("""COMPUTED_VALUE"""),44111)</f>
        <v>44111</v>
      </c>
      <c r="E763" s="3">
        <f ca="1">IFERROR(__xludf.DUMMYFUNCTION("""COMPUTED_VALUE"""),0.481956018516939)</f>
        <v>0.48195601851693898</v>
      </c>
      <c r="F763" s="1">
        <f ca="1">IFERROR(__xludf.DUMMYFUNCTION("""COMPUTED_VALUE"""),4283)</f>
        <v>4283</v>
      </c>
      <c r="G763" s="1" t="str">
        <f ca="1">IFERROR(__xludf.DUMMYFUNCTION("""COMPUTED_VALUE"""),"13.0119/77.5677")</f>
        <v>13.0119/77.5677</v>
      </c>
      <c r="H763" s="1" t="str">
        <f ca="1">IFERROR(__xludf.DUMMYFUNCTION("""COMPUTED_VALUE"""),"Malleshwaram")</f>
        <v>Malleshwaram</v>
      </c>
      <c r="I763" s="1"/>
      <c r="J763" s="1" t="str">
        <f ca="1">IFERROR(__xludf.DUMMYFUNCTION("""COMPUTED_VALUE"""),"47d 17h 12m")</f>
        <v>47d 17h 12m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>
      <c r="A764" s="1">
        <f ca="1">IFERROR(__xludf.DUMMYFUNCTION("""COMPUTED_VALUE"""),120)</f>
        <v>120</v>
      </c>
      <c r="B764" s="1" t="str">
        <f ca="1">IFERROR(__xludf.DUMMYFUNCTION("""COMPUTED_VALUE"""),"NE1_KA04A9515_JETTING")</f>
        <v>NE1_KA04A9515_JETTING</v>
      </c>
      <c r="C764" s="1" t="str">
        <f ca="1">IFERROR(__xludf.DUMMYFUNCTION("""COMPUTED_VALUE"""),"ne1_ka04a9515_jetting")</f>
        <v>ne1_ka04a9515_jetting</v>
      </c>
      <c r="D764" s="2">
        <f ca="1">IFERROR(__xludf.DUMMYFUNCTION("""COMPUTED_VALUE"""),44111)</f>
        <v>44111</v>
      </c>
      <c r="E764" s="3">
        <f ca="1">IFERROR(__xludf.DUMMYFUNCTION("""COMPUTED_VALUE"""),0.481956018516939)</f>
        <v>0.48195601851693898</v>
      </c>
      <c r="F764" s="1">
        <f ca="1">IFERROR(__xludf.DUMMYFUNCTION("""COMPUTED_VALUE"""),4283)</f>
        <v>4283</v>
      </c>
      <c r="G764" s="1" t="str">
        <f ca="1">IFERROR(__xludf.DUMMYFUNCTION("""COMPUTED_VALUE"""),"13.0119/77.5677")</f>
        <v>13.0119/77.5677</v>
      </c>
      <c r="H764" s="1" t="str">
        <f ca="1">IFERROR(__xludf.DUMMYFUNCTION("""COMPUTED_VALUE"""),"Malleshwaram")</f>
        <v>Malleshwaram</v>
      </c>
      <c r="I764" s="1"/>
      <c r="J764" s="1" t="str">
        <f ca="1">IFERROR(__xludf.DUMMYFUNCTION("""COMPUTED_VALUE"""),"501d 18h 01m")</f>
        <v>501d 18h 01m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>
      <c r="A765" s="1">
        <f ca="1">IFERROR(__xludf.DUMMYFUNCTION("""COMPUTED_VALUE"""),120)</f>
        <v>120</v>
      </c>
      <c r="B765" s="1" t="str">
        <f ca="1">IFERROR(__xludf.DUMMYFUNCTION("""COMPUTED_VALUE"""),"NE1_KA04A9515_JETTING")</f>
        <v>NE1_KA04A9515_JETTING</v>
      </c>
      <c r="C765" s="1" t="str">
        <f ca="1">IFERROR(__xludf.DUMMYFUNCTION("""COMPUTED_VALUE"""),"ne1_ka04a9515_jetting")</f>
        <v>ne1_ka04a9515_jetting</v>
      </c>
      <c r="D765" s="2">
        <f ca="1">IFERROR(__xludf.DUMMYFUNCTION("""COMPUTED_VALUE"""),44111)</f>
        <v>44111</v>
      </c>
      <c r="E765" s="3">
        <f ca="1">IFERROR(__xludf.DUMMYFUNCTION("""COMPUTED_VALUE"""),0.481956018516939)</f>
        <v>0.48195601851693898</v>
      </c>
      <c r="F765" s="1">
        <f ca="1">IFERROR(__xludf.DUMMYFUNCTION("""COMPUTED_VALUE"""),4283)</f>
        <v>4283</v>
      </c>
      <c r="G765" s="1" t="str">
        <f ca="1">IFERROR(__xludf.DUMMYFUNCTION("""COMPUTED_VALUE"""),"13.0119/77.5677")</f>
        <v>13.0119/77.5677</v>
      </c>
      <c r="H765" s="1" t="str">
        <f ca="1">IFERROR(__xludf.DUMMYFUNCTION("""COMPUTED_VALUE"""),"Malleshwaram")</f>
        <v>Malleshwaram</v>
      </c>
      <c r="I765" s="1"/>
      <c r="J765" s="1" t="str">
        <f ca="1">IFERROR(__xludf.DUMMYFUNCTION("""COMPUTED_VALUE"""),"501d 18h 02m")</f>
        <v>501d 18h 02m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>
      <c r="A766" s="1">
        <f ca="1">IFERROR(__xludf.DUMMYFUNCTION("""COMPUTED_VALUE"""),117)</f>
        <v>117</v>
      </c>
      <c r="B766" s="1" t="str">
        <f ca="1">IFERROR(__xludf.DUMMYFUNCTION("""COMPUTED_VALUE"""),"NE1_KA04A9515_JETTING")</f>
        <v>NE1_KA04A9515_JETTING</v>
      </c>
      <c r="C766" s="1" t="str">
        <f ca="1">IFERROR(__xludf.DUMMYFUNCTION("""COMPUTED_VALUE"""),"ne1_ka04a9515_jetting")</f>
        <v>ne1_ka04a9515_jetting</v>
      </c>
      <c r="D766" s="2">
        <f ca="1">IFERROR(__xludf.DUMMYFUNCTION("""COMPUTED_VALUE"""),44111)</f>
        <v>44111</v>
      </c>
      <c r="E766" s="3">
        <f ca="1">IFERROR(__xludf.DUMMYFUNCTION("""COMPUTED_VALUE"""),0.481956018516939)</f>
        <v>0.48195601851693898</v>
      </c>
      <c r="F766" s="1">
        <f ca="1">IFERROR(__xludf.DUMMYFUNCTION("""COMPUTED_VALUE"""),4283)</f>
        <v>4283</v>
      </c>
      <c r="G766" s="1" t="str">
        <f ca="1">IFERROR(__xludf.DUMMYFUNCTION("""COMPUTED_VALUE"""),"13.0119/77.5677")</f>
        <v>13.0119/77.5677</v>
      </c>
      <c r="H766" s="1" t="str">
        <f ca="1">IFERROR(__xludf.DUMMYFUNCTION("""COMPUTED_VALUE"""),"Malleshwaram")</f>
        <v>Malleshwaram</v>
      </c>
      <c r="I766" s="1"/>
      <c r="J766" s="1" t="str">
        <f ca="1">IFERROR(__xludf.DUMMYFUNCTION("""COMPUTED_VALUE"""),"501d 18h 05m")</f>
        <v>501d 18h 05m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>
      <c r="A767" s="1">
        <f ca="1">IFERROR(__xludf.DUMMYFUNCTION("""COMPUTED_VALUE"""),117)</f>
        <v>117</v>
      </c>
      <c r="B767" s="1" t="str">
        <f ca="1">IFERROR(__xludf.DUMMYFUNCTION("""COMPUTED_VALUE"""),"NE1_KA04A9515_JETTING")</f>
        <v>NE1_KA04A9515_JETTING</v>
      </c>
      <c r="C767" s="1" t="str">
        <f ca="1">IFERROR(__xludf.DUMMYFUNCTION("""COMPUTED_VALUE"""),"ne1_ka04a9515_jetting")</f>
        <v>ne1_ka04a9515_jetting</v>
      </c>
      <c r="D767" s="2">
        <f ca="1">IFERROR(__xludf.DUMMYFUNCTION("""COMPUTED_VALUE"""),44111)</f>
        <v>44111</v>
      </c>
      <c r="E767" s="3">
        <f ca="1">IFERROR(__xludf.DUMMYFUNCTION("""COMPUTED_VALUE"""),0.481956018516939)</f>
        <v>0.48195601851693898</v>
      </c>
      <c r="F767" s="1">
        <f ca="1">IFERROR(__xludf.DUMMYFUNCTION("""COMPUTED_VALUE"""),4283)</f>
        <v>4283</v>
      </c>
      <c r="G767" s="1" t="str">
        <f ca="1">IFERROR(__xludf.DUMMYFUNCTION("""COMPUTED_VALUE"""),"13.0119/77.5677")</f>
        <v>13.0119/77.5677</v>
      </c>
      <c r="H767" s="1" t="str">
        <f ca="1">IFERROR(__xludf.DUMMYFUNCTION("""COMPUTED_VALUE"""),"Malleshwaram")</f>
        <v>Malleshwaram</v>
      </c>
      <c r="I767" s="1"/>
      <c r="J767" s="1" t="str">
        <f ca="1">IFERROR(__xludf.DUMMYFUNCTION("""COMPUTED_VALUE"""),"501d 18h 06m")</f>
        <v>501d 18h 06m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>
      <c r="A768" s="1">
        <f ca="1">IFERROR(__xludf.DUMMYFUNCTION("""COMPUTED_VALUE"""),117)</f>
        <v>117</v>
      </c>
      <c r="B768" s="1" t="str">
        <f ca="1">IFERROR(__xludf.DUMMYFUNCTION("""COMPUTED_VALUE"""),"NE1_KA04A9515_JETTING")</f>
        <v>NE1_KA04A9515_JETTING</v>
      </c>
      <c r="C768" s="1" t="str">
        <f ca="1">IFERROR(__xludf.DUMMYFUNCTION("""COMPUTED_VALUE"""),"ne1_ka04a9515_jetting")</f>
        <v>ne1_ka04a9515_jetting</v>
      </c>
      <c r="D768" s="2">
        <f ca="1">IFERROR(__xludf.DUMMYFUNCTION("""COMPUTED_VALUE"""),44111)</f>
        <v>44111</v>
      </c>
      <c r="E768" s="3">
        <f ca="1">IFERROR(__xludf.DUMMYFUNCTION("""COMPUTED_VALUE"""),0.481956018516939)</f>
        <v>0.48195601851693898</v>
      </c>
      <c r="F768" s="1">
        <f ca="1">IFERROR(__xludf.DUMMYFUNCTION("""COMPUTED_VALUE"""),4283)</f>
        <v>4283</v>
      </c>
      <c r="G768" s="1" t="str">
        <f ca="1">IFERROR(__xludf.DUMMYFUNCTION("""COMPUTED_VALUE"""),"13.0119/77.5677")</f>
        <v>13.0119/77.5677</v>
      </c>
      <c r="H768" s="1" t="str">
        <f ca="1">IFERROR(__xludf.DUMMYFUNCTION("""COMPUTED_VALUE"""),"Malleshwaram")</f>
        <v>Malleshwaram</v>
      </c>
      <c r="I768" s="1"/>
      <c r="J768" s="1" t="str">
        <f ca="1">IFERROR(__xludf.DUMMYFUNCTION("""COMPUTED_VALUE"""),"501d 18h 07m")</f>
        <v>501d 18h 07m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>
      <c r="A769" s="1">
        <f ca="1">IFERROR(__xludf.DUMMYFUNCTION("""COMPUTED_VALUE"""),117)</f>
        <v>117</v>
      </c>
      <c r="B769" s="1" t="str">
        <f ca="1">IFERROR(__xludf.DUMMYFUNCTION("""COMPUTED_VALUE"""),"NE1_KA04A9515_JETTING")</f>
        <v>NE1_KA04A9515_JETTING</v>
      </c>
      <c r="C769" s="1" t="str">
        <f ca="1">IFERROR(__xludf.DUMMYFUNCTION("""COMPUTED_VALUE"""),"ne1_ka04a9515_jetting")</f>
        <v>ne1_ka04a9515_jetting</v>
      </c>
      <c r="D769" s="2">
        <f ca="1">IFERROR(__xludf.DUMMYFUNCTION("""COMPUTED_VALUE"""),44111)</f>
        <v>44111</v>
      </c>
      <c r="E769" s="3">
        <f ca="1">IFERROR(__xludf.DUMMYFUNCTION("""COMPUTED_VALUE"""),0.481956018516939)</f>
        <v>0.48195601851693898</v>
      </c>
      <c r="F769" s="1">
        <f ca="1">IFERROR(__xludf.DUMMYFUNCTION("""COMPUTED_VALUE"""),4283)</f>
        <v>4283</v>
      </c>
      <c r="G769" s="1" t="str">
        <f ca="1">IFERROR(__xludf.DUMMYFUNCTION("""COMPUTED_VALUE"""),"13.0119/77.5677")</f>
        <v>13.0119/77.5677</v>
      </c>
      <c r="H769" s="1" t="str">
        <f ca="1">IFERROR(__xludf.DUMMYFUNCTION("""COMPUTED_VALUE"""),"Malleshwaram")</f>
        <v>Malleshwaram</v>
      </c>
      <c r="I769" s="1"/>
      <c r="J769" s="1" t="str">
        <f ca="1">IFERROR(__xludf.DUMMYFUNCTION("""COMPUTED_VALUE"""),"501d 18h 08m")</f>
        <v>501d 18h 08m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>
      <c r="A770" s="1">
        <f ca="1">IFERROR(__xludf.DUMMYFUNCTION("""COMPUTED_VALUE"""),117)</f>
        <v>117</v>
      </c>
      <c r="B770" s="1" t="str">
        <f ca="1">IFERROR(__xludf.DUMMYFUNCTION("""COMPUTED_VALUE"""),"NE1_KA04A9515_JETTING")</f>
        <v>NE1_KA04A9515_JETTING</v>
      </c>
      <c r="C770" s="1" t="str">
        <f ca="1">IFERROR(__xludf.DUMMYFUNCTION("""COMPUTED_VALUE"""),"ne1_ka04a9515_jetting")</f>
        <v>ne1_ka04a9515_jetting</v>
      </c>
      <c r="D770" s="2">
        <f ca="1">IFERROR(__xludf.DUMMYFUNCTION("""COMPUTED_VALUE"""),44111)</f>
        <v>44111</v>
      </c>
      <c r="E770" s="3">
        <f ca="1">IFERROR(__xludf.DUMMYFUNCTION("""COMPUTED_VALUE"""),0.481956018516939)</f>
        <v>0.48195601851693898</v>
      </c>
      <c r="F770" s="1">
        <f ca="1">IFERROR(__xludf.DUMMYFUNCTION("""COMPUTED_VALUE"""),4283)</f>
        <v>4283</v>
      </c>
      <c r="G770" s="1" t="str">
        <f ca="1">IFERROR(__xludf.DUMMYFUNCTION("""COMPUTED_VALUE"""),"13.0119/77.5677")</f>
        <v>13.0119/77.5677</v>
      </c>
      <c r="H770" s="1" t="str">
        <f ca="1">IFERROR(__xludf.DUMMYFUNCTION("""COMPUTED_VALUE"""),"Malleshwaram")</f>
        <v>Malleshwaram</v>
      </c>
      <c r="I770" s="1"/>
      <c r="J770" s="1" t="str">
        <f ca="1">IFERROR(__xludf.DUMMYFUNCTION("""COMPUTED_VALUE"""),"501d 18h 09m")</f>
        <v>501d 18h 09m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>
      <c r="A771" s="1">
        <f ca="1">IFERROR(__xludf.DUMMYFUNCTION("""COMPUTED_VALUE"""),130)</f>
        <v>130</v>
      </c>
      <c r="B771" s="1" t="str">
        <f ca="1">IFERROR(__xludf.DUMMYFUNCTION("""COMPUTED_VALUE"""),"NE1_KA04A9516_Jetting")</f>
        <v>NE1_KA04A9516_Jetting</v>
      </c>
      <c r="C771" s="1" t="str">
        <f ca="1">IFERROR(__xludf.DUMMYFUNCTION("""COMPUTED_VALUE"""),"ne1_ka04a9516_jetting")</f>
        <v>ne1_ka04a9516_jetting</v>
      </c>
      <c r="D771" s="2">
        <f ca="1">IFERROR(__xludf.DUMMYFUNCTION("""COMPUTED_VALUE"""),44707)</f>
        <v>44707</v>
      </c>
      <c r="E771" s="3">
        <f ca="1">IFERROR(__xludf.DUMMYFUNCTION("""COMPUTED_VALUE"""),0.612731481480295)</f>
        <v>0.61273148148029499</v>
      </c>
      <c r="F771" s="1">
        <f ca="1">IFERROR(__xludf.DUMMYFUNCTION("""COMPUTED_VALUE"""),264710)</f>
        <v>264710</v>
      </c>
      <c r="G771" s="1" t="str">
        <f ca="1">IFERROR(__xludf.DUMMYFUNCTION("""COMPUTED_VALUE"""),"12.9310/77.5399")</f>
        <v>12.9310/77.5399</v>
      </c>
      <c r="H771" s="1" t="str">
        <f ca="1">IFERROR(__xludf.DUMMYFUNCTION("""COMPUTED_VALUE"""),"Hosakerahalli")</f>
        <v>Hosakerahalli</v>
      </c>
      <c r="I771" s="1"/>
      <c r="J771" s="1" t="str">
        <f ca="1">IFERROR(__xludf.DUMMYFUNCTION("""COMPUTED_VALUE"""),"0d 00h 00m")</f>
        <v>0d 00h 00m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>
      <c r="A772" s="1">
        <f ca="1">IFERROR(__xludf.DUMMYFUNCTION("""COMPUTED_VALUE"""),93)</f>
        <v>93</v>
      </c>
      <c r="B772" s="1" t="str">
        <f ca="1">IFERROR(__xludf.DUMMYFUNCTION("""COMPUTED_VALUE"""),"NE1_KA04A9516_Jetting")</f>
        <v>NE1_KA04A9516_Jetting</v>
      </c>
      <c r="C772" s="1" t="str">
        <f ca="1">IFERROR(__xludf.DUMMYFUNCTION("""COMPUTED_VALUE"""),"ne1_ka04a9516_jetting")</f>
        <v>ne1_ka04a9516_jetting</v>
      </c>
      <c r="D772" s="2">
        <f ca="1">IFERROR(__xludf.DUMMYFUNCTION("""COMPUTED_VALUE"""),44732)</f>
        <v>44732</v>
      </c>
      <c r="E772" s="3">
        <f ca="1">IFERROR(__xludf.DUMMYFUNCTION("""COMPUTED_VALUE"""),0.375555555554456)</f>
        <v>0.37555555555445602</v>
      </c>
      <c r="F772" s="1">
        <f ca="1">IFERROR(__xludf.DUMMYFUNCTION("""COMPUTED_VALUE"""),264832)</f>
        <v>264832</v>
      </c>
      <c r="G772" s="1" t="str">
        <f ca="1">IFERROR(__xludf.DUMMYFUNCTION("""COMPUTED_VALUE"""),"12.9310/77.5400")</f>
        <v>12.9310/77.5400</v>
      </c>
      <c r="H772" s="1" t="str">
        <f ca="1">IFERROR(__xludf.DUMMYFUNCTION("""COMPUTED_VALUE"""),"Hosakerahalli")</f>
        <v>Hosakerahalli</v>
      </c>
      <c r="I772" s="1"/>
      <c r="J772" s="1" t="str">
        <f ca="1">IFERROR(__xludf.DUMMYFUNCTION("""COMPUTED_VALUE"""),"0d 00h 00m")</f>
        <v>0d 00h 00m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>
      <c r="A773" s="1">
        <f ca="1">IFERROR(__xludf.DUMMYFUNCTION("""COMPUTED_VALUE"""),96)</f>
        <v>96</v>
      </c>
      <c r="B773" s="1" t="str">
        <f ca="1">IFERROR(__xludf.DUMMYFUNCTION("""COMPUTED_VALUE"""),"NE1_KA04A9516_Jetting")</f>
        <v>NE1_KA04A9516_Jetting</v>
      </c>
      <c r="C773" s="1" t="str">
        <f ca="1">IFERROR(__xludf.DUMMYFUNCTION("""COMPUTED_VALUE"""),"ne1_ka04a9516_jetting")</f>
        <v>ne1_ka04a9516_jetting</v>
      </c>
      <c r="D773" s="2">
        <f ca="1">IFERROR(__xludf.DUMMYFUNCTION("""COMPUTED_VALUE"""),44756)</f>
        <v>44756</v>
      </c>
      <c r="E773" s="3">
        <f ca="1">IFERROR(__xludf.DUMMYFUNCTION("""COMPUTED_VALUE"""),0.618622685185982)</f>
        <v>0.61862268518598196</v>
      </c>
      <c r="F773" s="1">
        <f ca="1">IFERROR(__xludf.DUMMYFUNCTION("""COMPUTED_VALUE"""),264832)</f>
        <v>264832</v>
      </c>
      <c r="G773" s="1" t="str">
        <f ca="1">IFERROR(__xludf.DUMMYFUNCTION("""COMPUTED_VALUE"""),"12.9310/77.5398")</f>
        <v>12.9310/77.5398</v>
      </c>
      <c r="H773" s="1" t="str">
        <f ca="1">IFERROR(__xludf.DUMMYFUNCTION("""COMPUTED_VALUE"""),"Hosakerahalli")</f>
        <v>Hosakerahalli</v>
      </c>
      <c r="I773" s="1"/>
      <c r="J773" s="1" t="str">
        <f ca="1">IFERROR(__xludf.DUMMYFUNCTION("""COMPUTED_VALUE"""),"0d 00h 00m")</f>
        <v>0d 00h 00m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>
      <c r="A774" s="1">
        <f ca="1">IFERROR(__xludf.DUMMYFUNCTION("""COMPUTED_VALUE"""),75)</f>
        <v>75</v>
      </c>
      <c r="B774" s="1" t="str">
        <f ca="1">IFERROR(__xludf.DUMMYFUNCTION("""COMPUTED_VALUE"""),"NE1_KA04A9516_Jetting")</f>
        <v>NE1_KA04A9516_Jetting</v>
      </c>
      <c r="C774" s="1" t="str">
        <f ca="1">IFERROR(__xludf.DUMMYFUNCTION("""COMPUTED_VALUE"""),"ne1_ka04a9516_jetting")</f>
        <v>ne1_ka04a9516_jetting</v>
      </c>
      <c r="D774" s="2">
        <f ca="1">IFERROR(__xludf.DUMMYFUNCTION("""COMPUTED_VALUE"""),44756)</f>
        <v>44756</v>
      </c>
      <c r="E774" s="3">
        <f ca="1">IFERROR(__xludf.DUMMYFUNCTION("""COMPUTED_VALUE"""),0.618622685185982)</f>
        <v>0.61862268518598196</v>
      </c>
      <c r="F774" s="1">
        <f ca="1">IFERROR(__xludf.DUMMYFUNCTION("""COMPUTED_VALUE"""),264832)</f>
        <v>264832</v>
      </c>
      <c r="G774" s="1" t="str">
        <f ca="1">IFERROR(__xludf.DUMMYFUNCTION("""COMPUTED_VALUE"""),"12.9310/77.5398")</f>
        <v>12.9310/77.5398</v>
      </c>
      <c r="H774" s="1" t="str">
        <f ca="1">IFERROR(__xludf.DUMMYFUNCTION("""COMPUTED_VALUE"""),"Hosakerahalli")</f>
        <v>Hosakerahalli</v>
      </c>
      <c r="I774" s="1"/>
      <c r="J774" s="1" t="str">
        <f ca="1">IFERROR(__xludf.DUMMYFUNCTION("""COMPUTED_VALUE"""),"0d 00h 01m")</f>
        <v>0d 00h 01m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>
      <c r="A775" s="1">
        <f ca="1">IFERROR(__xludf.DUMMYFUNCTION("""COMPUTED_VALUE"""),228)</f>
        <v>228</v>
      </c>
      <c r="B775" s="1" t="str">
        <f ca="1">IFERROR(__xludf.DUMMYFUNCTION("""COMPUTED_VALUE"""),"NE1_KA04A9516_Jetting")</f>
        <v>NE1_KA04A9516_Jetting</v>
      </c>
      <c r="C775" s="1" t="str">
        <f ca="1">IFERROR(__xludf.DUMMYFUNCTION("""COMPUTED_VALUE"""),"ne1_ka04a9516_jetting")</f>
        <v>ne1_ka04a9516_jetting</v>
      </c>
      <c r="D775" s="2">
        <f ca="1">IFERROR(__xludf.DUMMYFUNCTION("""COMPUTED_VALUE"""),44830)</f>
        <v>44830</v>
      </c>
      <c r="E775" s="3">
        <f ca="1">IFERROR(__xludf.DUMMYFUNCTION("""COMPUTED_VALUE"""),0.999259259260725)</f>
        <v>0.99925925926072501</v>
      </c>
      <c r="F775" s="1">
        <f ca="1">IFERROR(__xludf.DUMMYFUNCTION("""COMPUTED_VALUE"""),266557)</f>
        <v>266557</v>
      </c>
      <c r="G775" s="1" t="str">
        <f ca="1">IFERROR(__xludf.DUMMYFUNCTION("""COMPUTED_VALUE"""),"13.0101/77.5666")</f>
        <v>13.0101/77.5666</v>
      </c>
      <c r="H775" s="1" t="str">
        <f ca="1">IFERROR(__xludf.DUMMYFUNCTION("""COMPUTED_VALUE"""),"Malleshwaram")</f>
        <v>Malleshwaram</v>
      </c>
      <c r="I775" s="1"/>
      <c r="J775" s="1" t="str">
        <f ca="1">IFERROR(__xludf.DUMMYFUNCTION("""COMPUTED_VALUE"""),"0d 00h 01m")</f>
        <v>0d 00h 01m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>
      <c r="A776" s="1">
        <f ca="1">IFERROR(__xludf.DUMMYFUNCTION("""COMPUTED_VALUE"""),235)</f>
        <v>235</v>
      </c>
      <c r="B776" s="1" t="str">
        <f ca="1">IFERROR(__xludf.DUMMYFUNCTION("""COMPUTED_VALUE"""),"NE1_KA04A9516_Jetting")</f>
        <v>NE1_KA04A9516_Jetting</v>
      </c>
      <c r="C776" s="1" t="str">
        <f ca="1">IFERROR(__xludf.DUMMYFUNCTION("""COMPUTED_VALUE"""),"ne1_ka04a9516_jetting")</f>
        <v>ne1_ka04a9516_jetting</v>
      </c>
      <c r="D776" s="2">
        <f ca="1">IFERROR(__xludf.DUMMYFUNCTION("""COMPUTED_VALUE"""),44860)</f>
        <v>44860</v>
      </c>
      <c r="E776" s="3">
        <f ca="1">IFERROR(__xludf.DUMMYFUNCTION("""COMPUTED_VALUE"""),0.999317129630071)</f>
        <v>0.99931712963007102</v>
      </c>
      <c r="F776" s="1">
        <f ca="1">IFERROR(__xludf.DUMMYFUNCTION("""COMPUTED_VALUE"""),280295)</f>
        <v>280295</v>
      </c>
      <c r="G776" s="1" t="str">
        <f ca="1">IFERROR(__xludf.DUMMYFUNCTION("""COMPUTED_VALUE"""),"13.0101/77.5664")</f>
        <v>13.0101/77.5664</v>
      </c>
      <c r="H776" s="1" t="str">
        <f ca="1">IFERROR(__xludf.DUMMYFUNCTION("""COMPUTED_VALUE"""),"Malleshwaram")</f>
        <v>Malleshwaram</v>
      </c>
      <c r="I776" s="1"/>
      <c r="J776" s="1" t="str">
        <f ca="1">IFERROR(__xludf.DUMMYFUNCTION("""COMPUTED_VALUE"""),"0d 00h 00m")</f>
        <v>0d 00h 00m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>
      <c r="A777" s="1">
        <f ca="1">IFERROR(__xludf.DUMMYFUNCTION("""COMPUTED_VALUE"""),134)</f>
        <v>134</v>
      </c>
      <c r="B777" s="1" t="str">
        <f ca="1">IFERROR(__xludf.DUMMYFUNCTION("""COMPUTED_VALUE"""),"NE1_KA04A9516_JETTING")</f>
        <v>NE1_KA04A9516_JETTING</v>
      </c>
      <c r="C777" s="1" t="str">
        <f ca="1">IFERROR(__xludf.DUMMYFUNCTION("""COMPUTED_VALUE"""),"ne1_ka04a9516_jetting")</f>
        <v>ne1_ka04a9516_jetting</v>
      </c>
      <c r="D777" s="2">
        <f ca="1">IFERROR(__xludf.DUMMYFUNCTION("""COMPUTED_VALUE"""),44756)</f>
        <v>44756</v>
      </c>
      <c r="E777" s="3">
        <f ca="1">IFERROR(__xludf.DUMMYFUNCTION("""COMPUTED_VALUE"""),0.618622685185982)</f>
        <v>0.61862268518598196</v>
      </c>
      <c r="F777" s="1">
        <f ca="1">IFERROR(__xludf.DUMMYFUNCTION("""COMPUTED_VALUE"""),264832)</f>
        <v>264832</v>
      </c>
      <c r="G777" s="1" t="str">
        <f ca="1">IFERROR(__xludf.DUMMYFUNCTION("""COMPUTED_VALUE"""),"12.9310/77.5398")</f>
        <v>12.9310/77.5398</v>
      </c>
      <c r="H777" s="1" t="str">
        <f ca="1">IFERROR(__xludf.DUMMYFUNCTION("""COMPUTED_VALUE"""),"Hosakerahalli")</f>
        <v>Hosakerahalli</v>
      </c>
      <c r="I777" s="1"/>
      <c r="J777" s="1" t="str">
        <f ca="1">IFERROR(__xludf.DUMMYFUNCTION("""COMPUTED_VALUE"""),"0d 00h 00m")</f>
        <v>0d 00h 00m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>
      <c r="A778" s="1">
        <f ca="1">IFERROR(__xludf.DUMMYFUNCTION("""COMPUTED_VALUE"""),159)</f>
        <v>159</v>
      </c>
      <c r="B778" s="1" t="str">
        <f ca="1">IFERROR(__xludf.DUMMYFUNCTION("""COMPUTED_VALUE"""),"NE1_KA04A9516_JETTING")</f>
        <v>NE1_KA04A9516_JETTING</v>
      </c>
      <c r="C778" s="1" t="str">
        <f ca="1">IFERROR(__xludf.DUMMYFUNCTION("""COMPUTED_VALUE"""),"ne1_ka04a9516_jetting")</f>
        <v>ne1_ka04a9516_jetting</v>
      </c>
      <c r="D778" s="2">
        <f ca="1">IFERROR(__xludf.DUMMYFUNCTION("""COMPUTED_VALUE"""),44860)</f>
        <v>44860</v>
      </c>
      <c r="E778" s="3">
        <f ca="1">IFERROR(__xludf.DUMMYFUNCTION("""COMPUTED_VALUE"""),0.999317129630071)</f>
        <v>0.99931712963007102</v>
      </c>
      <c r="F778" s="1">
        <f ca="1">IFERROR(__xludf.DUMMYFUNCTION("""COMPUTED_VALUE"""),280295)</f>
        <v>280295</v>
      </c>
      <c r="G778" s="1" t="str">
        <f ca="1">IFERROR(__xludf.DUMMYFUNCTION("""COMPUTED_VALUE"""),"13.0101/77.5664")</f>
        <v>13.0101/77.5664</v>
      </c>
      <c r="H778" s="1" t="str">
        <f ca="1">IFERROR(__xludf.DUMMYFUNCTION("""COMPUTED_VALUE"""),"Malleshwaram")</f>
        <v>Malleshwaram</v>
      </c>
      <c r="I778" s="1"/>
      <c r="J778" s="1" t="str">
        <f ca="1">IFERROR(__xludf.DUMMYFUNCTION("""COMPUTED_VALUE"""),"0d 00h 01m")</f>
        <v>0d 00h 01m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>
      <c r="A779" s="1">
        <f ca="1">IFERROR(__xludf.DUMMYFUNCTION("""COMPUTED_VALUE"""),153)</f>
        <v>153</v>
      </c>
      <c r="B779" s="1" t="str">
        <f ca="1">IFERROR(__xludf.DUMMYFUNCTION("""COMPUTED_VALUE"""),"NE1_KA04A9516_JETTING")</f>
        <v>NE1_KA04A9516_JETTING</v>
      </c>
      <c r="C779" s="1" t="str">
        <f ca="1">IFERROR(__xludf.DUMMYFUNCTION("""COMPUTED_VALUE"""),"ne1_ka04a9516_jetting")</f>
        <v>ne1_ka04a9516_jetting</v>
      </c>
      <c r="D779" s="2">
        <f ca="1">IFERROR(__xludf.DUMMYFUNCTION("""COMPUTED_VALUE"""),44952)</f>
        <v>44952</v>
      </c>
      <c r="E779" s="3">
        <f ca="1">IFERROR(__xludf.DUMMYFUNCTION("""COMPUTED_VALUE"""),0.999074074072268)</f>
        <v>0.999074074072268</v>
      </c>
      <c r="F779" s="1">
        <f ca="1">IFERROR(__xludf.DUMMYFUNCTION("""COMPUTED_VALUE"""),323756)</f>
        <v>323756</v>
      </c>
      <c r="G779" s="1" t="str">
        <f ca="1">IFERROR(__xludf.DUMMYFUNCTION("""COMPUTED_VALUE"""),"13.0102/77.5666")</f>
        <v>13.0102/77.5666</v>
      </c>
      <c r="H779" s="1" t="str">
        <f ca="1">IFERROR(__xludf.DUMMYFUNCTION("""COMPUTED_VALUE"""),"Malleshwaram")</f>
        <v>Malleshwaram</v>
      </c>
      <c r="I779" s="1"/>
      <c r="J779" s="1" t="str">
        <f ca="1">IFERROR(__xludf.DUMMYFUNCTION("""COMPUTED_VALUE"""),"0d 00h 04m")</f>
        <v>0d 00h 04m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>
      <c r="A780" s="1">
        <f ca="1">IFERROR(__xludf.DUMMYFUNCTION("""COMPUTED_VALUE"""),151)</f>
        <v>151</v>
      </c>
      <c r="B780" s="1" t="str">
        <f ca="1">IFERROR(__xludf.DUMMYFUNCTION("""COMPUTED_VALUE"""),"NE1_KA04A9516_JETTING")</f>
        <v>NE1_KA04A9516_JETTING</v>
      </c>
      <c r="C780" s="1" t="str">
        <f ca="1">IFERROR(__xludf.DUMMYFUNCTION("""COMPUTED_VALUE"""),"ne1_ka04a9516_jetting")</f>
        <v>ne1_ka04a9516_jetting</v>
      </c>
      <c r="D780" s="2">
        <f ca="1">IFERROR(__xludf.DUMMYFUNCTION("""COMPUTED_VALUE"""),45042)</f>
        <v>45042</v>
      </c>
      <c r="E780" s="3">
        <f ca="1">IFERROR(__xludf.DUMMYFUNCTION("""COMPUTED_VALUE"""),0.997916666667151)</f>
        <v>0.99791666666715095</v>
      </c>
      <c r="F780" s="1">
        <f ca="1">IFERROR(__xludf.DUMMYFUNCTION("""COMPUTED_VALUE"""),150973)</f>
        <v>150973</v>
      </c>
      <c r="G780" s="1" t="str">
        <f ca="1">IFERROR(__xludf.DUMMYFUNCTION("""COMPUTED_VALUE"""),"13.0103/77.5666")</f>
        <v>13.0103/77.5666</v>
      </c>
      <c r="H780" s="1" t="str">
        <f ca="1">IFERROR(__xludf.DUMMYFUNCTION("""COMPUTED_VALUE"""),"Malleshwaram")</f>
        <v>Malleshwaram</v>
      </c>
      <c r="I780" s="1"/>
      <c r="J780" s="1" t="str">
        <f ca="1">IFERROR(__xludf.DUMMYFUNCTION("""COMPUTED_VALUE"""),"0d 00h 00m")</f>
        <v>0d 00h 00m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>
      <c r="A781" s="1">
        <f ca="1">IFERROR(__xludf.DUMMYFUNCTION("""COMPUTED_VALUE"""),143)</f>
        <v>143</v>
      </c>
      <c r="B781" s="1" t="str">
        <f ca="1">IFERROR(__xludf.DUMMYFUNCTION("""COMPUTED_VALUE"""),"NE1_KA04A9516_JETTING")</f>
        <v>NE1_KA04A9516_JETTING</v>
      </c>
      <c r="C781" s="1" t="str">
        <f ca="1">IFERROR(__xludf.DUMMYFUNCTION("""COMPUTED_VALUE"""),"ne1_ka04a9516_jetting")</f>
        <v>ne1_ka04a9516_jetting</v>
      </c>
      <c r="D781" s="2">
        <f ca="1">IFERROR(__xludf.DUMMYFUNCTION("""COMPUTED_VALUE"""),45128)</f>
        <v>45128</v>
      </c>
      <c r="E781" s="3">
        <f ca="1">IFERROR(__xludf.DUMMYFUNCTION("""COMPUTED_VALUE"""),0.60837962962978)</f>
        <v>0.60837962962977998</v>
      </c>
      <c r="F781" s="1">
        <f ca="1">IFERROR(__xludf.DUMMYFUNCTION("""COMPUTED_VALUE"""),155812)</f>
        <v>155812</v>
      </c>
      <c r="G781" s="1" t="str">
        <f ca="1">IFERROR(__xludf.DUMMYFUNCTION("""COMPUTED_VALUE"""),"13.0105/77.5667")</f>
        <v>13.0105/77.5667</v>
      </c>
      <c r="H781" s="1" t="str">
        <f ca="1">IFERROR(__xludf.DUMMYFUNCTION("""COMPUTED_VALUE"""),"Malleshwaram")</f>
        <v>Malleshwaram</v>
      </c>
      <c r="I781" s="1"/>
      <c r="J781" s="1" t="str">
        <f ca="1">IFERROR(__xludf.DUMMYFUNCTION("""COMPUTED_VALUE"""),"0d 00h 00m")</f>
        <v>0d 00h 00m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>
      <c r="A782" s="1">
        <f ca="1">IFERROR(__xludf.DUMMYFUNCTION("""COMPUTED_VALUE"""),153)</f>
        <v>153</v>
      </c>
      <c r="B782" s="1" t="str">
        <f ca="1">IFERROR(__xludf.DUMMYFUNCTION("""COMPUTED_VALUE"""),"NE1_KA04A9516_JETTING")</f>
        <v>NE1_KA04A9516_JETTING</v>
      </c>
      <c r="C782" s="1" t="str">
        <f ca="1">IFERROR(__xludf.DUMMYFUNCTION("""COMPUTED_VALUE"""),"ne1_ka04a9516_jetting")</f>
        <v>ne1_ka04a9516_jetting</v>
      </c>
      <c r="D782" s="2">
        <f ca="1">IFERROR(__xludf.DUMMYFUNCTION("""COMPUTED_VALUE"""),45226)</f>
        <v>45226</v>
      </c>
      <c r="E782" s="3">
        <f ca="1">IFERROR(__xludf.DUMMYFUNCTION("""COMPUTED_VALUE"""),0.667928240742185)</f>
        <v>0.66792824074218504</v>
      </c>
      <c r="F782" s="1">
        <f ca="1">IFERROR(__xludf.DUMMYFUNCTION("""COMPUTED_VALUE"""),155865)</f>
        <v>155865</v>
      </c>
      <c r="G782" s="1" t="str">
        <f ca="1">IFERROR(__xludf.DUMMYFUNCTION("""COMPUTED_VALUE"""),"12.9310/77.5400")</f>
        <v>12.9310/77.5400</v>
      </c>
      <c r="H782" s="1" t="str">
        <f ca="1">IFERROR(__xludf.DUMMYFUNCTION("""COMPUTED_VALUE"""),"Hosakerahalli")</f>
        <v>Hosakerahalli</v>
      </c>
      <c r="I782" s="1"/>
      <c r="J782" s="1" t="str">
        <f ca="1">IFERROR(__xludf.DUMMYFUNCTION("""COMPUTED_VALUE"""),"0d 00h 00m")</f>
        <v>0d 00h 00m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>
      <c r="A783" s="1">
        <f ca="1">IFERROR(__xludf.DUMMYFUNCTION("""COMPUTED_VALUE"""),156)</f>
        <v>156</v>
      </c>
      <c r="B783" s="1" t="str">
        <f ca="1">IFERROR(__xludf.DUMMYFUNCTION("""COMPUTED_VALUE"""),"NE1_KA04A9516_JETTING")</f>
        <v>NE1_KA04A9516_JETTING</v>
      </c>
      <c r="C783" s="1" t="str">
        <f ca="1">IFERROR(__xludf.DUMMYFUNCTION("""COMPUTED_VALUE"""),"ne1_ka04a9516_jetting")</f>
        <v>ne1_ka04a9516_jetting</v>
      </c>
      <c r="D783" s="2">
        <f ca="1">IFERROR(__xludf.DUMMYFUNCTION("""COMPUTED_VALUE"""),45315)</f>
        <v>45315</v>
      </c>
      <c r="E783" s="3">
        <f ca="1">IFERROR(__xludf.DUMMYFUNCTION("""COMPUTED_VALUE"""),0.486215277778683)</f>
        <v>0.48621527777868301</v>
      </c>
      <c r="F783" s="1">
        <f ca="1">IFERROR(__xludf.DUMMYFUNCTION("""COMPUTED_VALUE"""),156093)</f>
        <v>156093</v>
      </c>
      <c r="G783" s="1" t="str">
        <f ca="1">IFERROR(__xludf.DUMMYFUNCTION("""COMPUTED_VALUE"""),"12.9307/77.5403")</f>
        <v>12.9307/77.5403</v>
      </c>
      <c r="H783" s="1" t="str">
        <f ca="1">IFERROR(__xludf.DUMMYFUNCTION("""COMPUTED_VALUE"""),"Hosakerahalli")</f>
        <v>Hosakerahalli</v>
      </c>
      <c r="I783" s="1"/>
      <c r="J783" s="1" t="str">
        <f ca="1">IFERROR(__xludf.DUMMYFUNCTION("""COMPUTED_VALUE"""),"0d 00h 01m")</f>
        <v>0d 00h 01m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>
      <c r="A784" s="1">
        <f ca="1">IFERROR(__xludf.DUMMYFUNCTION("""COMPUTED_VALUE"""),83)</f>
        <v>83</v>
      </c>
      <c r="B784" s="1" t="str">
        <f ca="1">IFERROR(__xludf.DUMMYFUNCTION("""COMPUTED_VALUE"""),"NE1_KA04AA7689_JETTING")</f>
        <v>NE1_KA04AA7689_JETTING</v>
      </c>
      <c r="C784" s="1" t="str">
        <f ca="1">IFERROR(__xludf.DUMMYFUNCTION("""COMPUTED_VALUE"""),"ne1_ka04aa7689_jetting")</f>
        <v>ne1_ka04aa7689_jetting</v>
      </c>
      <c r="D784" s="2">
        <f ca="1">IFERROR(__xludf.DUMMYFUNCTION("""COMPUTED_VALUE"""),41640)</f>
        <v>41640</v>
      </c>
      <c r="E784" s="3">
        <f ca="1">IFERROR(__xludf.DUMMYFUNCTION("""COMPUTED_VALUE"""),0.680057870369637)</f>
        <v>0.68005787036963705</v>
      </c>
      <c r="F784" s="1">
        <f ca="1">IFERROR(__xludf.DUMMYFUNCTION("""COMPUTED_VALUE"""),961)</f>
        <v>961</v>
      </c>
      <c r="G784" s="1" t="str">
        <f ca="1">IFERROR(__xludf.DUMMYFUNCTION("""COMPUTED_VALUE"""),"13.0247/77.5526")</f>
        <v>13.0247/77.5526</v>
      </c>
      <c r="H784" s="1" t="str">
        <f ca="1">IFERROR(__xludf.DUMMYFUNCTION("""COMPUTED_VALUE"""),"Yesvantpur")</f>
        <v>Yesvantpur</v>
      </c>
      <c r="I784" s="1"/>
      <c r="J784" s="1" t="str">
        <f ca="1">IFERROR(__xludf.DUMMYFUNCTION("""COMPUTED_VALUE"""),"0d 00h 00m")</f>
        <v>0d 00h 00m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>
      <c r="A785" s="1">
        <f ca="1">IFERROR(__xludf.DUMMYFUNCTION("""COMPUTED_VALUE"""),83)</f>
        <v>83</v>
      </c>
      <c r="B785" s="1" t="str">
        <f ca="1">IFERROR(__xludf.DUMMYFUNCTION("""COMPUTED_VALUE"""),"NE1_KA04AA7689_JETTING")</f>
        <v>NE1_KA04AA7689_JETTING</v>
      </c>
      <c r="C785" s="1" t="str">
        <f ca="1">IFERROR(__xludf.DUMMYFUNCTION("""COMPUTED_VALUE"""),"ne1_ka04aa7689_jetting")</f>
        <v>ne1_ka04aa7689_jetting</v>
      </c>
      <c r="D785" s="2">
        <f ca="1">IFERROR(__xludf.DUMMYFUNCTION("""COMPUTED_VALUE"""),41640)</f>
        <v>41640</v>
      </c>
      <c r="E785" s="3">
        <f ca="1">IFERROR(__xludf.DUMMYFUNCTION("""COMPUTED_VALUE"""),0.680057870369637)</f>
        <v>0.68005787036963705</v>
      </c>
      <c r="F785" s="1">
        <f ca="1">IFERROR(__xludf.DUMMYFUNCTION("""COMPUTED_VALUE"""),961)</f>
        <v>961</v>
      </c>
      <c r="G785" s="1" t="str">
        <f ca="1">IFERROR(__xludf.DUMMYFUNCTION("""COMPUTED_VALUE"""),"13.0247/77.5526")</f>
        <v>13.0247/77.5526</v>
      </c>
      <c r="H785" s="1" t="str">
        <f ca="1">IFERROR(__xludf.DUMMYFUNCTION("""COMPUTED_VALUE"""),"Yesvantpur")</f>
        <v>Yesvantpur</v>
      </c>
      <c r="I785" s="1"/>
      <c r="J785" s="1" t="str">
        <f ca="1">IFERROR(__xludf.DUMMYFUNCTION("""COMPUTED_VALUE"""),"0d 00h 00m")</f>
        <v>0d 00h 00m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>
      <c r="A786" s="1">
        <f ca="1">IFERROR(__xludf.DUMMYFUNCTION("""COMPUTED_VALUE"""),128)</f>
        <v>128</v>
      </c>
      <c r="B786" s="1" t="str">
        <f ca="1">IFERROR(__xludf.DUMMYFUNCTION("""COMPUTED_VALUE"""),"NE1_KA04AA7689_JETTING")</f>
        <v>NE1_KA04AA7689_JETTING</v>
      </c>
      <c r="C786" s="1" t="str">
        <f ca="1">IFERROR(__xludf.DUMMYFUNCTION("""COMPUTED_VALUE"""),"ne1_ka04aa7689_jetting")</f>
        <v>ne1_ka04aa7689_jetting</v>
      </c>
      <c r="D786" s="2">
        <f ca="1">IFERROR(__xludf.DUMMYFUNCTION("""COMPUTED_VALUE"""),44882)</f>
        <v>44882</v>
      </c>
      <c r="E786" s="3">
        <f ca="1">IFERROR(__xludf.DUMMYFUNCTION("""COMPUTED_VALUE"""),0.890844907407881)</f>
        <v>0.89084490740788103</v>
      </c>
      <c r="F786" s="1">
        <f ca="1">IFERROR(__xludf.DUMMYFUNCTION("""COMPUTED_VALUE"""),48)</f>
        <v>48</v>
      </c>
      <c r="G786" s="1" t="str">
        <f ca="1">IFERROR(__xludf.DUMMYFUNCTION("""COMPUTED_VALUE"""),"12.9890/77.5654")</f>
        <v>12.9890/77.5654</v>
      </c>
      <c r="H786" s="1" t="str">
        <f ca="1">IFERROR(__xludf.DUMMYFUNCTION("""COMPUTED_VALUE"""),"Srirampuram")</f>
        <v>Srirampuram</v>
      </c>
      <c r="I786" s="1"/>
      <c r="J786" s="1" t="str">
        <f ca="1">IFERROR(__xludf.DUMMYFUNCTION("""COMPUTED_VALUE"""),"0d 00h 00m")</f>
        <v>0d 00h 00m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>
      <c r="A787" s="1">
        <f ca="1">IFERROR(__xludf.DUMMYFUNCTION("""COMPUTED_VALUE"""),128)</f>
        <v>128</v>
      </c>
      <c r="B787" s="1" t="str">
        <f ca="1">IFERROR(__xludf.DUMMYFUNCTION("""COMPUTED_VALUE"""),"NE1_KA04AA7689_JETTING")</f>
        <v>NE1_KA04AA7689_JETTING</v>
      </c>
      <c r="C787" s="1" t="str">
        <f ca="1">IFERROR(__xludf.DUMMYFUNCTION("""COMPUTED_VALUE"""),"ne1_ka04aa7689_jetting")</f>
        <v>ne1_ka04aa7689_jetting</v>
      </c>
      <c r="D787" s="2">
        <f ca="1">IFERROR(__xludf.DUMMYFUNCTION("""COMPUTED_VALUE"""),44882)</f>
        <v>44882</v>
      </c>
      <c r="E787" s="3">
        <f ca="1">IFERROR(__xludf.DUMMYFUNCTION("""COMPUTED_VALUE"""),0.890844907407881)</f>
        <v>0.89084490740788103</v>
      </c>
      <c r="F787" s="1">
        <f ca="1">IFERROR(__xludf.DUMMYFUNCTION("""COMPUTED_VALUE"""),48)</f>
        <v>48</v>
      </c>
      <c r="G787" s="1" t="str">
        <f ca="1">IFERROR(__xludf.DUMMYFUNCTION("""COMPUTED_VALUE"""),"12.9890/77.5654")</f>
        <v>12.9890/77.5654</v>
      </c>
      <c r="H787" s="1" t="str">
        <f ca="1">IFERROR(__xludf.DUMMYFUNCTION("""COMPUTED_VALUE"""),"Srirampuram")</f>
        <v>Srirampuram</v>
      </c>
      <c r="I787" s="1"/>
      <c r="J787" s="1" t="str">
        <f ca="1">IFERROR(__xludf.DUMMYFUNCTION("""COMPUTED_VALUE"""),"0d 00h 00m")</f>
        <v>0d 00h 00m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>
      <c r="A788" s="1">
        <f ca="1">IFERROR(__xludf.DUMMYFUNCTION("""COMPUTED_VALUE"""),126)</f>
        <v>126</v>
      </c>
      <c r="B788" s="1" t="str">
        <f ca="1">IFERROR(__xludf.DUMMYFUNCTION("""COMPUTED_VALUE"""),"NE1_KA04AA7689_JETTING")</f>
        <v>NE1_KA04AA7689_JETTING</v>
      </c>
      <c r="C788" s="1" t="str">
        <f ca="1">IFERROR(__xludf.DUMMYFUNCTION("""COMPUTED_VALUE"""),"ne1_ka04aa7689_jetting")</f>
        <v>ne1_ka04aa7689_jetting</v>
      </c>
      <c r="D788" s="2">
        <f ca="1">IFERROR(__xludf.DUMMYFUNCTION("""COMPUTED_VALUE"""),44882)</f>
        <v>44882</v>
      </c>
      <c r="E788" s="3">
        <f ca="1">IFERROR(__xludf.DUMMYFUNCTION("""COMPUTED_VALUE"""),0.890844907407881)</f>
        <v>0.89084490740788103</v>
      </c>
      <c r="F788" s="1">
        <f ca="1">IFERROR(__xludf.DUMMYFUNCTION("""COMPUTED_VALUE"""),48)</f>
        <v>48</v>
      </c>
      <c r="G788" s="1" t="str">
        <f ca="1">IFERROR(__xludf.DUMMYFUNCTION("""COMPUTED_VALUE"""),"12.9890/77.5654")</f>
        <v>12.9890/77.5654</v>
      </c>
      <c r="H788" s="1" t="str">
        <f ca="1">IFERROR(__xludf.DUMMYFUNCTION("""COMPUTED_VALUE"""),"Srirampuram")</f>
        <v>Srirampuram</v>
      </c>
      <c r="I788" s="1"/>
      <c r="J788" s="1" t="str">
        <f ca="1">IFERROR(__xludf.DUMMYFUNCTION("""COMPUTED_VALUE"""),"0d 00h 00m")</f>
        <v>0d 00h 00m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>
      <c r="A789" s="1">
        <f ca="1">IFERROR(__xludf.DUMMYFUNCTION("""COMPUTED_VALUE"""),161)</f>
        <v>161</v>
      </c>
      <c r="B789" s="1" t="str">
        <f ca="1">IFERROR(__xludf.DUMMYFUNCTION("""COMPUTED_VALUE"""),"NE1_KA04AA7689_JETTING")</f>
        <v>NE1_KA04AA7689_JETTING</v>
      </c>
      <c r="C789" s="1" t="str">
        <f ca="1">IFERROR(__xludf.DUMMYFUNCTION("""COMPUTED_VALUE"""),"ne1_ka04aa7689_jetting")</f>
        <v>ne1_ka04aa7689_jetting</v>
      </c>
      <c r="D789" s="2">
        <f ca="1">IFERROR(__xludf.DUMMYFUNCTION("""COMPUTED_VALUE"""),45226)</f>
        <v>45226</v>
      </c>
      <c r="E789" s="3">
        <f ca="1">IFERROR(__xludf.DUMMYFUNCTION("""COMPUTED_VALUE"""),0.998981481479859)</f>
        <v>0.99898148147985899</v>
      </c>
      <c r="F789" s="1">
        <f ca="1">IFERROR(__xludf.DUMMYFUNCTION("""COMPUTED_VALUE"""),1361)</f>
        <v>1361</v>
      </c>
      <c r="G789" s="1" t="str">
        <f ca="1">IFERROR(__xludf.DUMMYFUNCTION("""COMPUTED_VALUE"""),"12.9891/77.5653")</f>
        <v>12.9891/77.5653</v>
      </c>
      <c r="H789" s="1" t="str">
        <f ca="1">IFERROR(__xludf.DUMMYFUNCTION("""COMPUTED_VALUE"""),"Srirampuram")</f>
        <v>Srirampuram</v>
      </c>
      <c r="I789" s="1"/>
      <c r="J789" s="1" t="str">
        <f ca="1">IFERROR(__xludf.DUMMYFUNCTION("""COMPUTED_VALUE"""),"0d 00h 00m")</f>
        <v>0d 00h 00m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>
      <c r="A790" s="1">
        <f ca="1">IFERROR(__xludf.DUMMYFUNCTION("""COMPUTED_VALUE"""),171)</f>
        <v>171</v>
      </c>
      <c r="B790" s="1" t="str">
        <f ca="1">IFERROR(__xludf.DUMMYFUNCTION("""COMPUTED_VALUE"""),"NE1_KA04AA7689_JETTING")</f>
        <v>NE1_KA04AA7689_JETTING</v>
      </c>
      <c r="C790" s="1" t="str">
        <f ca="1">IFERROR(__xludf.DUMMYFUNCTION("""COMPUTED_VALUE"""),"ne1_ka04aa7689_jetting")</f>
        <v>ne1_ka04aa7689_jetting</v>
      </c>
      <c r="D790" s="2">
        <f ca="1">IFERROR(__xludf.DUMMYFUNCTION("""COMPUTED_VALUE"""),45315)</f>
        <v>45315</v>
      </c>
      <c r="E790" s="3">
        <f ca="1">IFERROR(__xludf.DUMMYFUNCTION("""COMPUTED_VALUE"""),0.787037037036498)</f>
        <v>0.78703703703649797</v>
      </c>
      <c r="F790" s="1">
        <f ca="1">IFERROR(__xludf.DUMMYFUNCTION("""COMPUTED_VALUE"""),4542)</f>
        <v>4542</v>
      </c>
      <c r="G790" s="1" t="str">
        <f ca="1">IFERROR(__xludf.DUMMYFUNCTION("""COMPUTED_VALUE"""),"12.9892/77.5653")</f>
        <v>12.9892/77.5653</v>
      </c>
      <c r="H790" s="1" t="str">
        <f ca="1">IFERROR(__xludf.DUMMYFUNCTION("""COMPUTED_VALUE"""),"Srirampuram")</f>
        <v>Srirampuram</v>
      </c>
      <c r="I790" s="1"/>
      <c r="J790" s="1" t="str">
        <f ca="1">IFERROR(__xludf.DUMMYFUNCTION("""COMPUTED_VALUE"""),"0d 00h 00m")</f>
        <v>0d 00h 00m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>
      <c r="A791" s="1">
        <f ca="1">IFERROR(__xludf.DUMMYFUNCTION("""COMPUTED_VALUE"""),99)</f>
        <v>99</v>
      </c>
      <c r="B791" s="1" t="str">
        <f ca="1">IFERROR(__xludf.DUMMYFUNCTION("""COMPUTED_VALUE"""),"NE1_KA04B7111_Tanker")</f>
        <v>NE1_KA04B7111_Tanker</v>
      </c>
      <c r="C791" s="1" t="str">
        <f ca="1">IFERROR(__xludf.DUMMYFUNCTION("""COMPUTED_VALUE"""),"ne1_ka04b7111_tanker")</f>
        <v>ne1_ka04b7111_tanker</v>
      </c>
      <c r="D791" s="2">
        <f ca="1">IFERROR(__xludf.DUMMYFUNCTION("""COMPUTED_VALUE"""),44703)</f>
        <v>44703</v>
      </c>
      <c r="E791" s="3">
        <f ca="1">IFERROR(__xludf.DUMMYFUNCTION("""COMPUTED_VALUE"""),0.522199074075615)</f>
        <v>0.52219907407561506</v>
      </c>
      <c r="F791" s="1">
        <f ca="1">IFERROR(__xludf.DUMMYFUNCTION("""COMPUTED_VALUE"""),12469)</f>
        <v>12469</v>
      </c>
      <c r="G791" s="1" t="str">
        <f ca="1">IFERROR(__xludf.DUMMYFUNCTION("""COMPUTED_VALUE"""),"13.0110/77.5675")</f>
        <v>13.0110/77.5675</v>
      </c>
      <c r="H791" s="1" t="str">
        <f ca="1">IFERROR(__xludf.DUMMYFUNCTION("""COMPUTED_VALUE"""),"Malleshwaram")</f>
        <v>Malleshwaram</v>
      </c>
      <c r="I791" s="1"/>
      <c r="J791" s="1" t="str">
        <f ca="1">IFERROR(__xludf.DUMMYFUNCTION("""COMPUTED_VALUE"""),"4d 15h 33m")</f>
        <v>4d 15h 33m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>
      <c r="A792" s="1">
        <f ca="1">IFERROR(__xludf.DUMMYFUNCTION("""COMPUTED_VALUE"""),113)</f>
        <v>113</v>
      </c>
      <c r="B792" s="1" t="str">
        <f ca="1">IFERROR(__xludf.DUMMYFUNCTION("""COMPUTED_VALUE"""),"NE1_KA04B7111_Tanker")</f>
        <v>NE1_KA04B7111_Tanker</v>
      </c>
      <c r="C792" s="1" t="str">
        <f ca="1">IFERROR(__xludf.DUMMYFUNCTION("""COMPUTED_VALUE"""),"ne1_ka04b7111_tanker")</f>
        <v>ne1_ka04b7111_tanker</v>
      </c>
      <c r="D792" s="2">
        <f ca="1">IFERROR(__xludf.DUMMYFUNCTION("""COMPUTED_VALUE"""),44736)</f>
        <v>44736</v>
      </c>
      <c r="E792" s="3">
        <f ca="1">IFERROR(__xludf.DUMMYFUNCTION("""COMPUTED_VALUE"""),0.699270833334594)</f>
        <v>0.69927083333459406</v>
      </c>
      <c r="F792" s="1">
        <f ca="1">IFERROR(__xludf.DUMMYFUNCTION("""COMPUTED_VALUE"""),12605)</f>
        <v>12605</v>
      </c>
      <c r="G792" s="1" t="str">
        <f ca="1">IFERROR(__xludf.DUMMYFUNCTION("""COMPUTED_VALUE"""),"13.0113/77.5677")</f>
        <v>13.0113/77.5677</v>
      </c>
      <c r="H792" s="1" t="str">
        <f ca="1">IFERROR(__xludf.DUMMYFUNCTION("""COMPUTED_VALUE"""),"Malleshwaram")</f>
        <v>Malleshwaram</v>
      </c>
      <c r="I792" s="1"/>
      <c r="J792" s="1" t="str">
        <f ca="1">IFERROR(__xludf.DUMMYFUNCTION("""COMPUTED_VALUE"""),"4d 15h 34m")</f>
        <v>4d 15h 34m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>
      <c r="A793" s="1">
        <f ca="1">IFERROR(__xludf.DUMMYFUNCTION("""COMPUTED_VALUE"""),112)</f>
        <v>112</v>
      </c>
      <c r="B793" s="1" t="str">
        <f ca="1">IFERROR(__xludf.DUMMYFUNCTION("""COMPUTED_VALUE"""),"NE1_KA04B7111_Tanker")</f>
        <v>NE1_KA04B7111_Tanker</v>
      </c>
      <c r="C793" s="1" t="str">
        <f ca="1">IFERROR(__xludf.DUMMYFUNCTION("""COMPUTED_VALUE"""),"ne1_ka04b7111_tanker")</f>
        <v>ne1_ka04b7111_tanker</v>
      </c>
      <c r="D793" s="2">
        <f ca="1">IFERROR(__xludf.DUMMYFUNCTION("""COMPUTED_VALUE"""),44763)</f>
        <v>44763</v>
      </c>
      <c r="E793" s="3">
        <f ca="1">IFERROR(__xludf.DUMMYFUNCTION("""COMPUTED_VALUE"""),0.45291666666526)</f>
        <v>0.45291666666525998</v>
      </c>
      <c r="F793" s="1">
        <f ca="1">IFERROR(__xludf.DUMMYFUNCTION("""COMPUTED_VALUE"""),12606)</f>
        <v>12606</v>
      </c>
      <c r="G793" s="1" t="str">
        <f ca="1">IFERROR(__xludf.DUMMYFUNCTION("""COMPUTED_VALUE"""),"13.0121/77.5671")</f>
        <v>13.0121/77.5671</v>
      </c>
      <c r="H793" s="1" t="str">
        <f ca="1">IFERROR(__xludf.DUMMYFUNCTION("""COMPUTED_VALUE"""),"Malleshwaram")</f>
        <v>Malleshwaram</v>
      </c>
      <c r="I793" s="1"/>
      <c r="J793" s="1" t="str">
        <f ca="1">IFERROR(__xludf.DUMMYFUNCTION("""COMPUTED_VALUE"""),"4d 15h 35m")</f>
        <v>4d 15h 35m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>
      <c r="A794" s="1">
        <f ca="1">IFERROR(__xludf.DUMMYFUNCTION("""COMPUTED_VALUE"""),133)</f>
        <v>133</v>
      </c>
      <c r="B794" s="1" t="str">
        <f ca="1">IFERROR(__xludf.DUMMYFUNCTION("""COMPUTED_VALUE"""),"NE1_KA04B7111_Tanker")</f>
        <v>NE1_KA04B7111_Tanker</v>
      </c>
      <c r="C794" s="1" t="str">
        <f ca="1">IFERROR(__xludf.DUMMYFUNCTION("""COMPUTED_VALUE"""),"ne1_ka04b7111_tanker")</f>
        <v>ne1_ka04b7111_tanker</v>
      </c>
      <c r="D794" s="2">
        <f ca="1">IFERROR(__xludf.DUMMYFUNCTION("""COMPUTED_VALUE"""),44795)</f>
        <v>44795</v>
      </c>
      <c r="E794" s="3">
        <f ca="1">IFERROR(__xludf.DUMMYFUNCTION("""COMPUTED_VALUE"""),0.803518518518103)</f>
        <v>0.80351851851810296</v>
      </c>
      <c r="F794" s="1">
        <f ca="1">IFERROR(__xludf.DUMMYFUNCTION("""COMPUTED_VALUE"""),12616)</f>
        <v>12616</v>
      </c>
      <c r="G794" s="1" t="str">
        <f ca="1">IFERROR(__xludf.DUMMYFUNCTION("""COMPUTED_VALUE"""),"13.0113/77.5677")</f>
        <v>13.0113/77.5677</v>
      </c>
      <c r="H794" s="1" t="str">
        <f ca="1">IFERROR(__xludf.DUMMYFUNCTION("""COMPUTED_VALUE"""),"Malleshwaram")</f>
        <v>Malleshwaram</v>
      </c>
      <c r="I794" s="1"/>
      <c r="J794" s="1" t="str">
        <f ca="1">IFERROR(__xludf.DUMMYFUNCTION("""COMPUTED_VALUE"""),"4d 15h 36m")</f>
        <v>4d 15h 36m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>
      <c r="A795" s="1">
        <f ca="1">IFERROR(__xludf.DUMMYFUNCTION("""COMPUTED_VALUE"""),94)</f>
        <v>94</v>
      </c>
      <c r="B795" s="1" t="str">
        <f ca="1">IFERROR(__xludf.DUMMYFUNCTION("""COMPUTED_VALUE"""),"NE1_KA04B7111_Tanker")</f>
        <v>NE1_KA04B7111_Tanker</v>
      </c>
      <c r="C795" s="1" t="str">
        <f ca="1">IFERROR(__xludf.DUMMYFUNCTION("""COMPUTED_VALUE"""),"ne1_ka04b7111_tanker")</f>
        <v>ne1_ka04b7111_tanker</v>
      </c>
      <c r="D795" s="2">
        <f ca="1">IFERROR(__xludf.DUMMYFUNCTION("""COMPUTED_VALUE"""),44816)</f>
        <v>44816</v>
      </c>
      <c r="E795" s="3">
        <f ca="1">IFERROR(__xludf.DUMMYFUNCTION("""COMPUTED_VALUE"""),0.694166666668024)</f>
        <v>0.69416666666802396</v>
      </c>
      <c r="F795" s="1">
        <f ca="1">IFERROR(__xludf.DUMMYFUNCTION("""COMPUTED_VALUE"""),12713)</f>
        <v>12713</v>
      </c>
      <c r="G795" s="1" t="str">
        <f ca="1">IFERROR(__xludf.DUMMYFUNCTION("""COMPUTED_VALUE"""),"13.0101/77.5666")</f>
        <v>13.0101/77.5666</v>
      </c>
      <c r="H795" s="1" t="str">
        <f ca="1">IFERROR(__xludf.DUMMYFUNCTION("""COMPUTED_VALUE"""),"Malleshwaram")</f>
        <v>Malleshwaram</v>
      </c>
      <c r="I795" s="1"/>
      <c r="J795" s="1" t="str">
        <f ca="1">IFERROR(__xludf.DUMMYFUNCTION("""COMPUTED_VALUE"""),"4d 15h 37m")</f>
        <v>4d 15h 37m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>
      <c r="A796" s="1">
        <f ca="1">IFERROR(__xludf.DUMMYFUNCTION("""COMPUTED_VALUE"""),97)</f>
        <v>97</v>
      </c>
      <c r="B796" s="1" t="str">
        <f ca="1">IFERROR(__xludf.DUMMYFUNCTION("""COMPUTED_VALUE"""),"NE1_KA04B7111_Tanker")</f>
        <v>NE1_KA04B7111_Tanker</v>
      </c>
      <c r="C796" s="1" t="str">
        <f ca="1">IFERROR(__xludf.DUMMYFUNCTION("""COMPUTED_VALUE"""),"ne1_ka04b7111_tanker")</f>
        <v>ne1_ka04b7111_tanker</v>
      </c>
      <c r="D796" s="2">
        <f ca="1">IFERROR(__xludf.DUMMYFUNCTION("""COMPUTED_VALUE"""),44856)</f>
        <v>44856</v>
      </c>
      <c r="E796" s="3">
        <f ca="1">IFERROR(__xludf.DUMMYFUNCTION("""COMPUTED_VALUE"""),0.070277777776937)</f>
        <v>7.0277777776937E-2</v>
      </c>
      <c r="F796" s="1">
        <f ca="1">IFERROR(__xludf.DUMMYFUNCTION("""COMPUTED_VALUE"""),12847)</f>
        <v>12847</v>
      </c>
      <c r="G796" s="1" t="str">
        <f ca="1">IFERROR(__xludf.DUMMYFUNCTION("""COMPUTED_VALUE"""),"13.0113/77.5679")</f>
        <v>13.0113/77.5679</v>
      </c>
      <c r="H796" s="1" t="str">
        <f ca="1">IFERROR(__xludf.DUMMYFUNCTION("""COMPUTED_VALUE"""),"Malleshwaram")</f>
        <v>Malleshwaram</v>
      </c>
      <c r="I796" s="1"/>
      <c r="J796" s="1" t="str">
        <f ca="1">IFERROR(__xludf.DUMMYFUNCTION("""COMPUTED_VALUE"""),"4d 15h 37m")</f>
        <v>4d 15h 37m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>
      <c r="A797" s="1">
        <f ca="1">IFERROR(__xludf.DUMMYFUNCTION("""COMPUTED_VALUE"""),137)</f>
        <v>137</v>
      </c>
      <c r="B797" s="1" t="str">
        <f ca="1">IFERROR(__xludf.DUMMYFUNCTION("""COMPUTED_VALUE"""),"NE1_KA04B7111_TANKER")</f>
        <v>NE1_KA04B7111_TANKER</v>
      </c>
      <c r="C797" s="1" t="str">
        <f ca="1">IFERROR(__xludf.DUMMYFUNCTION("""COMPUTED_VALUE"""),"ne1_ka04b7111_tanker")</f>
        <v>ne1_ka04b7111_tanker</v>
      </c>
      <c r="D797" s="2">
        <f ca="1">IFERROR(__xludf.DUMMYFUNCTION("""COMPUTED_VALUE"""),44763)</f>
        <v>44763</v>
      </c>
      <c r="E797" s="3">
        <f ca="1">IFERROR(__xludf.DUMMYFUNCTION("""COMPUTED_VALUE"""),0.45291666666526)</f>
        <v>0.45291666666525998</v>
      </c>
      <c r="F797" s="1">
        <f ca="1">IFERROR(__xludf.DUMMYFUNCTION("""COMPUTED_VALUE"""),12606)</f>
        <v>12606</v>
      </c>
      <c r="G797" s="1" t="str">
        <f ca="1">IFERROR(__xludf.DUMMYFUNCTION("""COMPUTED_VALUE"""),"13.0121/77.5671")</f>
        <v>13.0121/77.5671</v>
      </c>
      <c r="H797" s="1" t="str">
        <f ca="1">IFERROR(__xludf.DUMMYFUNCTION("""COMPUTED_VALUE"""),"Malleshwaram")</f>
        <v>Malleshwaram</v>
      </c>
      <c r="I797" s="1"/>
      <c r="J797" s="1" t="str">
        <f ca="1">IFERROR(__xludf.DUMMYFUNCTION("""COMPUTED_VALUE"""),"0d 00h 00m")</f>
        <v>0d 00h 00m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>
      <c r="A798" s="1">
        <f ca="1">IFERROR(__xludf.DUMMYFUNCTION("""COMPUTED_VALUE"""),135)</f>
        <v>135</v>
      </c>
      <c r="B798" s="1" t="str">
        <f ca="1">IFERROR(__xludf.DUMMYFUNCTION("""COMPUTED_VALUE"""),"NE1_KA04B7111_TANKER")</f>
        <v>NE1_KA04B7111_TANKER</v>
      </c>
      <c r="C798" s="1" t="str">
        <f ca="1">IFERROR(__xludf.DUMMYFUNCTION("""COMPUTED_VALUE"""),"ne1_ka04b7111_tanker")</f>
        <v>ne1_ka04b7111_tanker</v>
      </c>
      <c r="D798" s="2">
        <f ca="1">IFERROR(__xludf.DUMMYFUNCTION("""COMPUTED_VALUE"""),44856)</f>
        <v>44856</v>
      </c>
      <c r="E798" s="3">
        <f ca="1">IFERROR(__xludf.DUMMYFUNCTION("""COMPUTED_VALUE"""),0.070277777776937)</f>
        <v>7.0277777776937E-2</v>
      </c>
      <c r="F798" s="1">
        <f ca="1">IFERROR(__xludf.DUMMYFUNCTION("""COMPUTED_VALUE"""),12847)</f>
        <v>12847</v>
      </c>
      <c r="G798" s="1" t="str">
        <f ca="1">IFERROR(__xludf.DUMMYFUNCTION("""COMPUTED_VALUE"""),"13.0113/77.5679")</f>
        <v>13.0113/77.5679</v>
      </c>
      <c r="H798" s="1" t="str">
        <f ca="1">IFERROR(__xludf.DUMMYFUNCTION("""COMPUTED_VALUE"""),"Malleshwaram")</f>
        <v>Malleshwaram</v>
      </c>
      <c r="I798" s="1"/>
      <c r="J798" s="1" t="str">
        <f ca="1">IFERROR(__xludf.DUMMYFUNCTION("""COMPUTED_VALUE"""),"0d 00h 00m")</f>
        <v>0d 00h 00m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>
      <c r="A799" s="1">
        <f ca="1">IFERROR(__xludf.DUMMYFUNCTION("""COMPUTED_VALUE"""),137)</f>
        <v>137</v>
      </c>
      <c r="B799" s="1" t="str">
        <f ca="1">IFERROR(__xludf.DUMMYFUNCTION("""COMPUTED_VALUE"""),"NE1_KA04B7111_TANKER")</f>
        <v>NE1_KA04B7111_TANKER</v>
      </c>
      <c r="C799" s="1" t="str">
        <f ca="1">IFERROR(__xludf.DUMMYFUNCTION("""COMPUTED_VALUE"""),"ne1_ka04b7111_tanker")</f>
        <v>ne1_ka04b7111_tanker</v>
      </c>
      <c r="D799" s="2">
        <f ca="1">IFERROR(__xludf.DUMMYFUNCTION("""COMPUTED_VALUE"""),44943)</f>
        <v>44943</v>
      </c>
      <c r="E799" s="3">
        <f ca="1">IFERROR(__xludf.DUMMYFUNCTION("""COMPUTED_VALUE"""),0.661238425924239)</f>
        <v>0.66123842592423898</v>
      </c>
      <c r="F799" s="1">
        <f ca="1">IFERROR(__xludf.DUMMYFUNCTION("""COMPUTED_VALUE"""),13397)</f>
        <v>13397</v>
      </c>
      <c r="G799" s="1" t="str">
        <f ca="1">IFERROR(__xludf.DUMMYFUNCTION("""COMPUTED_VALUE"""),"13.0116/77.5675")</f>
        <v>13.0116/77.5675</v>
      </c>
      <c r="H799" s="1" t="str">
        <f ca="1">IFERROR(__xludf.DUMMYFUNCTION("""COMPUTED_VALUE"""),"Malleshwaram")</f>
        <v>Malleshwaram</v>
      </c>
      <c r="I799" s="1"/>
      <c r="J799" s="1" t="str">
        <f ca="1">IFERROR(__xludf.DUMMYFUNCTION("""COMPUTED_VALUE"""),"0d 00h 00m")</f>
        <v>0d 00h 00m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>
      <c r="A800" s="1">
        <f ca="1">IFERROR(__xludf.DUMMYFUNCTION("""COMPUTED_VALUE"""),146)</f>
        <v>146</v>
      </c>
      <c r="B800" s="1" t="str">
        <f ca="1">IFERROR(__xludf.DUMMYFUNCTION("""COMPUTED_VALUE"""),"NE1_KA04B7111_TANKER")</f>
        <v>NE1_KA04B7111_TANKER</v>
      </c>
      <c r="C800" s="1" t="str">
        <f ca="1">IFERROR(__xludf.DUMMYFUNCTION("""COMPUTED_VALUE"""),"ne1_ka04b7111_tanker")</f>
        <v>ne1_ka04b7111_tanker</v>
      </c>
      <c r="D800" s="2">
        <f ca="1">IFERROR(__xludf.DUMMYFUNCTION("""COMPUTED_VALUE"""),45041)</f>
        <v>45041</v>
      </c>
      <c r="E800" s="3">
        <f ca="1">IFERROR(__xludf.DUMMYFUNCTION("""COMPUTED_VALUE"""),0.724768518517521)</f>
        <v>0.724768518517521</v>
      </c>
      <c r="F800" s="1">
        <f ca="1">IFERROR(__xludf.DUMMYFUNCTION("""COMPUTED_VALUE"""),13735)</f>
        <v>13735</v>
      </c>
      <c r="G800" s="1" t="str">
        <f ca="1">IFERROR(__xludf.DUMMYFUNCTION("""COMPUTED_VALUE"""),"13.0112/77.5676")</f>
        <v>13.0112/77.5676</v>
      </c>
      <c r="H800" s="1" t="str">
        <f ca="1">IFERROR(__xludf.DUMMYFUNCTION("""COMPUTED_VALUE"""),"Malleshwaram")</f>
        <v>Malleshwaram</v>
      </c>
      <c r="I800" s="1"/>
      <c r="J800" s="1" t="str">
        <f ca="1">IFERROR(__xludf.DUMMYFUNCTION("""COMPUTED_VALUE"""),"0d 00h 00m")</f>
        <v>0d 00h 00m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>
      <c r="A801" s="1">
        <f ca="1">IFERROR(__xludf.DUMMYFUNCTION("""COMPUTED_VALUE"""),145)</f>
        <v>145</v>
      </c>
      <c r="B801" s="1" t="str">
        <f ca="1">IFERROR(__xludf.DUMMYFUNCTION("""COMPUTED_VALUE"""),"NE1_KA04B7111_TANKER")</f>
        <v>NE1_KA04B7111_TANKER</v>
      </c>
      <c r="C801" s="1" t="str">
        <f ca="1">IFERROR(__xludf.DUMMYFUNCTION("""COMPUTED_VALUE"""),"ne1_ka04b7111_tanker")</f>
        <v>ne1_ka04b7111_tanker</v>
      </c>
      <c r="D801" s="2">
        <f ca="1">IFERROR(__xludf.DUMMYFUNCTION("""COMPUTED_VALUE"""),45131)</f>
        <v>45131</v>
      </c>
      <c r="E801" s="3">
        <f ca="1">IFERROR(__xludf.DUMMYFUNCTION("""COMPUTED_VALUE"""),0.606493055554892)</f>
        <v>0.60649305555489197</v>
      </c>
      <c r="F801" s="1">
        <f ca="1">IFERROR(__xludf.DUMMYFUNCTION("""COMPUTED_VALUE"""),14101)</f>
        <v>14101</v>
      </c>
      <c r="G801" s="1" t="str">
        <f ca="1">IFERROR(__xludf.DUMMYFUNCTION("""COMPUTED_VALUE"""),"13.0112/77.5675")</f>
        <v>13.0112/77.5675</v>
      </c>
      <c r="H801" s="1" t="str">
        <f ca="1">IFERROR(__xludf.DUMMYFUNCTION("""COMPUTED_VALUE"""),"Malleshwaram")</f>
        <v>Malleshwaram</v>
      </c>
      <c r="I801" s="1"/>
      <c r="J801" s="1" t="str">
        <f ca="1">IFERROR(__xludf.DUMMYFUNCTION("""COMPUTED_VALUE"""),"0d 00h 00m")</f>
        <v>0d 00h 00m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>
      <c r="A802" s="1">
        <f ca="1">IFERROR(__xludf.DUMMYFUNCTION("""COMPUTED_VALUE"""),149)</f>
        <v>149</v>
      </c>
      <c r="B802" s="1" t="str">
        <f ca="1">IFERROR(__xludf.DUMMYFUNCTION("""COMPUTED_VALUE"""),"NE1_KA04B7111_TANKER")</f>
        <v>NE1_KA04B7111_TANKER</v>
      </c>
      <c r="C802" s="1" t="str">
        <f ca="1">IFERROR(__xludf.DUMMYFUNCTION("""COMPUTED_VALUE"""),"ne1_ka04b7111_tanker")</f>
        <v>ne1_ka04b7111_tanker</v>
      </c>
      <c r="D802" s="2">
        <f ca="1">IFERROR(__xludf.DUMMYFUNCTION("""COMPUTED_VALUE"""),45226)</f>
        <v>45226</v>
      </c>
      <c r="E802" s="3">
        <f ca="1">IFERROR(__xludf.DUMMYFUNCTION("""COMPUTED_VALUE"""),0.479618055556784)</f>
        <v>0.479618055556784</v>
      </c>
      <c r="F802" s="1">
        <f ca="1">IFERROR(__xludf.DUMMYFUNCTION("""COMPUTED_VALUE"""),14771)</f>
        <v>14771</v>
      </c>
      <c r="G802" s="1" t="str">
        <f ca="1">IFERROR(__xludf.DUMMYFUNCTION("""COMPUTED_VALUE"""),"13.0120/77.5669")</f>
        <v>13.0120/77.5669</v>
      </c>
      <c r="H802" s="1" t="str">
        <f ca="1">IFERROR(__xludf.DUMMYFUNCTION("""COMPUTED_VALUE"""),"Malleshwaram")</f>
        <v>Malleshwaram</v>
      </c>
      <c r="I802" s="1"/>
      <c r="J802" s="1" t="str">
        <f ca="1">IFERROR(__xludf.DUMMYFUNCTION("""COMPUTED_VALUE"""),"0d 00h 00m")</f>
        <v>0d 00h 00m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>
      <c r="A803" s="1">
        <f ca="1">IFERROR(__xludf.DUMMYFUNCTION("""COMPUTED_VALUE"""),181)</f>
        <v>181</v>
      </c>
      <c r="B803" s="1" t="str">
        <f ca="1">IFERROR(__xludf.DUMMYFUNCTION("""COMPUTED_VALUE"""),"NE1_KA04B7111_TANKER")</f>
        <v>NE1_KA04B7111_TANKER</v>
      </c>
      <c r="C803" s="1" t="str">
        <f ca="1">IFERROR(__xludf.DUMMYFUNCTION("""COMPUTED_VALUE"""),"ne1_ka04b7111_tanker")</f>
        <v>ne1_ka04b7111_tanker</v>
      </c>
      <c r="D803" s="2">
        <f ca="1">IFERROR(__xludf.DUMMYFUNCTION("""COMPUTED_VALUE"""),45315)</f>
        <v>45315</v>
      </c>
      <c r="E803" s="3">
        <f ca="1">IFERROR(__xludf.DUMMYFUNCTION("""COMPUTED_VALUE"""),0.787210648148175)</f>
        <v>0.78721064814817499</v>
      </c>
      <c r="F803" s="1">
        <f ca="1">IFERROR(__xludf.DUMMYFUNCTION("""COMPUTED_VALUE"""),15068)</f>
        <v>15068</v>
      </c>
      <c r="G803" s="1" t="str">
        <f ca="1">IFERROR(__xludf.DUMMYFUNCTION("""COMPUTED_VALUE"""),"13.0112/77.5676")</f>
        <v>13.0112/77.5676</v>
      </c>
      <c r="H803" s="1" t="str">
        <f ca="1">IFERROR(__xludf.DUMMYFUNCTION("""COMPUTED_VALUE"""),"Malleshwaram")</f>
        <v>Malleshwaram</v>
      </c>
      <c r="I803" s="1"/>
      <c r="J803" s="1" t="str">
        <f ca="1">IFERROR(__xludf.DUMMYFUNCTION("""COMPUTED_VALUE"""),"0d 00h 00m")</f>
        <v>0d 00h 00m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>
      <c r="A804" s="1">
        <f ca="1">IFERROR(__xludf.DUMMYFUNCTION("""COMPUTED_VALUE"""),147)</f>
        <v>147</v>
      </c>
      <c r="B804" s="1" t="str">
        <f ca="1">IFERROR(__xludf.DUMMYFUNCTION("""COMPUTED_VALUE"""),"NE1_KA04B7112_Tanker")</f>
        <v>NE1_KA04B7112_Tanker</v>
      </c>
      <c r="C804" s="1" t="str">
        <f ca="1">IFERROR(__xludf.DUMMYFUNCTION("""COMPUTED_VALUE"""),"ne1_ka04b7112_tanker")</f>
        <v>ne1_ka04b7112_tanker</v>
      </c>
      <c r="D804" s="2">
        <f ca="1">IFERROR(__xludf.DUMMYFUNCTION("""COMPUTED_VALUE"""),44707)</f>
        <v>44707</v>
      </c>
      <c r="E804" s="3">
        <f ca="1">IFERROR(__xludf.DUMMYFUNCTION("""COMPUTED_VALUE"""),0.998379629629198)</f>
        <v>0.99837962962919802</v>
      </c>
      <c r="F804" s="1">
        <f ca="1">IFERROR(__xludf.DUMMYFUNCTION("""COMPUTED_VALUE"""),74973)</f>
        <v>74973</v>
      </c>
      <c r="G804" s="1" t="str">
        <f ca="1">IFERROR(__xludf.DUMMYFUNCTION("""COMPUTED_VALUE"""),"13.0115/77.5675")</f>
        <v>13.0115/77.5675</v>
      </c>
      <c r="H804" s="1" t="str">
        <f ca="1">IFERROR(__xludf.DUMMYFUNCTION("""COMPUTED_VALUE"""),"Malleshwaram")</f>
        <v>Malleshwaram</v>
      </c>
      <c r="I804" s="1"/>
      <c r="J804" s="1" t="str">
        <f ca="1">IFERROR(__xludf.DUMMYFUNCTION("""COMPUTED_VALUE"""),"0d 01h 16m")</f>
        <v>0d 01h 16m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>
      <c r="A805" s="1">
        <f ca="1">IFERROR(__xludf.DUMMYFUNCTION("""COMPUTED_VALUE"""),153)</f>
        <v>153</v>
      </c>
      <c r="B805" s="1" t="str">
        <f ca="1">IFERROR(__xludf.DUMMYFUNCTION("""COMPUTED_VALUE"""),"NE1_KA04B7112_Tanker")</f>
        <v>NE1_KA04B7112_Tanker</v>
      </c>
      <c r="C805" s="1" t="str">
        <f ca="1">IFERROR(__xludf.DUMMYFUNCTION("""COMPUTED_VALUE"""),"ne1_ka04b7112_tanker")</f>
        <v>ne1_ka04b7112_tanker</v>
      </c>
      <c r="D805" s="2">
        <f ca="1">IFERROR(__xludf.DUMMYFUNCTION("""COMPUTED_VALUE"""),44738)</f>
        <v>44738</v>
      </c>
      <c r="E805" s="3">
        <f ca="1">IFERROR(__xludf.DUMMYFUNCTION("""COMPUTED_VALUE"""),0.970810185186564)</f>
        <v>0.97081018518656403</v>
      </c>
      <c r="F805" s="1">
        <f ca="1">IFERROR(__xludf.DUMMYFUNCTION("""COMPUTED_VALUE"""),76164)</f>
        <v>76164</v>
      </c>
      <c r="G805" s="1" t="str">
        <f ca="1">IFERROR(__xludf.DUMMYFUNCTION("""COMPUTED_VALUE"""),"13.0114/77.5671")</f>
        <v>13.0114/77.5671</v>
      </c>
      <c r="H805" s="1" t="str">
        <f ca="1">IFERROR(__xludf.DUMMYFUNCTION("""COMPUTED_VALUE"""),"Malleshwaram")</f>
        <v>Malleshwaram</v>
      </c>
      <c r="I805" s="1"/>
      <c r="J805" s="1" t="str">
        <f ca="1">IFERROR(__xludf.DUMMYFUNCTION("""COMPUTED_VALUE"""),"0d 01h 17m")</f>
        <v>0d 01h 17m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>
      <c r="A806" s="1">
        <f ca="1">IFERROR(__xludf.DUMMYFUNCTION("""COMPUTED_VALUE"""),159)</f>
        <v>159</v>
      </c>
      <c r="B806" s="1" t="str">
        <f ca="1">IFERROR(__xludf.DUMMYFUNCTION("""COMPUTED_VALUE"""),"NE1_KA04B7112_Tanker")</f>
        <v>NE1_KA04B7112_Tanker</v>
      </c>
      <c r="C806" s="1" t="str">
        <f ca="1">IFERROR(__xludf.DUMMYFUNCTION("""COMPUTED_VALUE"""),"ne1_ka04b7112_tanker")</f>
        <v>ne1_ka04b7112_tanker</v>
      </c>
      <c r="D806" s="2">
        <f ca="1">IFERROR(__xludf.DUMMYFUNCTION("""COMPUTED_VALUE"""),44768)</f>
        <v>44768</v>
      </c>
      <c r="E806" s="3">
        <f ca="1">IFERROR(__xludf.DUMMYFUNCTION("""COMPUTED_VALUE"""),0.99880787037182)</f>
        <v>0.99880787037181995</v>
      </c>
      <c r="F806" s="1">
        <f ca="1">IFERROR(__xludf.DUMMYFUNCTION("""COMPUTED_VALUE"""),77504)</f>
        <v>77504</v>
      </c>
      <c r="G806" s="1" t="str">
        <f ca="1">IFERROR(__xludf.DUMMYFUNCTION("""COMPUTED_VALUE"""),"13.0110/77.5674")</f>
        <v>13.0110/77.5674</v>
      </c>
      <c r="H806" s="1" t="str">
        <f ca="1">IFERROR(__xludf.DUMMYFUNCTION("""COMPUTED_VALUE"""),"Malleshwaram")</f>
        <v>Malleshwaram</v>
      </c>
      <c r="I806" s="1"/>
      <c r="J806" s="1" t="str">
        <f ca="1">IFERROR(__xludf.DUMMYFUNCTION("""COMPUTED_VALUE"""),"0d 01h 17m")</f>
        <v>0d 01h 17m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>
      <c r="A807" s="1">
        <f ca="1">IFERROR(__xludf.DUMMYFUNCTION("""COMPUTED_VALUE"""),172)</f>
        <v>172</v>
      </c>
      <c r="B807" s="1" t="str">
        <f ca="1">IFERROR(__xludf.DUMMYFUNCTION("""COMPUTED_VALUE"""),"NE1_KA04B7112_Tanker")</f>
        <v>NE1_KA04B7112_Tanker</v>
      </c>
      <c r="C807" s="1" t="str">
        <f ca="1">IFERROR(__xludf.DUMMYFUNCTION("""COMPUTED_VALUE"""),"ne1_ka04b7112_tanker")</f>
        <v>ne1_ka04b7112_tanker</v>
      </c>
      <c r="D807" s="2">
        <f ca="1">IFERROR(__xludf.DUMMYFUNCTION("""COMPUTED_VALUE"""),44799)</f>
        <v>44799</v>
      </c>
      <c r="E807" s="3">
        <f ca="1">IFERROR(__xludf.DUMMYFUNCTION("""COMPUTED_VALUE"""),0.998969907406717)</f>
        <v>0.99896990740671698</v>
      </c>
      <c r="F807" s="1">
        <f ca="1">IFERROR(__xludf.DUMMYFUNCTION("""COMPUTED_VALUE"""),81593)</f>
        <v>81593</v>
      </c>
      <c r="G807" s="1" t="str">
        <f ca="1">IFERROR(__xludf.DUMMYFUNCTION("""COMPUTED_VALUE"""),"13.0110/77.5673")</f>
        <v>13.0110/77.5673</v>
      </c>
      <c r="H807" s="1" t="str">
        <f ca="1">IFERROR(__xludf.DUMMYFUNCTION("""COMPUTED_VALUE"""),"Malleshwaram")</f>
        <v>Malleshwaram</v>
      </c>
      <c r="I807" s="1"/>
      <c r="J807" s="1" t="str">
        <f ca="1">IFERROR(__xludf.DUMMYFUNCTION("""COMPUTED_VALUE"""),"0d 01h 18m")</f>
        <v>0d 01h 18m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>
      <c r="A808" s="1">
        <f ca="1">IFERROR(__xludf.DUMMYFUNCTION("""COMPUTED_VALUE"""),212)</f>
        <v>212</v>
      </c>
      <c r="B808" s="1" t="str">
        <f ca="1">IFERROR(__xludf.DUMMYFUNCTION("""COMPUTED_VALUE"""),"NE1_KA04B7112_Tanker")</f>
        <v>NE1_KA04B7112_Tanker</v>
      </c>
      <c r="C808" s="1" t="str">
        <f ca="1">IFERROR(__xludf.DUMMYFUNCTION("""COMPUTED_VALUE"""),"ne1_ka04b7112_tanker")</f>
        <v>ne1_ka04b7112_tanker</v>
      </c>
      <c r="D808" s="2">
        <f ca="1">IFERROR(__xludf.DUMMYFUNCTION("""COMPUTED_VALUE"""),44830)</f>
        <v>44830</v>
      </c>
      <c r="E808" s="3">
        <f ca="1">IFERROR(__xludf.DUMMYFUNCTION("""COMPUTED_VALUE"""),0.99921296296452)</f>
        <v>0.99921296296452</v>
      </c>
      <c r="F808" s="1">
        <f ca="1">IFERROR(__xludf.DUMMYFUNCTION("""COMPUTED_VALUE"""),84128)</f>
        <v>84128</v>
      </c>
      <c r="G808" s="1" t="str">
        <f ca="1">IFERROR(__xludf.DUMMYFUNCTION("""COMPUTED_VALUE"""),"13.0113/77.5674")</f>
        <v>13.0113/77.5674</v>
      </c>
      <c r="H808" s="1" t="str">
        <f ca="1">IFERROR(__xludf.DUMMYFUNCTION("""COMPUTED_VALUE"""),"Malleshwaram")</f>
        <v>Malleshwaram</v>
      </c>
      <c r="I808" s="1"/>
      <c r="J808" s="1" t="str">
        <f ca="1">IFERROR(__xludf.DUMMYFUNCTION("""COMPUTED_VALUE"""),"0d 01h 19m")</f>
        <v>0d 01h 19m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>
      <c r="A809" s="1">
        <f ca="1">IFERROR(__xludf.DUMMYFUNCTION("""COMPUTED_VALUE"""),150)</f>
        <v>150</v>
      </c>
      <c r="B809" s="1" t="str">
        <f ca="1">IFERROR(__xludf.DUMMYFUNCTION("""COMPUTED_VALUE"""),"NE1_KA04B7112_Tanker")</f>
        <v>NE1_KA04B7112_Tanker</v>
      </c>
      <c r="C809" s="1" t="str">
        <f ca="1">IFERROR(__xludf.DUMMYFUNCTION("""COMPUTED_VALUE"""),"ne1_ka04b7112_tanker")</f>
        <v>ne1_ka04b7112_tanker</v>
      </c>
      <c r="D809" s="2">
        <f ca="1">IFERROR(__xludf.DUMMYFUNCTION("""COMPUTED_VALUE"""),44860)</f>
        <v>44860</v>
      </c>
      <c r="E809" s="3">
        <f ca="1">IFERROR(__xludf.DUMMYFUNCTION("""COMPUTED_VALUE"""),0.991307870372111)</f>
        <v>0.99130787037211099</v>
      </c>
      <c r="F809" s="1">
        <f ca="1">IFERROR(__xludf.DUMMYFUNCTION("""COMPUTED_VALUE"""),86762)</f>
        <v>86762</v>
      </c>
      <c r="G809" s="1" t="str">
        <f ca="1">IFERROR(__xludf.DUMMYFUNCTION("""COMPUTED_VALUE"""),"13.0112/77.5671")</f>
        <v>13.0112/77.5671</v>
      </c>
      <c r="H809" s="1" t="str">
        <f ca="1">IFERROR(__xludf.DUMMYFUNCTION("""COMPUTED_VALUE"""),"Malleshwaram")</f>
        <v>Malleshwaram</v>
      </c>
      <c r="I809" s="1"/>
      <c r="J809" s="1" t="str">
        <f ca="1">IFERROR(__xludf.DUMMYFUNCTION("""COMPUTED_VALUE"""),"0d 01h 20m")</f>
        <v>0d 01h 20m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>
      <c r="A810" s="1">
        <f ca="1">IFERROR(__xludf.DUMMYFUNCTION("""COMPUTED_VALUE"""),146)</f>
        <v>146</v>
      </c>
      <c r="B810" s="1" t="str">
        <f ca="1">IFERROR(__xludf.DUMMYFUNCTION("""COMPUTED_VALUE"""),"NE1_KA04B7112_TANKER")</f>
        <v>NE1_KA04B7112_TANKER</v>
      </c>
      <c r="C810" s="1" t="str">
        <f ca="1">IFERROR(__xludf.DUMMYFUNCTION("""COMPUTED_VALUE"""),"ne1_ka04b7112_tanker")</f>
        <v>ne1_ka04b7112_tanker</v>
      </c>
      <c r="D810" s="2">
        <f ca="1">IFERROR(__xludf.DUMMYFUNCTION("""COMPUTED_VALUE"""),44769)</f>
        <v>44769</v>
      </c>
      <c r="E810" s="3">
        <f ca="1">IFERROR(__xludf.DUMMYFUNCTION("""COMPUTED_VALUE"""),0.996435185184964)</f>
        <v>0.99643518518496399</v>
      </c>
      <c r="F810" s="1">
        <f ca="1">IFERROR(__xludf.DUMMYFUNCTION("""COMPUTED_VALUE"""),77524)</f>
        <v>77524</v>
      </c>
      <c r="G810" s="1" t="str">
        <f ca="1">IFERROR(__xludf.DUMMYFUNCTION("""COMPUTED_VALUE"""),"13.0111/77.5673")</f>
        <v>13.0111/77.5673</v>
      </c>
      <c r="H810" s="1" t="str">
        <f ca="1">IFERROR(__xludf.DUMMYFUNCTION("""COMPUTED_VALUE"""),"Malleshwaram")</f>
        <v>Malleshwaram</v>
      </c>
      <c r="I810" s="1"/>
      <c r="J810" s="1" t="str">
        <f ca="1">IFERROR(__xludf.DUMMYFUNCTION("""COMPUTED_VALUE"""),"224d 00h 25m")</f>
        <v>224d 00h 25m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>
      <c r="A811" s="1">
        <f ca="1">IFERROR(__xludf.DUMMYFUNCTION("""COMPUTED_VALUE"""),142)</f>
        <v>142</v>
      </c>
      <c r="B811" s="1" t="str">
        <f ca="1">IFERROR(__xludf.DUMMYFUNCTION("""COMPUTED_VALUE"""),"NE1_KA04B7112_TANKER")</f>
        <v>NE1_KA04B7112_TANKER</v>
      </c>
      <c r="C811" s="1" t="str">
        <f ca="1">IFERROR(__xludf.DUMMYFUNCTION("""COMPUTED_VALUE"""),"ne1_ka04b7112_tanker")</f>
        <v>ne1_ka04b7112_tanker</v>
      </c>
      <c r="D811" s="2">
        <f ca="1">IFERROR(__xludf.DUMMYFUNCTION("""COMPUTED_VALUE"""),44860)</f>
        <v>44860</v>
      </c>
      <c r="E811" s="3">
        <f ca="1">IFERROR(__xludf.DUMMYFUNCTION("""COMPUTED_VALUE"""),0.991307870372111)</f>
        <v>0.99130787037211099</v>
      </c>
      <c r="F811" s="1">
        <f ca="1">IFERROR(__xludf.DUMMYFUNCTION("""COMPUTED_VALUE"""),86762)</f>
        <v>86762</v>
      </c>
      <c r="G811" s="1" t="str">
        <f ca="1">IFERROR(__xludf.DUMMYFUNCTION("""COMPUTED_VALUE"""),"13.0112/77.5671")</f>
        <v>13.0112/77.5671</v>
      </c>
      <c r="H811" s="1" t="str">
        <f ca="1">IFERROR(__xludf.DUMMYFUNCTION("""COMPUTED_VALUE"""),"Malleshwaram")</f>
        <v>Malleshwaram</v>
      </c>
      <c r="I811" s="1"/>
      <c r="J811" s="1" t="str">
        <f ca="1">IFERROR(__xludf.DUMMYFUNCTION("""COMPUTED_VALUE"""),"224d 00h 26m")</f>
        <v>224d 00h 26m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>
      <c r="A812" s="1">
        <f ca="1">IFERROR(__xludf.DUMMYFUNCTION("""COMPUTED_VALUE"""),147)</f>
        <v>147</v>
      </c>
      <c r="B812" s="1" t="str">
        <f ca="1">IFERROR(__xludf.DUMMYFUNCTION("""COMPUTED_VALUE"""),"NE1_KA04B7112_TANKER")</f>
        <v>NE1_KA04B7112_TANKER</v>
      </c>
      <c r="C812" s="1" t="str">
        <f ca="1">IFERROR(__xludf.DUMMYFUNCTION("""COMPUTED_VALUE"""),"ne1_ka04b7112_tanker")</f>
        <v>ne1_ka04b7112_tanker</v>
      </c>
      <c r="D812" s="2">
        <f ca="1">IFERROR(__xludf.DUMMYFUNCTION("""COMPUTED_VALUE"""),44952)</f>
        <v>44952</v>
      </c>
      <c r="E812" s="3">
        <f ca="1">IFERROR(__xludf.DUMMYFUNCTION("""COMPUTED_VALUE"""),0.998703703702631)</f>
        <v>0.99870370370263095</v>
      </c>
      <c r="F812" s="1">
        <f ca="1">IFERROR(__xludf.DUMMYFUNCTION("""COMPUTED_VALUE"""),90281)</f>
        <v>90281</v>
      </c>
      <c r="G812" s="1" t="str">
        <f ca="1">IFERROR(__xludf.DUMMYFUNCTION("""COMPUTED_VALUE"""),"13.0112/77.5673")</f>
        <v>13.0112/77.5673</v>
      </c>
      <c r="H812" s="1" t="str">
        <f ca="1">IFERROR(__xludf.DUMMYFUNCTION("""COMPUTED_VALUE"""),"Malleshwaram")</f>
        <v>Malleshwaram</v>
      </c>
      <c r="I812" s="1"/>
      <c r="J812" s="1" t="str">
        <f ca="1">IFERROR(__xludf.DUMMYFUNCTION("""COMPUTED_VALUE"""),"224d 00h 29m")</f>
        <v>224d 00h 29m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>
      <c r="A813" s="1">
        <f ca="1">IFERROR(__xludf.DUMMYFUNCTION("""COMPUTED_VALUE"""),137)</f>
        <v>137</v>
      </c>
      <c r="B813" s="1" t="str">
        <f ca="1">IFERROR(__xludf.DUMMYFUNCTION("""COMPUTED_VALUE"""),"NE1_KA04B7112_TANKER")</f>
        <v>NE1_KA04B7112_TANKER</v>
      </c>
      <c r="C813" s="1" t="str">
        <f ca="1">IFERROR(__xludf.DUMMYFUNCTION("""COMPUTED_VALUE"""),"ne1_ka04b7112_tanker")</f>
        <v>ne1_ka04b7112_tanker</v>
      </c>
      <c r="D813" s="2">
        <f ca="1">IFERROR(__xludf.DUMMYFUNCTION("""COMPUTED_VALUE"""),44969)</f>
        <v>44969</v>
      </c>
      <c r="E813" s="3">
        <f ca="1">IFERROR(__xludf.DUMMYFUNCTION("""COMPUTED_VALUE"""),0.426284722223499)</f>
        <v>0.426284722223499</v>
      </c>
      <c r="F813" s="1">
        <f ca="1">IFERROR(__xludf.DUMMYFUNCTION("""COMPUTED_VALUE"""),90677)</f>
        <v>90677</v>
      </c>
      <c r="G813" s="1" t="str">
        <f ca="1">IFERROR(__xludf.DUMMYFUNCTION("""COMPUTED_VALUE"""),"13.0111/77.5673")</f>
        <v>13.0111/77.5673</v>
      </c>
      <c r="H813" s="1" t="str">
        <f ca="1">IFERROR(__xludf.DUMMYFUNCTION("""COMPUTED_VALUE"""),"Malleshwaram")</f>
        <v>Malleshwaram</v>
      </c>
      <c r="I813" s="1"/>
      <c r="J813" s="1" t="str">
        <f ca="1">IFERROR(__xludf.DUMMYFUNCTION("""COMPUTED_VALUE"""),"224d 00h 30m")</f>
        <v>224d 00h 30m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>
      <c r="A814" s="1">
        <f ca="1">IFERROR(__xludf.DUMMYFUNCTION("""COMPUTED_VALUE"""),140)</f>
        <v>140</v>
      </c>
      <c r="B814" s="1" t="str">
        <f ca="1">IFERROR(__xludf.DUMMYFUNCTION("""COMPUTED_VALUE"""),"NE1_KA04B7112_TANKER")</f>
        <v>NE1_KA04B7112_TANKER</v>
      </c>
      <c r="C814" s="1" t="str">
        <f ca="1">IFERROR(__xludf.DUMMYFUNCTION("""COMPUTED_VALUE"""),"ne1_ka04b7112_tanker")</f>
        <v>ne1_ka04b7112_tanker</v>
      </c>
      <c r="D814" s="2">
        <f ca="1">IFERROR(__xludf.DUMMYFUNCTION("""COMPUTED_VALUE"""),45111)</f>
        <v>45111</v>
      </c>
      <c r="E814" s="3">
        <f ca="1">IFERROR(__xludf.DUMMYFUNCTION("""COMPUTED_VALUE"""),0.637418981481459)</f>
        <v>0.63741898148145903</v>
      </c>
      <c r="F814" s="1">
        <f ca="1">IFERROR(__xludf.DUMMYFUNCTION("""COMPUTED_VALUE"""),90683)</f>
        <v>90683</v>
      </c>
      <c r="G814" s="1" t="str">
        <f ca="1">IFERROR(__xludf.DUMMYFUNCTION("""COMPUTED_VALUE"""),"13.0111/77.5673")</f>
        <v>13.0111/77.5673</v>
      </c>
      <c r="H814" s="1" t="str">
        <f ca="1">IFERROR(__xludf.DUMMYFUNCTION("""COMPUTED_VALUE"""),"Malleshwaram")</f>
        <v>Malleshwaram</v>
      </c>
      <c r="I814" s="1"/>
      <c r="J814" s="1" t="str">
        <f ca="1">IFERROR(__xludf.DUMMYFUNCTION("""COMPUTED_VALUE"""),"224d 00h 31m")</f>
        <v>224d 00h 31m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>
      <c r="A815" s="1">
        <f ca="1">IFERROR(__xludf.DUMMYFUNCTION("""COMPUTED_VALUE"""),135)</f>
        <v>135</v>
      </c>
      <c r="B815" s="1" t="str">
        <f ca="1">IFERROR(__xludf.DUMMYFUNCTION("""COMPUTED_VALUE"""),"NE1_KA04B7112_TANKER")</f>
        <v>NE1_KA04B7112_TANKER</v>
      </c>
      <c r="C815" s="1" t="str">
        <f ca="1">IFERROR(__xludf.DUMMYFUNCTION("""COMPUTED_VALUE"""),"ne1_ka04b7112_tanker")</f>
        <v>ne1_ka04b7112_tanker</v>
      </c>
      <c r="D815" s="2">
        <f ca="1">IFERROR(__xludf.DUMMYFUNCTION("""COMPUTED_VALUE"""),45111)</f>
        <v>45111</v>
      </c>
      <c r="E815" s="3">
        <f ca="1">IFERROR(__xludf.DUMMYFUNCTION("""COMPUTED_VALUE"""),0.637418981481459)</f>
        <v>0.63741898148145903</v>
      </c>
      <c r="F815" s="1">
        <f ca="1">IFERROR(__xludf.DUMMYFUNCTION("""COMPUTED_VALUE"""),90683)</f>
        <v>90683</v>
      </c>
      <c r="G815" s="1" t="str">
        <f ca="1">IFERROR(__xludf.DUMMYFUNCTION("""COMPUTED_VALUE"""),"13.0111/77.5673")</f>
        <v>13.0111/77.5673</v>
      </c>
      <c r="H815" s="1" t="str">
        <f ca="1">IFERROR(__xludf.DUMMYFUNCTION("""COMPUTED_VALUE"""),"Malleshwaram")</f>
        <v>Malleshwaram</v>
      </c>
      <c r="I815" s="1"/>
      <c r="J815" s="1" t="str">
        <f ca="1">IFERROR(__xludf.DUMMYFUNCTION("""COMPUTED_VALUE"""),"224d 00h 32m")</f>
        <v>224d 00h 32m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>
      <c r="A816" s="1">
        <f ca="1">IFERROR(__xludf.DUMMYFUNCTION("""COMPUTED_VALUE"""),133)</f>
        <v>133</v>
      </c>
      <c r="B816" s="1" t="str">
        <f ca="1">IFERROR(__xludf.DUMMYFUNCTION("""COMPUTED_VALUE"""),"NE1_KA04B7112_TANKER")</f>
        <v>NE1_KA04B7112_TANKER</v>
      </c>
      <c r="C816" s="1" t="str">
        <f ca="1">IFERROR(__xludf.DUMMYFUNCTION("""COMPUTED_VALUE"""),"ne1_ka04b7112_tanker")</f>
        <v>ne1_ka04b7112_tanker</v>
      </c>
      <c r="D816" s="2">
        <f ca="1">IFERROR(__xludf.DUMMYFUNCTION("""COMPUTED_VALUE"""),45111)</f>
        <v>45111</v>
      </c>
      <c r="E816" s="3">
        <f ca="1">IFERROR(__xludf.DUMMYFUNCTION("""COMPUTED_VALUE"""),0.637418981481459)</f>
        <v>0.63741898148145903</v>
      </c>
      <c r="F816" s="1">
        <f ca="1">IFERROR(__xludf.DUMMYFUNCTION("""COMPUTED_VALUE"""),90683)</f>
        <v>90683</v>
      </c>
      <c r="G816" s="1" t="str">
        <f ca="1">IFERROR(__xludf.DUMMYFUNCTION("""COMPUTED_VALUE"""),"13.0111/77.5673")</f>
        <v>13.0111/77.5673</v>
      </c>
      <c r="H816" s="1" t="str">
        <f ca="1">IFERROR(__xludf.DUMMYFUNCTION("""COMPUTED_VALUE"""),"Malleshwaram")</f>
        <v>Malleshwaram</v>
      </c>
      <c r="I816" s="1"/>
      <c r="J816" s="1" t="str">
        <f ca="1">IFERROR(__xludf.DUMMYFUNCTION("""COMPUTED_VALUE"""),"224d 00h 33m")</f>
        <v>224d 00h 33m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>
      <c r="A817" s="1">
        <f ca="1">IFERROR(__xludf.DUMMYFUNCTION("""COMPUTED_VALUE"""),59)</f>
        <v>59</v>
      </c>
      <c r="B817" s="1" t="str">
        <f ca="1">IFERROR(__xludf.DUMMYFUNCTION("""COMPUTED_VALUE"""),"NE1_KA04C5136_Jetting")</f>
        <v>NE1_KA04C5136_Jetting</v>
      </c>
      <c r="C817" s="1" t="str">
        <f ca="1">IFERROR(__xludf.DUMMYFUNCTION("""COMPUTED_VALUE"""),"ne1_ka04c5136_jetting")</f>
        <v>ne1_ka04c5136_jetting</v>
      </c>
      <c r="D817" s="2">
        <f ca="1">IFERROR(__xludf.DUMMYFUNCTION("""COMPUTED_VALUE"""),44666)</f>
        <v>44666</v>
      </c>
      <c r="E817" s="3">
        <f ca="1">IFERROR(__xludf.DUMMYFUNCTION("""COMPUTED_VALUE"""),0.288437499999417)</f>
        <v>0.28843749999941698</v>
      </c>
      <c r="F817" s="1">
        <f ca="1">IFERROR(__xludf.DUMMYFUNCTION("""COMPUTED_VALUE"""),76084)</f>
        <v>76084</v>
      </c>
      <c r="G817" s="1" t="str">
        <f ca="1">IFERROR(__xludf.DUMMYFUNCTION("""COMPUTED_VALUE"""),"13.0104/77.5667")</f>
        <v>13.0104/77.5667</v>
      </c>
      <c r="H817" s="1" t="str">
        <f ca="1">IFERROR(__xludf.DUMMYFUNCTION("""COMPUTED_VALUE"""),"Malleshwaram")</f>
        <v>Malleshwaram</v>
      </c>
      <c r="I817" s="1"/>
      <c r="J817" s="1" t="str">
        <f ca="1">IFERROR(__xludf.DUMMYFUNCTION("""COMPUTED_VALUE"""),"0d 00h 00m")</f>
        <v>0d 00h 00m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>
      <c r="A818" s="1">
        <f ca="1">IFERROR(__xludf.DUMMYFUNCTION("""COMPUTED_VALUE"""),197)</f>
        <v>197</v>
      </c>
      <c r="B818" s="1" t="str">
        <f ca="1">IFERROR(__xludf.DUMMYFUNCTION("""COMPUTED_VALUE"""),"NE1_KA04C5136_Jetting")</f>
        <v>NE1_KA04C5136_Jetting</v>
      </c>
      <c r="C818" s="1" t="str">
        <f ca="1">IFERROR(__xludf.DUMMYFUNCTION("""COMPUTED_VALUE"""),"ne1_ka04c5136_jetting")</f>
        <v>ne1_ka04c5136_jetting</v>
      </c>
      <c r="D818" s="2">
        <f ca="1">IFERROR(__xludf.DUMMYFUNCTION("""COMPUTED_VALUE"""),44738)</f>
        <v>44738</v>
      </c>
      <c r="E818" s="3">
        <f ca="1">IFERROR(__xludf.DUMMYFUNCTION("""COMPUTED_VALUE"""),0.999143518518394)</f>
        <v>0.999143518518394</v>
      </c>
      <c r="F818" s="1">
        <f ca="1">IFERROR(__xludf.DUMMYFUNCTION("""COMPUTED_VALUE"""),76247)</f>
        <v>76247</v>
      </c>
      <c r="G818" s="1" t="str">
        <f ca="1">IFERROR(__xludf.DUMMYFUNCTION("""COMPUTED_VALUE"""),"13.0104/77.5667")</f>
        <v>13.0104/77.5667</v>
      </c>
      <c r="H818" s="1" t="str">
        <f ca="1">IFERROR(__xludf.DUMMYFUNCTION("""COMPUTED_VALUE"""),"Malleshwaram")</f>
        <v>Malleshwaram</v>
      </c>
      <c r="I818" s="1"/>
      <c r="J818" s="1" t="str">
        <f ca="1">IFERROR(__xludf.DUMMYFUNCTION("""COMPUTED_VALUE"""),"0d 00h 01m")</f>
        <v>0d 00h 01m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>
      <c r="A819" s="1">
        <f ca="1">IFERROR(__xludf.DUMMYFUNCTION("""COMPUTED_VALUE"""),171)</f>
        <v>171</v>
      </c>
      <c r="B819" s="1" t="str">
        <f ca="1">IFERROR(__xludf.DUMMYFUNCTION("""COMPUTED_VALUE"""),"NE1_KA04C5136_Jetting")</f>
        <v>NE1_KA04C5136_Jetting</v>
      </c>
      <c r="C819" s="1" t="str">
        <f ca="1">IFERROR(__xludf.DUMMYFUNCTION("""COMPUTED_VALUE"""),"ne1_ka04c5136_jetting")</f>
        <v>ne1_ka04c5136_jetting</v>
      </c>
      <c r="D819" s="2">
        <f ca="1">IFERROR(__xludf.DUMMYFUNCTION("""COMPUTED_VALUE"""),44768)</f>
        <v>44768</v>
      </c>
      <c r="E819" s="3">
        <f ca="1">IFERROR(__xludf.DUMMYFUNCTION("""COMPUTED_VALUE"""),0.998993055556638)</f>
        <v>0.99899305555663798</v>
      </c>
      <c r="F819" s="1">
        <f ca="1">IFERROR(__xludf.DUMMYFUNCTION("""COMPUTED_VALUE"""),79464)</f>
        <v>79464</v>
      </c>
      <c r="G819" s="1" t="str">
        <f ca="1">IFERROR(__xludf.DUMMYFUNCTION("""COMPUTED_VALUE"""),"13.0102/77.5665")</f>
        <v>13.0102/77.5665</v>
      </c>
      <c r="H819" s="1" t="str">
        <f ca="1">IFERROR(__xludf.DUMMYFUNCTION("""COMPUTED_VALUE"""),"Malleshwaram")</f>
        <v>Malleshwaram</v>
      </c>
      <c r="I819" s="1"/>
      <c r="J819" s="1" t="str">
        <f ca="1">IFERROR(__xludf.DUMMYFUNCTION("""COMPUTED_VALUE"""),"0d 00h 02m")</f>
        <v>0d 00h 02m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>
      <c r="A820" s="1">
        <f ca="1">IFERROR(__xludf.DUMMYFUNCTION("""COMPUTED_VALUE"""),160)</f>
        <v>160</v>
      </c>
      <c r="B820" s="1" t="str">
        <f ca="1">IFERROR(__xludf.DUMMYFUNCTION("""COMPUTED_VALUE"""),"NE1_KA04C5136_Jetting")</f>
        <v>NE1_KA04C5136_Jetting</v>
      </c>
      <c r="C820" s="1" t="str">
        <f ca="1">IFERROR(__xludf.DUMMYFUNCTION("""COMPUTED_VALUE"""),"ne1_ka04c5136_jetting")</f>
        <v>ne1_ka04c5136_jetting</v>
      </c>
      <c r="D820" s="2">
        <f ca="1">IFERROR(__xludf.DUMMYFUNCTION("""COMPUTED_VALUE"""),44799)</f>
        <v>44799</v>
      </c>
      <c r="E820" s="3">
        <f ca="1">IFERROR(__xludf.DUMMYFUNCTION("""COMPUTED_VALUE"""),0.832569444442924)</f>
        <v>0.83256944444292402</v>
      </c>
      <c r="F820" s="1">
        <f ca="1">IFERROR(__xludf.DUMMYFUNCTION("""COMPUTED_VALUE"""),81241)</f>
        <v>81241</v>
      </c>
      <c r="G820" s="1" t="str">
        <f ca="1">IFERROR(__xludf.DUMMYFUNCTION("""COMPUTED_VALUE"""),"13.0105/77.5667")</f>
        <v>13.0105/77.5667</v>
      </c>
      <c r="H820" s="1" t="str">
        <f ca="1">IFERROR(__xludf.DUMMYFUNCTION("""COMPUTED_VALUE"""),"Malleshwaram")</f>
        <v>Malleshwaram</v>
      </c>
      <c r="I820" s="1"/>
      <c r="J820" s="1" t="str">
        <f ca="1">IFERROR(__xludf.DUMMYFUNCTION("""COMPUTED_VALUE"""),"0d 00h 03m")</f>
        <v>0d 00h 03m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>
      <c r="A821" s="1">
        <f ca="1">IFERROR(__xludf.DUMMYFUNCTION("""COMPUTED_VALUE"""),154)</f>
        <v>154</v>
      </c>
      <c r="B821" s="1" t="str">
        <f ca="1">IFERROR(__xludf.DUMMYFUNCTION("""COMPUTED_VALUE"""),"NE1_KA04C5136_Jetting")</f>
        <v>NE1_KA04C5136_Jetting</v>
      </c>
      <c r="C821" s="1" t="str">
        <f ca="1">IFERROR(__xludf.DUMMYFUNCTION("""COMPUTED_VALUE"""),"ne1_ka04c5136_jetting")</f>
        <v>ne1_ka04c5136_jetting</v>
      </c>
      <c r="D821" s="2">
        <f ca="1">IFERROR(__xludf.DUMMYFUNCTION("""COMPUTED_VALUE"""),44830)</f>
        <v>44830</v>
      </c>
      <c r="E821" s="3">
        <f ca="1">IFERROR(__xludf.DUMMYFUNCTION("""COMPUTED_VALUE"""),0.776701388887886)</f>
        <v>0.77670138888788598</v>
      </c>
      <c r="F821" s="1">
        <f ca="1">IFERROR(__xludf.DUMMYFUNCTION("""COMPUTED_VALUE"""),83138)</f>
        <v>83138</v>
      </c>
      <c r="G821" s="1" t="str">
        <f ca="1">IFERROR(__xludf.DUMMYFUNCTION("""COMPUTED_VALUE"""),"13.0105/77.5669")</f>
        <v>13.0105/77.5669</v>
      </c>
      <c r="H821" s="1" t="str">
        <f ca="1">IFERROR(__xludf.DUMMYFUNCTION("""COMPUTED_VALUE"""),"Malleshwaram")</f>
        <v>Malleshwaram</v>
      </c>
      <c r="I821" s="1"/>
      <c r="J821" s="1" t="str">
        <f ca="1">IFERROR(__xludf.DUMMYFUNCTION("""COMPUTED_VALUE"""),"0d 00h 04m")</f>
        <v>0d 00h 04m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>
      <c r="A822" s="1">
        <f ca="1">IFERROR(__xludf.DUMMYFUNCTION("""COMPUTED_VALUE"""),146)</f>
        <v>146</v>
      </c>
      <c r="B822" s="1" t="str">
        <f ca="1">IFERROR(__xludf.DUMMYFUNCTION("""COMPUTED_VALUE"""),"NE1_KA04C5136_Jetting")</f>
        <v>NE1_KA04C5136_Jetting</v>
      </c>
      <c r="C822" s="1" t="str">
        <f ca="1">IFERROR(__xludf.DUMMYFUNCTION("""COMPUTED_VALUE"""),"ne1_ka04c5136_jetting")</f>
        <v>ne1_ka04c5136_jetting</v>
      </c>
      <c r="D822" s="2">
        <f ca="1">IFERROR(__xludf.DUMMYFUNCTION("""COMPUTED_VALUE"""),44860)</f>
        <v>44860</v>
      </c>
      <c r="E822" s="3">
        <f ca="1">IFERROR(__xludf.DUMMYFUNCTION("""COMPUTED_VALUE"""),0.934861111112695)</f>
        <v>0.93486111111269499</v>
      </c>
      <c r="F822" s="1">
        <f ca="1">IFERROR(__xludf.DUMMYFUNCTION("""COMPUTED_VALUE"""),83826)</f>
        <v>83826</v>
      </c>
      <c r="G822" s="1" t="str">
        <f ca="1">IFERROR(__xludf.DUMMYFUNCTION("""COMPUTED_VALUE"""),"13.0104/77.5667")</f>
        <v>13.0104/77.5667</v>
      </c>
      <c r="H822" s="1" t="str">
        <f ca="1">IFERROR(__xludf.DUMMYFUNCTION("""COMPUTED_VALUE"""),"Malleshwaram")</f>
        <v>Malleshwaram</v>
      </c>
      <c r="I822" s="1"/>
      <c r="J822" s="1" t="str">
        <f ca="1">IFERROR(__xludf.DUMMYFUNCTION("""COMPUTED_VALUE"""),"0d 00h 00m")</f>
        <v>0d 00h 00m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>
      <c r="A823" s="1">
        <f ca="1">IFERROR(__xludf.DUMMYFUNCTION("""COMPUTED_VALUE"""),156)</f>
        <v>156</v>
      </c>
      <c r="B823" s="1" t="str">
        <f ca="1">IFERROR(__xludf.DUMMYFUNCTION("""COMPUTED_VALUE"""),"NE1_KA04C5136_JETTING")</f>
        <v>NE1_KA04C5136_JETTING</v>
      </c>
      <c r="C823" s="1" t="str">
        <f ca="1">IFERROR(__xludf.DUMMYFUNCTION("""COMPUTED_VALUE"""),"ne1_ka04c5136_jetting")</f>
        <v>ne1_ka04c5136_jetting</v>
      </c>
      <c r="D823" s="2">
        <f ca="1">IFERROR(__xludf.DUMMYFUNCTION("""COMPUTED_VALUE"""),44769)</f>
        <v>44769</v>
      </c>
      <c r="E823" s="3">
        <f ca="1">IFERROR(__xludf.DUMMYFUNCTION("""COMPUTED_VALUE"""),0.999270833333866)</f>
        <v>0.99927083333386602</v>
      </c>
      <c r="F823" s="1">
        <f ca="1">IFERROR(__xludf.DUMMYFUNCTION("""COMPUTED_VALUE"""),79489)</f>
        <v>79489</v>
      </c>
      <c r="G823" s="1" t="str">
        <f ca="1">IFERROR(__xludf.DUMMYFUNCTION("""COMPUTED_VALUE"""),"13.0105/77.5667")</f>
        <v>13.0105/77.5667</v>
      </c>
      <c r="H823" s="1" t="str">
        <f ca="1">IFERROR(__xludf.DUMMYFUNCTION("""COMPUTED_VALUE"""),"Malleshwaram")</f>
        <v>Malleshwaram</v>
      </c>
      <c r="I823" s="1"/>
      <c r="J823" s="1" t="str">
        <f ca="1">IFERROR(__xludf.DUMMYFUNCTION("""COMPUTED_VALUE"""),"0d 00h 00m")</f>
        <v>0d 00h 00m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>
      <c r="A824" s="1">
        <f ca="1">IFERROR(__xludf.DUMMYFUNCTION("""COMPUTED_VALUE"""),140)</f>
        <v>140</v>
      </c>
      <c r="B824" s="1" t="str">
        <f ca="1">IFERROR(__xludf.DUMMYFUNCTION("""COMPUTED_VALUE"""),"NE1_KA04C5136_JETTING")</f>
        <v>NE1_KA04C5136_JETTING</v>
      </c>
      <c r="C824" s="1" t="str">
        <f ca="1">IFERROR(__xludf.DUMMYFUNCTION("""COMPUTED_VALUE"""),"ne1_ka04c5136_jetting")</f>
        <v>ne1_ka04c5136_jetting</v>
      </c>
      <c r="D824" s="2">
        <f ca="1">IFERROR(__xludf.DUMMYFUNCTION("""COMPUTED_VALUE"""),44860)</f>
        <v>44860</v>
      </c>
      <c r="E824" s="3">
        <f ca="1">IFERROR(__xludf.DUMMYFUNCTION("""COMPUTED_VALUE"""),0.934861111112695)</f>
        <v>0.93486111111269499</v>
      </c>
      <c r="F824" s="1">
        <f ca="1">IFERROR(__xludf.DUMMYFUNCTION("""COMPUTED_VALUE"""),83826)</f>
        <v>83826</v>
      </c>
      <c r="G824" s="1" t="str">
        <f ca="1">IFERROR(__xludf.DUMMYFUNCTION("""COMPUTED_VALUE"""),"13.0104/77.5667")</f>
        <v>13.0104/77.5667</v>
      </c>
      <c r="H824" s="1" t="str">
        <f ca="1">IFERROR(__xludf.DUMMYFUNCTION("""COMPUTED_VALUE"""),"Malleshwaram")</f>
        <v>Malleshwaram</v>
      </c>
      <c r="I824" s="1"/>
      <c r="J824" s="1" t="str">
        <f ca="1">IFERROR(__xludf.DUMMYFUNCTION("""COMPUTED_VALUE"""),"0d 00h 00m")</f>
        <v>0d 00h 00m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>
      <c r="A825" s="1">
        <f ca="1">IFERROR(__xludf.DUMMYFUNCTION("""COMPUTED_VALUE"""),145)</f>
        <v>145</v>
      </c>
      <c r="B825" s="1" t="str">
        <f ca="1">IFERROR(__xludf.DUMMYFUNCTION("""COMPUTED_VALUE"""),"NE1_KA04C5136_JETTING")</f>
        <v>NE1_KA04C5136_JETTING</v>
      </c>
      <c r="C825" s="1" t="str">
        <f ca="1">IFERROR(__xludf.DUMMYFUNCTION("""COMPUTED_VALUE"""),"ne1_ka04c5136_jetting")</f>
        <v>ne1_ka04c5136_jetting</v>
      </c>
      <c r="D825" s="2">
        <f ca="1">IFERROR(__xludf.DUMMYFUNCTION("""COMPUTED_VALUE"""),44952)</f>
        <v>44952</v>
      </c>
      <c r="E825" s="3">
        <f ca="1">IFERROR(__xludf.DUMMYFUNCTION("""COMPUTED_VALUE"""),0.998587962963938)</f>
        <v>0.99858796296393804</v>
      </c>
      <c r="F825" s="1">
        <f ca="1">IFERROR(__xludf.DUMMYFUNCTION("""COMPUTED_VALUE"""),88764)</f>
        <v>88764</v>
      </c>
      <c r="G825" s="1" t="str">
        <f ca="1">IFERROR(__xludf.DUMMYFUNCTION("""COMPUTED_VALUE"""),"13.0106/77.5668")</f>
        <v>13.0106/77.5668</v>
      </c>
      <c r="H825" s="1" t="str">
        <f ca="1">IFERROR(__xludf.DUMMYFUNCTION("""COMPUTED_VALUE"""),"Malleshwaram")</f>
        <v>Malleshwaram</v>
      </c>
      <c r="I825" s="1"/>
      <c r="J825" s="1" t="str">
        <f ca="1">IFERROR(__xludf.DUMMYFUNCTION("""COMPUTED_VALUE"""),"0d 00h 00m")</f>
        <v>0d 00h 00m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>
      <c r="A826" s="1">
        <f ca="1">IFERROR(__xludf.DUMMYFUNCTION("""COMPUTED_VALUE"""),155)</f>
        <v>155</v>
      </c>
      <c r="B826" s="1" t="str">
        <f ca="1">IFERROR(__xludf.DUMMYFUNCTION("""COMPUTED_VALUE"""),"NE1_KA04C5136_JETTING")</f>
        <v>NE1_KA04C5136_JETTING</v>
      </c>
      <c r="C826" s="1" t="str">
        <f ca="1">IFERROR(__xludf.DUMMYFUNCTION("""COMPUTED_VALUE"""),"ne1_ka04c5136_jetting")</f>
        <v>ne1_ka04c5136_jetting</v>
      </c>
      <c r="D826" s="2">
        <f ca="1">IFERROR(__xludf.DUMMYFUNCTION("""COMPUTED_VALUE"""),45042)</f>
        <v>45042</v>
      </c>
      <c r="E826" s="3">
        <f ca="1">IFERROR(__xludf.DUMMYFUNCTION("""COMPUTED_VALUE"""),0.99900462962978)</f>
        <v>0.99900462962977998</v>
      </c>
      <c r="F826" s="1">
        <f ca="1">IFERROR(__xludf.DUMMYFUNCTION("""COMPUTED_VALUE"""),39686)</f>
        <v>39686</v>
      </c>
      <c r="G826" s="1" t="str">
        <f ca="1">IFERROR(__xludf.DUMMYFUNCTION("""COMPUTED_VALUE"""),"13.0103/77.5667")</f>
        <v>13.0103/77.5667</v>
      </c>
      <c r="H826" s="1" t="str">
        <f ca="1">IFERROR(__xludf.DUMMYFUNCTION("""COMPUTED_VALUE"""),"Malleshwaram")</f>
        <v>Malleshwaram</v>
      </c>
      <c r="I826" s="1"/>
      <c r="J826" s="1" t="str">
        <f ca="1">IFERROR(__xludf.DUMMYFUNCTION("""COMPUTED_VALUE"""),"0d 00h 00m")</f>
        <v>0d 00h 00m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>
      <c r="A827" s="1">
        <f ca="1">IFERROR(__xludf.DUMMYFUNCTION("""COMPUTED_VALUE"""),163)</f>
        <v>163</v>
      </c>
      <c r="B827" s="1" t="str">
        <f ca="1">IFERROR(__xludf.DUMMYFUNCTION("""COMPUTED_VALUE"""),"NE1_KA04C5136_JETTING")</f>
        <v>NE1_KA04C5136_JETTING</v>
      </c>
      <c r="C827" s="1" t="str">
        <f ca="1">IFERROR(__xludf.DUMMYFUNCTION("""COMPUTED_VALUE"""),"ne1_ka04c5136_jetting")</f>
        <v>ne1_ka04c5136_jetting</v>
      </c>
      <c r="D827" s="2">
        <f ca="1">IFERROR(__xludf.DUMMYFUNCTION("""COMPUTED_VALUE"""),45134)</f>
        <v>45134</v>
      </c>
      <c r="E827" s="3">
        <f ca="1">IFERROR(__xludf.DUMMYFUNCTION("""COMPUTED_VALUE"""),0.99921296296452)</f>
        <v>0.99921296296452</v>
      </c>
      <c r="F827" s="1">
        <f ca="1">IFERROR(__xludf.DUMMYFUNCTION("""COMPUTED_VALUE"""),41701)</f>
        <v>41701</v>
      </c>
      <c r="G827" s="1" t="str">
        <f ca="1">IFERROR(__xludf.DUMMYFUNCTION("""COMPUTED_VALUE"""),"13.0104/77.5665")</f>
        <v>13.0104/77.5665</v>
      </c>
      <c r="H827" s="1" t="str">
        <f ca="1">IFERROR(__xludf.DUMMYFUNCTION("""COMPUTED_VALUE"""),"Malleshwaram")</f>
        <v>Malleshwaram</v>
      </c>
      <c r="I827" s="1"/>
      <c r="J827" s="1" t="str">
        <f ca="1">IFERROR(__xludf.DUMMYFUNCTION("""COMPUTED_VALUE"""),"0d 00h 00m")</f>
        <v>0d 00h 00m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>
      <c r="A828" s="1">
        <f ca="1">IFERROR(__xludf.DUMMYFUNCTION("""COMPUTED_VALUE"""),158)</f>
        <v>158</v>
      </c>
      <c r="B828" s="1" t="str">
        <f ca="1">IFERROR(__xludf.DUMMYFUNCTION("""COMPUTED_VALUE"""),"NE1_KA04C5136_JETTING")</f>
        <v>NE1_KA04C5136_JETTING</v>
      </c>
      <c r="C828" s="1" t="str">
        <f ca="1">IFERROR(__xludf.DUMMYFUNCTION("""COMPUTED_VALUE"""),"ne1_ka04c5136_jetting")</f>
        <v>ne1_ka04c5136_jetting</v>
      </c>
      <c r="D828" s="2">
        <f ca="1">IFERROR(__xludf.DUMMYFUNCTION("""COMPUTED_VALUE"""),45226)</f>
        <v>45226</v>
      </c>
      <c r="E828" s="3">
        <f ca="1">IFERROR(__xludf.DUMMYFUNCTION("""COMPUTED_VALUE"""),0.998831018518103)</f>
        <v>0.99883101851810296</v>
      </c>
      <c r="F828" s="1">
        <f ca="1">IFERROR(__xludf.DUMMYFUNCTION("""COMPUTED_VALUE"""),44924)</f>
        <v>44924</v>
      </c>
      <c r="G828" s="1" t="str">
        <f ca="1">IFERROR(__xludf.DUMMYFUNCTION("""COMPUTED_VALUE"""),"13.0103/77.5667")</f>
        <v>13.0103/77.5667</v>
      </c>
      <c r="H828" s="1" t="str">
        <f ca="1">IFERROR(__xludf.DUMMYFUNCTION("""COMPUTED_VALUE"""),"Malleshwaram")</f>
        <v>Malleshwaram</v>
      </c>
      <c r="I828" s="1"/>
      <c r="J828" s="1" t="str">
        <f ca="1">IFERROR(__xludf.DUMMYFUNCTION("""COMPUTED_VALUE"""),"0d 00h 00m")</f>
        <v>0d 00h 00m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>
      <c r="A829" s="1">
        <f ca="1">IFERROR(__xludf.DUMMYFUNCTION("""COMPUTED_VALUE"""),161)</f>
        <v>161</v>
      </c>
      <c r="B829" s="1" t="str">
        <f ca="1">IFERROR(__xludf.DUMMYFUNCTION("""COMPUTED_VALUE"""),"NE1_KA04C5136_JETTING")</f>
        <v>NE1_KA04C5136_JETTING</v>
      </c>
      <c r="C829" s="1" t="str">
        <f ca="1">IFERROR(__xludf.DUMMYFUNCTION("""COMPUTED_VALUE"""),"ne1_ka04c5136_jetting")</f>
        <v>ne1_ka04c5136_jetting</v>
      </c>
      <c r="D829" s="2">
        <f ca="1">IFERROR(__xludf.DUMMYFUNCTION("""COMPUTED_VALUE"""),45315)</f>
        <v>45315</v>
      </c>
      <c r="E829" s="3">
        <f ca="1">IFERROR(__xludf.DUMMYFUNCTION("""COMPUTED_VALUE"""),0.7868750000016)</f>
        <v>0.78687500000160004</v>
      </c>
      <c r="F829" s="1">
        <f ca="1">IFERROR(__xludf.DUMMYFUNCTION("""COMPUTED_VALUE"""),47410)</f>
        <v>47410</v>
      </c>
      <c r="G829" s="1" t="str">
        <f ca="1">IFERROR(__xludf.DUMMYFUNCTION("""COMPUTED_VALUE"""),"13.0103/77.5668")</f>
        <v>13.0103/77.5668</v>
      </c>
      <c r="H829" s="1" t="str">
        <f ca="1">IFERROR(__xludf.DUMMYFUNCTION("""COMPUTED_VALUE"""),"Malleshwaram")</f>
        <v>Malleshwaram</v>
      </c>
      <c r="I829" s="1"/>
      <c r="J829" s="1" t="str">
        <f ca="1">IFERROR(__xludf.DUMMYFUNCTION("""COMPUTED_VALUE"""),"0d 00h 00m")</f>
        <v>0d 00h 00m</v>
      </c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>
      <c r="A830" s="1">
        <f ca="1">IFERROR(__xludf.DUMMYFUNCTION("""COMPUTED_VALUE"""),175)</f>
        <v>175</v>
      </c>
      <c r="B830" s="1" t="str">
        <f ca="1">IFERROR(__xludf.DUMMYFUNCTION("""COMPUTED_VALUE"""),"NE1_KA04C5161_Jetting")</f>
        <v>NE1_KA04C5161_Jetting</v>
      </c>
      <c r="C830" s="1" t="str">
        <f ca="1">IFERROR(__xludf.DUMMYFUNCTION("""COMPUTED_VALUE"""),"ne1_ka04c5161_jetting")</f>
        <v>ne1_ka04c5161_jetting</v>
      </c>
      <c r="D830" s="2">
        <f ca="1">IFERROR(__xludf.DUMMYFUNCTION("""COMPUTED_VALUE"""),44707)</f>
        <v>44707</v>
      </c>
      <c r="E830" s="3">
        <f ca="1">IFERROR(__xludf.DUMMYFUNCTION("""COMPUTED_VALUE"""),0.999074074072268)</f>
        <v>0.999074074072268</v>
      </c>
      <c r="F830" s="1">
        <f ca="1">IFERROR(__xludf.DUMMYFUNCTION("""COMPUTED_VALUE"""),18495)</f>
        <v>18495</v>
      </c>
      <c r="G830" s="1" t="str">
        <f ca="1">IFERROR(__xludf.DUMMYFUNCTION("""COMPUTED_VALUE"""),"13.0106/77.5667")</f>
        <v>13.0106/77.5667</v>
      </c>
      <c r="H830" s="1" t="str">
        <f ca="1">IFERROR(__xludf.DUMMYFUNCTION("""COMPUTED_VALUE"""),"Malleshwaram")</f>
        <v>Malleshwaram</v>
      </c>
      <c r="I830" s="1"/>
      <c r="J830" s="1" t="str">
        <f ca="1">IFERROR(__xludf.DUMMYFUNCTION("""COMPUTED_VALUE"""),"0d 00h 00m")</f>
        <v>0d 00h 00m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>
      <c r="A831" s="1">
        <f ca="1">IFERROR(__xludf.DUMMYFUNCTION("""COMPUTED_VALUE"""),173)</f>
        <v>173</v>
      </c>
      <c r="B831" s="1" t="str">
        <f ca="1">IFERROR(__xludf.DUMMYFUNCTION("""COMPUTED_VALUE"""),"NE1_KA04C5161_Jetting")</f>
        <v>NE1_KA04C5161_Jetting</v>
      </c>
      <c r="C831" s="1" t="str">
        <f ca="1">IFERROR(__xludf.DUMMYFUNCTION("""COMPUTED_VALUE"""),"ne1_ka04c5161_jetting")</f>
        <v>ne1_ka04c5161_jetting</v>
      </c>
      <c r="D831" s="2">
        <f ca="1">IFERROR(__xludf.DUMMYFUNCTION("""COMPUTED_VALUE"""),44738)</f>
        <v>44738</v>
      </c>
      <c r="E831" s="3">
        <f ca="1">IFERROR(__xludf.DUMMYFUNCTION("""COMPUTED_VALUE"""),0.999039351852843)</f>
        <v>0.99903935185284298</v>
      </c>
      <c r="F831" s="1">
        <f ca="1">IFERROR(__xludf.DUMMYFUNCTION("""COMPUTED_VALUE"""),18873)</f>
        <v>18873</v>
      </c>
      <c r="G831" s="1" t="str">
        <f ca="1">IFERROR(__xludf.DUMMYFUNCTION("""COMPUTED_VALUE"""),"13.0106/77.5666")</f>
        <v>13.0106/77.5666</v>
      </c>
      <c r="H831" s="1" t="str">
        <f ca="1">IFERROR(__xludf.DUMMYFUNCTION("""COMPUTED_VALUE"""),"Malleshwaram")</f>
        <v>Malleshwaram</v>
      </c>
      <c r="I831" s="1"/>
      <c r="J831" s="1" t="str">
        <f ca="1">IFERROR(__xludf.DUMMYFUNCTION("""COMPUTED_VALUE"""),"0d 00h 00m")</f>
        <v>0d 00h 00m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>
      <c r="A832" s="1">
        <f ca="1">IFERROR(__xludf.DUMMYFUNCTION("""COMPUTED_VALUE"""),152)</f>
        <v>152</v>
      </c>
      <c r="B832" s="1" t="str">
        <f ca="1">IFERROR(__xludf.DUMMYFUNCTION("""COMPUTED_VALUE"""),"NE1_KA04C5161_Jetting")</f>
        <v>NE1_KA04C5161_Jetting</v>
      </c>
      <c r="C832" s="1" t="str">
        <f ca="1">IFERROR(__xludf.DUMMYFUNCTION("""COMPUTED_VALUE"""),"ne1_ka04c5161_jetting")</f>
        <v>ne1_ka04c5161_jetting</v>
      </c>
      <c r="D832" s="2">
        <f ca="1">IFERROR(__xludf.DUMMYFUNCTION("""COMPUTED_VALUE"""),44768)</f>
        <v>44768</v>
      </c>
      <c r="E832" s="3">
        <f ca="1">IFERROR(__xludf.DUMMYFUNCTION("""COMPUTED_VALUE"""),0.791550925925548)</f>
        <v>0.79155092592554799</v>
      </c>
      <c r="F832" s="1">
        <f ca="1">IFERROR(__xludf.DUMMYFUNCTION("""COMPUTED_VALUE"""),19221)</f>
        <v>19221</v>
      </c>
      <c r="G832" s="1" t="str">
        <f ca="1">IFERROR(__xludf.DUMMYFUNCTION("""COMPUTED_VALUE"""),"13.0104/77.5668")</f>
        <v>13.0104/77.5668</v>
      </c>
      <c r="H832" s="1" t="str">
        <f ca="1">IFERROR(__xludf.DUMMYFUNCTION("""COMPUTED_VALUE"""),"Malleshwaram")</f>
        <v>Malleshwaram</v>
      </c>
      <c r="I832" s="1"/>
      <c r="J832" s="1" t="str">
        <f ca="1">IFERROR(__xludf.DUMMYFUNCTION("""COMPUTED_VALUE"""),"0d 00h 00m")</f>
        <v>0d 00h 00m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>
      <c r="A833" s="1">
        <f ca="1">IFERROR(__xludf.DUMMYFUNCTION("""COMPUTED_VALUE"""),167)</f>
        <v>167</v>
      </c>
      <c r="B833" s="1" t="str">
        <f ca="1">IFERROR(__xludf.DUMMYFUNCTION("""COMPUTED_VALUE"""),"NE1_KA04C5161_Jetting")</f>
        <v>NE1_KA04C5161_Jetting</v>
      </c>
      <c r="C833" s="1" t="str">
        <f ca="1">IFERROR(__xludf.DUMMYFUNCTION("""COMPUTED_VALUE"""),"ne1_ka04c5161_jetting")</f>
        <v>ne1_ka04c5161_jetting</v>
      </c>
      <c r="D833" s="2">
        <f ca="1">IFERROR(__xludf.DUMMYFUNCTION("""COMPUTED_VALUE"""),44799)</f>
        <v>44799</v>
      </c>
      <c r="E833" s="3">
        <f ca="1">IFERROR(__xludf.DUMMYFUNCTION("""COMPUTED_VALUE"""),0.998645833333284)</f>
        <v>0.99864583333328405</v>
      </c>
      <c r="F833" s="1">
        <f ca="1">IFERROR(__xludf.DUMMYFUNCTION("""COMPUTED_VALUE"""),19609)</f>
        <v>19609</v>
      </c>
      <c r="G833" s="1" t="str">
        <f ca="1">IFERROR(__xludf.DUMMYFUNCTION("""COMPUTED_VALUE"""),"13.0104/77.5667")</f>
        <v>13.0104/77.5667</v>
      </c>
      <c r="H833" s="1" t="str">
        <f ca="1">IFERROR(__xludf.DUMMYFUNCTION("""COMPUTED_VALUE"""),"Malleshwaram")</f>
        <v>Malleshwaram</v>
      </c>
      <c r="I833" s="1"/>
      <c r="J833" s="1" t="str">
        <f ca="1">IFERROR(__xludf.DUMMYFUNCTION("""COMPUTED_VALUE"""),"0d 00h 00m")</f>
        <v>0d 00h 00m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>
      <c r="A834" s="1">
        <f ca="1">IFERROR(__xludf.DUMMYFUNCTION("""COMPUTED_VALUE"""),162)</f>
        <v>162</v>
      </c>
      <c r="B834" s="1" t="str">
        <f ca="1">IFERROR(__xludf.DUMMYFUNCTION("""COMPUTED_VALUE"""),"NE1_KA04C5161_Jetting")</f>
        <v>NE1_KA04C5161_Jetting</v>
      </c>
      <c r="C834" s="1" t="str">
        <f ca="1">IFERROR(__xludf.DUMMYFUNCTION("""COMPUTED_VALUE"""),"ne1_ka04c5161_jetting")</f>
        <v>ne1_ka04c5161_jetting</v>
      </c>
      <c r="D834" s="2">
        <f ca="1">IFERROR(__xludf.DUMMYFUNCTION("""COMPUTED_VALUE"""),44830)</f>
        <v>44830</v>
      </c>
      <c r="E834" s="3">
        <f ca="1">IFERROR(__xludf.DUMMYFUNCTION("""COMPUTED_VALUE"""),0.998761574075615)</f>
        <v>0.99876157407561506</v>
      </c>
      <c r="F834" s="1">
        <f ca="1">IFERROR(__xludf.DUMMYFUNCTION("""COMPUTED_VALUE"""),19983)</f>
        <v>19983</v>
      </c>
      <c r="G834" s="1" t="str">
        <f ca="1">IFERROR(__xludf.DUMMYFUNCTION("""COMPUTED_VALUE"""),"13.0104/77.5667")</f>
        <v>13.0104/77.5667</v>
      </c>
      <c r="H834" s="1" t="str">
        <f ca="1">IFERROR(__xludf.DUMMYFUNCTION("""COMPUTED_VALUE"""),"Malleshwaram")</f>
        <v>Malleshwaram</v>
      </c>
      <c r="I834" s="1"/>
      <c r="J834" s="1" t="str">
        <f ca="1">IFERROR(__xludf.DUMMYFUNCTION("""COMPUTED_VALUE"""),"0d 00h 00m")</f>
        <v>0d 00h 00m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>
      <c r="A835" s="1">
        <f ca="1">IFERROR(__xludf.DUMMYFUNCTION("""COMPUTED_VALUE"""),219)</f>
        <v>219</v>
      </c>
      <c r="B835" s="1" t="str">
        <f ca="1">IFERROR(__xludf.DUMMYFUNCTION("""COMPUTED_VALUE"""),"NE1_KA04C5161_Jetting")</f>
        <v>NE1_KA04C5161_Jetting</v>
      </c>
      <c r="C835" s="1" t="str">
        <f ca="1">IFERROR(__xludf.DUMMYFUNCTION("""COMPUTED_VALUE"""),"ne1_ka04c5161_jetting")</f>
        <v>ne1_ka04c5161_jetting</v>
      </c>
      <c r="D835" s="2">
        <f ca="1">IFERROR(__xludf.DUMMYFUNCTION("""COMPUTED_VALUE"""),44860)</f>
        <v>44860</v>
      </c>
      <c r="E835" s="3">
        <f ca="1">IFERROR(__xludf.DUMMYFUNCTION("""COMPUTED_VALUE"""),0.999236111110803)</f>
        <v>0.99923611111080302</v>
      </c>
      <c r="F835" s="1">
        <f ca="1">IFERROR(__xludf.DUMMYFUNCTION("""COMPUTED_VALUE"""),20328)</f>
        <v>20328</v>
      </c>
      <c r="G835" s="1" t="str">
        <f ca="1">IFERROR(__xludf.DUMMYFUNCTION("""COMPUTED_VALUE"""),"13.0104/77.5668")</f>
        <v>13.0104/77.5668</v>
      </c>
      <c r="H835" s="1" t="str">
        <f ca="1">IFERROR(__xludf.DUMMYFUNCTION("""COMPUTED_VALUE"""),"Malleshwaram")</f>
        <v>Malleshwaram</v>
      </c>
      <c r="I835" s="1"/>
      <c r="J835" s="1" t="str">
        <f ca="1">IFERROR(__xludf.DUMMYFUNCTION("""COMPUTED_VALUE"""),"0d 00h 00m")</f>
        <v>0d 00h 00m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>
      <c r="A836" s="1">
        <f ca="1">IFERROR(__xludf.DUMMYFUNCTION("""COMPUTED_VALUE"""),2)</f>
        <v>2</v>
      </c>
      <c r="B836" s="1" t="str">
        <f ca="1">IFERROR(__xludf.DUMMYFUNCTION("""COMPUTED_VALUE"""),"NE1_KA04D5158_Jetting")</f>
        <v>NE1_KA04D5158_Jetting</v>
      </c>
      <c r="C836" s="1" t="str">
        <f ca="1">IFERROR(__xludf.DUMMYFUNCTION("""COMPUTED_VALUE"""),"ne1_ka04d5158_jetting")</f>
        <v>ne1_ka04d5158_jetting</v>
      </c>
      <c r="D836" s="2">
        <f ca="1">IFERROR(__xludf.DUMMYFUNCTION("""COMPUTED_VALUE"""),41640)</f>
        <v>41640</v>
      </c>
      <c r="E836" s="3">
        <f ca="1">IFERROR(__xludf.DUMMYFUNCTION("""COMPUTED_VALUE"""),0.562511574073141)</f>
        <v>0.56251157407314101</v>
      </c>
      <c r="F836" s="1"/>
      <c r="G836" s="1"/>
      <c r="H836" s="1"/>
      <c r="I836" s="1"/>
      <c r="J836" s="1" t="str">
        <f ca="1">IFERROR(__xludf.DUMMYFUNCTION("""COMPUTED_VALUE"""),"0d 00h 00m")</f>
        <v>0d 00h 00m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>
      <c r="A837" s="1">
        <f ca="1">IFERROR(__xludf.DUMMYFUNCTION("""COMPUTED_VALUE"""),2)</f>
        <v>2</v>
      </c>
      <c r="B837" s="1" t="str">
        <f ca="1">IFERROR(__xludf.DUMMYFUNCTION("""COMPUTED_VALUE"""),"NE1_KA04D5158_Jetting")</f>
        <v>NE1_KA04D5158_Jetting</v>
      </c>
      <c r="C837" s="1" t="str">
        <f ca="1">IFERROR(__xludf.DUMMYFUNCTION("""COMPUTED_VALUE"""),"ne1_ka04d5158_jetting")</f>
        <v>ne1_ka04d5158_jetting</v>
      </c>
      <c r="D837" s="2">
        <f ca="1">IFERROR(__xludf.DUMMYFUNCTION("""COMPUTED_VALUE"""),41640)</f>
        <v>41640</v>
      </c>
      <c r="E837" s="3">
        <f ca="1">IFERROR(__xludf.DUMMYFUNCTION("""COMPUTED_VALUE"""),0.562511574073141)</f>
        <v>0.56251157407314101</v>
      </c>
      <c r="F837" s="1"/>
      <c r="G837" s="1"/>
      <c r="H837" s="1"/>
      <c r="I837" s="1"/>
      <c r="J837" s="1" t="str">
        <f ca="1">IFERROR(__xludf.DUMMYFUNCTION("""COMPUTED_VALUE"""),"0d 00h 00m")</f>
        <v>0d 00h 00m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>
      <c r="A838" s="1">
        <f ca="1">IFERROR(__xludf.DUMMYFUNCTION("""COMPUTED_VALUE"""),2)</f>
        <v>2</v>
      </c>
      <c r="B838" s="1" t="str">
        <f ca="1">IFERROR(__xludf.DUMMYFUNCTION("""COMPUTED_VALUE"""),"NE1_KA04D5158_Jetting")</f>
        <v>NE1_KA04D5158_Jetting</v>
      </c>
      <c r="C838" s="1" t="str">
        <f ca="1">IFERROR(__xludf.DUMMYFUNCTION("""COMPUTED_VALUE"""),"ne1_ka04d5158_jetting")</f>
        <v>ne1_ka04d5158_jetting</v>
      </c>
      <c r="D838" s="2">
        <f ca="1">IFERROR(__xludf.DUMMYFUNCTION("""COMPUTED_VALUE"""),41640)</f>
        <v>41640</v>
      </c>
      <c r="E838" s="3">
        <f ca="1">IFERROR(__xludf.DUMMYFUNCTION("""COMPUTED_VALUE"""),0.562511574073141)</f>
        <v>0.56251157407314101</v>
      </c>
      <c r="F838" s="1"/>
      <c r="G838" s="1"/>
      <c r="H838" s="1"/>
      <c r="I838" s="1"/>
      <c r="J838" s="1" t="str">
        <f ca="1">IFERROR(__xludf.DUMMYFUNCTION("""COMPUTED_VALUE"""),"0d 00h 00m")</f>
        <v>0d 00h 00m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>
      <c r="A839" s="1">
        <f ca="1">IFERROR(__xludf.DUMMYFUNCTION("""COMPUTED_VALUE"""),2)</f>
        <v>2</v>
      </c>
      <c r="B839" s="1" t="str">
        <f ca="1">IFERROR(__xludf.DUMMYFUNCTION("""COMPUTED_VALUE"""),"NE1_KA04D5158_Jetting")</f>
        <v>NE1_KA04D5158_Jetting</v>
      </c>
      <c r="C839" s="1" t="str">
        <f ca="1">IFERROR(__xludf.DUMMYFUNCTION("""COMPUTED_VALUE"""),"ne1_ka04d5158_jetting")</f>
        <v>ne1_ka04d5158_jetting</v>
      </c>
      <c r="D839" s="2">
        <f ca="1">IFERROR(__xludf.DUMMYFUNCTION("""COMPUTED_VALUE"""),41640)</f>
        <v>41640</v>
      </c>
      <c r="E839" s="3">
        <f ca="1">IFERROR(__xludf.DUMMYFUNCTION("""COMPUTED_VALUE"""),0.562511574073141)</f>
        <v>0.56251157407314101</v>
      </c>
      <c r="F839" s="1"/>
      <c r="G839" s="1"/>
      <c r="H839" s="1"/>
      <c r="I839" s="1"/>
      <c r="J839" s="1" t="str">
        <f ca="1">IFERROR(__xludf.DUMMYFUNCTION("""COMPUTED_VALUE"""),"0d 00h 00m")</f>
        <v>0d 00h 00m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>
      <c r="A840" s="1">
        <f ca="1">IFERROR(__xludf.DUMMYFUNCTION("""COMPUTED_VALUE"""),2)</f>
        <v>2</v>
      </c>
      <c r="B840" s="1" t="str">
        <f ca="1">IFERROR(__xludf.DUMMYFUNCTION("""COMPUTED_VALUE"""),"NE1_KA04D5158_Jetting")</f>
        <v>NE1_KA04D5158_Jetting</v>
      </c>
      <c r="C840" s="1" t="str">
        <f ca="1">IFERROR(__xludf.DUMMYFUNCTION("""COMPUTED_VALUE"""),"ne1_ka04d5158_jetting")</f>
        <v>ne1_ka04d5158_jetting</v>
      </c>
      <c r="D840" s="2">
        <f ca="1">IFERROR(__xludf.DUMMYFUNCTION("""COMPUTED_VALUE"""),41640)</f>
        <v>41640</v>
      </c>
      <c r="E840" s="3">
        <f ca="1">IFERROR(__xludf.DUMMYFUNCTION("""COMPUTED_VALUE"""),0.562511574073141)</f>
        <v>0.56251157407314101</v>
      </c>
      <c r="F840" s="1"/>
      <c r="G840" s="1"/>
      <c r="H840" s="1"/>
      <c r="I840" s="1"/>
      <c r="J840" s="1" t="str">
        <f ca="1">IFERROR(__xludf.DUMMYFUNCTION("""COMPUTED_VALUE"""),"0d 00h 00m")</f>
        <v>0d 00h 00m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>
      <c r="A841" s="1">
        <f ca="1">IFERROR(__xludf.DUMMYFUNCTION("""COMPUTED_VALUE"""),2)</f>
        <v>2</v>
      </c>
      <c r="B841" s="1" t="str">
        <f ca="1">IFERROR(__xludf.DUMMYFUNCTION("""COMPUTED_VALUE"""),"NE1_KA04D5158_Jetting")</f>
        <v>NE1_KA04D5158_Jetting</v>
      </c>
      <c r="C841" s="1" t="str">
        <f ca="1">IFERROR(__xludf.DUMMYFUNCTION("""COMPUTED_VALUE"""),"ne1_ka04d5158_jetting")</f>
        <v>ne1_ka04d5158_jetting</v>
      </c>
      <c r="D841" s="2">
        <f ca="1">IFERROR(__xludf.DUMMYFUNCTION("""COMPUTED_VALUE"""),41640)</f>
        <v>41640</v>
      </c>
      <c r="E841" s="3">
        <f ca="1">IFERROR(__xludf.DUMMYFUNCTION("""COMPUTED_VALUE"""),0.562511574073141)</f>
        <v>0.56251157407314101</v>
      </c>
      <c r="F841" s="1"/>
      <c r="G841" s="1"/>
      <c r="H841" s="1"/>
      <c r="I841" s="1"/>
      <c r="J841" s="1" t="str">
        <f ca="1">IFERROR(__xludf.DUMMYFUNCTION("""COMPUTED_VALUE"""),"0d 00h 00m")</f>
        <v>0d 00h 00m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>
      <c r="A842" s="1">
        <f ca="1">IFERROR(__xludf.DUMMYFUNCTION("""COMPUTED_VALUE"""),69)</f>
        <v>69</v>
      </c>
      <c r="B842" s="1" t="str">
        <f ca="1">IFERROR(__xludf.DUMMYFUNCTION("""COMPUTED_VALUE"""),"NE1_KA04D5158_JETTING")</f>
        <v>NE1_KA04D5158_JETTING</v>
      </c>
      <c r="C842" s="1" t="str">
        <f ca="1">IFERROR(__xludf.DUMMYFUNCTION("""COMPUTED_VALUE"""),"ne1_ka04d5158_jetting")</f>
        <v>ne1_ka04d5158_jetting</v>
      </c>
      <c r="D842" s="2">
        <f ca="1">IFERROR(__xludf.DUMMYFUNCTION("""COMPUTED_VALUE"""),41640)</f>
        <v>41640</v>
      </c>
      <c r="E842" s="3">
        <f ca="1">IFERROR(__xludf.DUMMYFUNCTION("""COMPUTED_VALUE"""),0.562662037038535)</f>
        <v>0.56266203703853501</v>
      </c>
      <c r="F842" s="1">
        <f ca="1">IFERROR(__xludf.DUMMYFUNCTION("""COMPUTED_VALUE"""),892)</f>
        <v>892</v>
      </c>
      <c r="G842" s="1"/>
      <c r="H842" s="1"/>
      <c r="I842" s="1"/>
      <c r="J842" s="1" t="str">
        <f ca="1">IFERROR(__xludf.DUMMYFUNCTION("""COMPUTED_VALUE"""),"0d 00h 00m")</f>
        <v>0d 00h 00m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>
      <c r="A843" s="1">
        <f ca="1">IFERROR(__xludf.DUMMYFUNCTION("""COMPUTED_VALUE"""),69)</f>
        <v>69</v>
      </c>
      <c r="B843" s="1" t="str">
        <f ca="1">IFERROR(__xludf.DUMMYFUNCTION("""COMPUTED_VALUE"""),"NE1_KA04D5158_JETTING")</f>
        <v>NE1_KA04D5158_JETTING</v>
      </c>
      <c r="C843" s="1" t="str">
        <f ca="1">IFERROR(__xludf.DUMMYFUNCTION("""COMPUTED_VALUE"""),"ne1_ka04d5158_jetting")</f>
        <v>ne1_ka04d5158_jetting</v>
      </c>
      <c r="D843" s="2">
        <f ca="1">IFERROR(__xludf.DUMMYFUNCTION("""COMPUTED_VALUE"""),41640)</f>
        <v>41640</v>
      </c>
      <c r="E843" s="3">
        <f ca="1">IFERROR(__xludf.DUMMYFUNCTION("""COMPUTED_VALUE"""),0.562662037038535)</f>
        <v>0.56266203703853501</v>
      </c>
      <c r="F843" s="1">
        <f ca="1">IFERROR(__xludf.DUMMYFUNCTION("""COMPUTED_VALUE"""),892)</f>
        <v>892</v>
      </c>
      <c r="G843" s="1"/>
      <c r="H843" s="1"/>
      <c r="I843" s="1"/>
      <c r="J843" s="1" t="str">
        <f ca="1">IFERROR(__xludf.DUMMYFUNCTION("""COMPUTED_VALUE"""),"0d 00h 00m")</f>
        <v>0d 00h 00m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>
      <c r="A844" s="1">
        <f ca="1">IFERROR(__xludf.DUMMYFUNCTION("""COMPUTED_VALUE"""),155)</f>
        <v>155</v>
      </c>
      <c r="B844" s="1" t="str">
        <f ca="1">IFERROR(__xludf.DUMMYFUNCTION("""COMPUTED_VALUE"""),"NE1_KA04D5158_JETTING")</f>
        <v>NE1_KA04D5158_JETTING</v>
      </c>
      <c r="C844" s="1" t="str">
        <f ca="1">IFERROR(__xludf.DUMMYFUNCTION("""COMPUTED_VALUE"""),"ne1_ka04d5158_jetting")</f>
        <v>ne1_ka04d5158_jetting</v>
      </c>
      <c r="D844" s="2">
        <f ca="1">IFERROR(__xludf.DUMMYFUNCTION("""COMPUTED_VALUE"""),44952)</f>
        <v>44952</v>
      </c>
      <c r="E844" s="3">
        <f ca="1">IFERROR(__xludf.DUMMYFUNCTION("""COMPUTED_VALUE"""),0.999108796295331)</f>
        <v>0.999108796295331</v>
      </c>
      <c r="F844" s="1">
        <f ca="1">IFERROR(__xludf.DUMMYFUNCTION("""COMPUTED_VALUE"""),263)</f>
        <v>263</v>
      </c>
      <c r="G844" s="1" t="str">
        <f ca="1">IFERROR(__xludf.DUMMYFUNCTION("""COMPUTED_VALUE"""),"12.9891/77.5650")</f>
        <v>12.9891/77.5650</v>
      </c>
      <c r="H844" s="1" t="str">
        <f ca="1">IFERROR(__xludf.DUMMYFUNCTION("""COMPUTED_VALUE"""),"Srirampuram")</f>
        <v>Srirampuram</v>
      </c>
      <c r="I844" s="1"/>
      <c r="J844" s="1" t="str">
        <f ca="1">IFERROR(__xludf.DUMMYFUNCTION("""COMPUTED_VALUE"""),"0d 00h 00m")</f>
        <v>0d 00h 00m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>
      <c r="A845" s="1">
        <f ca="1">IFERROR(__xludf.DUMMYFUNCTION("""COMPUTED_VALUE"""),145)</f>
        <v>145</v>
      </c>
      <c r="B845" s="1" t="str">
        <f ca="1">IFERROR(__xludf.DUMMYFUNCTION("""COMPUTED_VALUE"""),"NE1_KA04D5158_JETTING")</f>
        <v>NE1_KA04D5158_JETTING</v>
      </c>
      <c r="C845" s="1" t="str">
        <f ca="1">IFERROR(__xludf.DUMMYFUNCTION("""COMPUTED_VALUE"""),"ne1_ka04d5158_jetting")</f>
        <v>ne1_ka04d5158_jetting</v>
      </c>
      <c r="D845" s="2">
        <f ca="1">IFERROR(__xludf.DUMMYFUNCTION("""COMPUTED_VALUE"""),45035)</f>
        <v>45035</v>
      </c>
      <c r="E845" s="3">
        <f ca="1">IFERROR(__xludf.DUMMYFUNCTION("""COMPUTED_VALUE"""),0.404814814814017)</f>
        <v>0.40481481481401699</v>
      </c>
      <c r="F845" s="1">
        <f ca="1">IFERROR(__xludf.DUMMYFUNCTION("""COMPUTED_VALUE"""),585)</f>
        <v>585</v>
      </c>
      <c r="G845" s="1" t="str">
        <f ca="1">IFERROR(__xludf.DUMMYFUNCTION("""COMPUTED_VALUE"""),"12.9892/77.5652")</f>
        <v>12.9892/77.5652</v>
      </c>
      <c r="H845" s="1" t="str">
        <f ca="1">IFERROR(__xludf.DUMMYFUNCTION("""COMPUTED_VALUE"""),"Srirampuram")</f>
        <v>Srirampuram</v>
      </c>
      <c r="I845" s="1"/>
      <c r="J845" s="1" t="str">
        <f ca="1">IFERROR(__xludf.DUMMYFUNCTION("""COMPUTED_VALUE"""),"0d 00h 00m")</f>
        <v>0d 00h 00m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>
      <c r="A846" s="1">
        <f ca="1">IFERROR(__xludf.DUMMYFUNCTION("""COMPUTED_VALUE"""),167)</f>
        <v>167</v>
      </c>
      <c r="B846" s="1" t="str">
        <f ca="1">IFERROR(__xludf.DUMMYFUNCTION("""COMPUTED_VALUE"""),"NE1_KA04D5158_JETTING")</f>
        <v>NE1_KA04D5158_JETTING</v>
      </c>
      <c r="C846" s="1" t="str">
        <f ca="1">IFERROR(__xludf.DUMMYFUNCTION("""COMPUTED_VALUE"""),"ne1_ka04d5158_jetting")</f>
        <v>ne1_ka04d5158_jetting</v>
      </c>
      <c r="D846" s="2">
        <f ca="1">IFERROR(__xludf.DUMMYFUNCTION("""COMPUTED_VALUE"""),45134)</f>
        <v>45134</v>
      </c>
      <c r="E846" s="3">
        <f ca="1">IFERROR(__xludf.DUMMYFUNCTION("""COMPUTED_VALUE"""),0.999270833333866)</f>
        <v>0.99927083333386602</v>
      </c>
      <c r="F846" s="1">
        <f ca="1">IFERROR(__xludf.DUMMYFUNCTION("""COMPUTED_VALUE"""),1133)</f>
        <v>1133</v>
      </c>
      <c r="G846" s="1" t="str">
        <f ca="1">IFERROR(__xludf.DUMMYFUNCTION("""COMPUTED_VALUE"""),"12.9891/77.5652")</f>
        <v>12.9891/77.5652</v>
      </c>
      <c r="H846" s="1" t="str">
        <f ca="1">IFERROR(__xludf.DUMMYFUNCTION("""COMPUTED_VALUE"""),"Srirampuram")</f>
        <v>Srirampuram</v>
      </c>
      <c r="I846" s="1"/>
      <c r="J846" s="1" t="str">
        <f ca="1">IFERROR(__xludf.DUMMYFUNCTION("""COMPUTED_VALUE"""),"0d 00h 00m")</f>
        <v>0d 00h 00m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>
      <c r="A847" s="1">
        <f ca="1">IFERROR(__xludf.DUMMYFUNCTION("""COMPUTED_VALUE"""),155)</f>
        <v>155</v>
      </c>
      <c r="B847" s="1" t="str">
        <f ca="1">IFERROR(__xludf.DUMMYFUNCTION("""COMPUTED_VALUE"""),"NE1_KA04D5158_JETTING")</f>
        <v>NE1_KA04D5158_JETTING</v>
      </c>
      <c r="C847" s="1" t="str">
        <f ca="1">IFERROR(__xludf.DUMMYFUNCTION("""COMPUTED_VALUE"""),"ne1_ka04d5158_jetting")</f>
        <v>ne1_ka04d5158_jetting</v>
      </c>
      <c r="D847" s="2">
        <f ca="1">IFERROR(__xludf.DUMMYFUNCTION("""COMPUTED_VALUE"""),45226)</f>
        <v>45226</v>
      </c>
      <c r="E847" s="3">
        <f ca="1">IFERROR(__xludf.DUMMYFUNCTION("""COMPUTED_VALUE"""),0.968356481480441)</f>
        <v>0.96835648148044096</v>
      </c>
      <c r="F847" s="1">
        <f ca="1">IFERROR(__xludf.DUMMYFUNCTION("""COMPUTED_VALUE"""),1921)</f>
        <v>1921</v>
      </c>
      <c r="G847" s="1" t="str">
        <f ca="1">IFERROR(__xludf.DUMMYFUNCTION("""COMPUTED_VALUE"""),"12.9888/77.5652")</f>
        <v>12.9888/77.5652</v>
      </c>
      <c r="H847" s="1" t="str">
        <f ca="1">IFERROR(__xludf.DUMMYFUNCTION("""COMPUTED_VALUE"""),"Srirampuram")</f>
        <v>Srirampuram</v>
      </c>
      <c r="I847" s="1"/>
      <c r="J847" s="1" t="str">
        <f ca="1">IFERROR(__xludf.DUMMYFUNCTION("""COMPUTED_VALUE"""),"0d 00h 00m")</f>
        <v>0d 00h 00m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>
      <c r="A848" s="1">
        <f ca="1">IFERROR(__xludf.DUMMYFUNCTION("""COMPUTED_VALUE"""),173)</f>
        <v>173</v>
      </c>
      <c r="B848" s="1" t="str">
        <f ca="1">IFERROR(__xludf.DUMMYFUNCTION("""COMPUTED_VALUE"""),"NE1_KA04D5158_JETTING")</f>
        <v>NE1_KA04D5158_JETTING</v>
      </c>
      <c r="C848" s="1" t="str">
        <f ca="1">IFERROR(__xludf.DUMMYFUNCTION("""COMPUTED_VALUE"""),"ne1_ka04d5158_jetting")</f>
        <v>ne1_ka04d5158_jetting</v>
      </c>
      <c r="D848" s="2">
        <f ca="1">IFERROR(__xludf.DUMMYFUNCTION("""COMPUTED_VALUE"""),45315)</f>
        <v>45315</v>
      </c>
      <c r="E848" s="3">
        <f ca="1">IFERROR(__xludf.DUMMYFUNCTION("""COMPUTED_VALUE"""),0.787083333332702)</f>
        <v>0.78708333333270197</v>
      </c>
      <c r="F848" s="1">
        <f ca="1">IFERROR(__xludf.DUMMYFUNCTION("""COMPUTED_VALUE"""),3005)</f>
        <v>3005</v>
      </c>
      <c r="G848" s="1" t="str">
        <f ca="1">IFERROR(__xludf.DUMMYFUNCTION("""COMPUTED_VALUE"""),"13.0103/77.5666")</f>
        <v>13.0103/77.5666</v>
      </c>
      <c r="H848" s="1" t="str">
        <f ca="1">IFERROR(__xludf.DUMMYFUNCTION("""COMPUTED_VALUE"""),"Malleshwaram")</f>
        <v>Malleshwaram</v>
      </c>
      <c r="I848" s="1"/>
      <c r="J848" s="1" t="str">
        <f ca="1">IFERROR(__xludf.DUMMYFUNCTION("""COMPUTED_VALUE"""),"0d 00h 00m")</f>
        <v>0d 00h 00m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>
      <c r="A849" s="1">
        <f ca="1">IFERROR(__xludf.DUMMYFUNCTION("""COMPUTED_VALUE"""),1)</f>
        <v>1</v>
      </c>
      <c r="B849" s="1" t="str">
        <f ca="1">IFERROR(__xludf.DUMMYFUNCTION("""COMPUTED_VALUE"""),"NE1_KA04N1245_Jeep")</f>
        <v>NE1_KA04N1245_Jeep</v>
      </c>
      <c r="C849" s="1" t="str">
        <f ca="1">IFERROR(__xludf.DUMMYFUNCTION("""COMPUTED_VALUE"""),"ne1_ka04n1245_jeep")</f>
        <v>ne1_ka04n1245_jeep</v>
      </c>
      <c r="D849" s="2">
        <f ca="1">IFERROR(__xludf.DUMMYFUNCTION("""COMPUTED_VALUE"""),41640)</f>
        <v>41640</v>
      </c>
      <c r="E849" s="3">
        <f ca="1">IFERROR(__xludf.DUMMYFUNCTION("""COMPUTED_VALUE"""),0.259027777778101)</f>
        <v>0.25902777777810099</v>
      </c>
      <c r="F849" s="1">
        <f ca="1">IFERROR(__xludf.DUMMYFUNCTION("""COMPUTED_VALUE"""),25)</f>
        <v>25</v>
      </c>
      <c r="G849" s="1"/>
      <c r="H849" s="1"/>
      <c r="I849" s="1"/>
      <c r="J849" s="1" t="str">
        <f ca="1">IFERROR(__xludf.DUMMYFUNCTION("""COMPUTED_VALUE"""),"14d 18h 45m")</f>
        <v>14d 18h 45m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>
      <c r="A850" s="1">
        <f ca="1">IFERROR(__xludf.DUMMYFUNCTION("""COMPUTED_VALUE"""),1)</f>
        <v>1</v>
      </c>
      <c r="B850" s="1" t="str">
        <f ca="1">IFERROR(__xludf.DUMMYFUNCTION("""COMPUTED_VALUE"""),"NE1_KA04N1245_Jeep")</f>
        <v>NE1_KA04N1245_Jeep</v>
      </c>
      <c r="C850" s="1" t="str">
        <f ca="1">IFERROR(__xludf.DUMMYFUNCTION("""COMPUTED_VALUE"""),"ne1_ka04n1245_jeep")</f>
        <v>ne1_ka04n1245_jeep</v>
      </c>
      <c r="D850" s="2">
        <f ca="1">IFERROR(__xludf.DUMMYFUNCTION("""COMPUTED_VALUE"""),41640)</f>
        <v>41640</v>
      </c>
      <c r="E850" s="3">
        <f ca="1">IFERROR(__xludf.DUMMYFUNCTION("""COMPUTED_VALUE"""),0.259027777778101)</f>
        <v>0.25902777777810099</v>
      </c>
      <c r="F850" s="1">
        <f ca="1">IFERROR(__xludf.DUMMYFUNCTION("""COMPUTED_VALUE"""),25)</f>
        <v>25</v>
      </c>
      <c r="G850" s="1"/>
      <c r="H850" s="1"/>
      <c r="I850" s="1"/>
      <c r="J850" s="1" t="str">
        <f ca="1">IFERROR(__xludf.DUMMYFUNCTION("""COMPUTED_VALUE"""),"14d 18h 46m")</f>
        <v>14d 18h 46m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>
      <c r="A851" s="1">
        <f ca="1">IFERROR(__xludf.DUMMYFUNCTION("""COMPUTED_VALUE"""),1)</f>
        <v>1</v>
      </c>
      <c r="B851" s="1" t="str">
        <f ca="1">IFERROR(__xludf.DUMMYFUNCTION("""COMPUTED_VALUE"""),"NE1_KA04N1245_Jeep")</f>
        <v>NE1_KA04N1245_Jeep</v>
      </c>
      <c r="C851" s="1" t="str">
        <f ca="1">IFERROR(__xludf.DUMMYFUNCTION("""COMPUTED_VALUE"""),"ne1_ka04n1245_jeep")</f>
        <v>ne1_ka04n1245_jeep</v>
      </c>
      <c r="D851" s="2">
        <f ca="1">IFERROR(__xludf.DUMMYFUNCTION("""COMPUTED_VALUE"""),41640)</f>
        <v>41640</v>
      </c>
      <c r="E851" s="3">
        <f ca="1">IFERROR(__xludf.DUMMYFUNCTION("""COMPUTED_VALUE"""),0.259027777778101)</f>
        <v>0.25902777777810099</v>
      </c>
      <c r="F851" s="1">
        <f ca="1">IFERROR(__xludf.DUMMYFUNCTION("""COMPUTED_VALUE"""),25)</f>
        <v>25</v>
      </c>
      <c r="G851" s="1"/>
      <c r="H851" s="1"/>
      <c r="I851" s="1"/>
      <c r="J851" s="1" t="str">
        <f ca="1">IFERROR(__xludf.DUMMYFUNCTION("""COMPUTED_VALUE"""),"14d 18h 47m")</f>
        <v>14d 18h 47m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>
      <c r="A852" s="1">
        <f ca="1">IFERROR(__xludf.DUMMYFUNCTION("""COMPUTED_VALUE"""),1)</f>
        <v>1</v>
      </c>
      <c r="B852" s="1" t="str">
        <f ca="1">IFERROR(__xludf.DUMMYFUNCTION("""COMPUTED_VALUE"""),"NE1_KA04N1245_Jeep")</f>
        <v>NE1_KA04N1245_Jeep</v>
      </c>
      <c r="C852" s="1" t="str">
        <f ca="1">IFERROR(__xludf.DUMMYFUNCTION("""COMPUTED_VALUE"""),"ne1_ka04n1245_jeep")</f>
        <v>ne1_ka04n1245_jeep</v>
      </c>
      <c r="D852" s="2">
        <f ca="1">IFERROR(__xludf.DUMMYFUNCTION("""COMPUTED_VALUE"""),41640)</f>
        <v>41640</v>
      </c>
      <c r="E852" s="3">
        <f ca="1">IFERROR(__xludf.DUMMYFUNCTION("""COMPUTED_VALUE"""),0.259027777778101)</f>
        <v>0.25902777777810099</v>
      </c>
      <c r="F852" s="1">
        <f ca="1">IFERROR(__xludf.DUMMYFUNCTION("""COMPUTED_VALUE"""),25)</f>
        <v>25</v>
      </c>
      <c r="G852" s="1"/>
      <c r="H852" s="1"/>
      <c r="I852" s="1"/>
      <c r="J852" s="1" t="str">
        <f ca="1">IFERROR(__xludf.DUMMYFUNCTION("""COMPUTED_VALUE"""),"14d 18h 47m")</f>
        <v>14d 18h 47m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>
      <c r="A853" s="1">
        <f ca="1">IFERROR(__xludf.DUMMYFUNCTION("""COMPUTED_VALUE"""),1)</f>
        <v>1</v>
      </c>
      <c r="B853" s="1" t="str">
        <f ca="1">IFERROR(__xludf.DUMMYFUNCTION("""COMPUTED_VALUE"""),"NE1_KA04N1245_Jeep")</f>
        <v>NE1_KA04N1245_Jeep</v>
      </c>
      <c r="C853" s="1" t="str">
        <f ca="1">IFERROR(__xludf.DUMMYFUNCTION("""COMPUTED_VALUE"""),"ne1_ka04n1245_jeep")</f>
        <v>ne1_ka04n1245_jeep</v>
      </c>
      <c r="D853" s="2">
        <f ca="1">IFERROR(__xludf.DUMMYFUNCTION("""COMPUTED_VALUE"""),41640)</f>
        <v>41640</v>
      </c>
      <c r="E853" s="3">
        <f ca="1">IFERROR(__xludf.DUMMYFUNCTION("""COMPUTED_VALUE"""),0.259027777778101)</f>
        <v>0.25902777777810099</v>
      </c>
      <c r="F853" s="1">
        <f ca="1">IFERROR(__xludf.DUMMYFUNCTION("""COMPUTED_VALUE"""),25)</f>
        <v>25</v>
      </c>
      <c r="G853" s="1"/>
      <c r="H853" s="1"/>
      <c r="I853" s="1"/>
      <c r="J853" s="1" t="str">
        <f ca="1">IFERROR(__xludf.DUMMYFUNCTION("""COMPUTED_VALUE"""),"14d 18h 48m")</f>
        <v>14d 18h 48m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>
      <c r="A854" s="1">
        <f ca="1">IFERROR(__xludf.DUMMYFUNCTION("""COMPUTED_VALUE"""),1)</f>
        <v>1</v>
      </c>
      <c r="B854" s="1" t="str">
        <f ca="1">IFERROR(__xludf.DUMMYFUNCTION("""COMPUTED_VALUE"""),"NE1_KA04N1245_Jeep")</f>
        <v>NE1_KA04N1245_Jeep</v>
      </c>
      <c r="C854" s="1" t="str">
        <f ca="1">IFERROR(__xludf.DUMMYFUNCTION("""COMPUTED_VALUE"""),"ne1_ka04n1245_jeep")</f>
        <v>ne1_ka04n1245_jeep</v>
      </c>
      <c r="D854" s="2">
        <f ca="1">IFERROR(__xludf.DUMMYFUNCTION("""COMPUTED_VALUE"""),41640)</f>
        <v>41640</v>
      </c>
      <c r="E854" s="3">
        <f ca="1">IFERROR(__xludf.DUMMYFUNCTION("""COMPUTED_VALUE"""),0.259027777778101)</f>
        <v>0.25902777777810099</v>
      </c>
      <c r="F854" s="1">
        <f ca="1">IFERROR(__xludf.DUMMYFUNCTION("""COMPUTED_VALUE"""),25)</f>
        <v>25</v>
      </c>
      <c r="G854" s="1"/>
      <c r="H854" s="1"/>
      <c r="I854" s="1"/>
      <c r="J854" s="1" t="str">
        <f ca="1">IFERROR(__xludf.DUMMYFUNCTION("""COMPUTED_VALUE"""),"14d 18h 49m")</f>
        <v>14d 18h 49m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>
      <c r="A855" s="1">
        <f ca="1">IFERROR(__xludf.DUMMYFUNCTION("""COMPUTED_VALUE"""),52)</f>
        <v>52</v>
      </c>
      <c r="B855" s="1" t="str">
        <f ca="1">IFERROR(__xludf.DUMMYFUNCTION("""COMPUTED_VALUE"""),"NE1_KA04N1245_JEEP")</f>
        <v>NE1_KA04N1245_JEEP</v>
      </c>
      <c r="C855" s="1" t="str">
        <f ca="1">IFERROR(__xludf.DUMMYFUNCTION("""COMPUTED_VALUE"""),"ne1_ka04n1245_jeep")</f>
        <v>ne1_ka04n1245_jeep</v>
      </c>
      <c r="D855" s="2">
        <f ca="1">IFERROR(__xludf.DUMMYFUNCTION("""COMPUTED_VALUE"""),41640)</f>
        <v>41640</v>
      </c>
      <c r="E855" s="3">
        <f ca="1">IFERROR(__xludf.DUMMYFUNCTION("""COMPUTED_VALUE"""),0.390370370369055)</f>
        <v>0.39037037036905498</v>
      </c>
      <c r="F855" s="1">
        <f ca="1">IFERROR(__xludf.DUMMYFUNCTION("""COMPUTED_VALUE"""),2380)</f>
        <v>2380</v>
      </c>
      <c r="G855" s="1" t="str">
        <f ca="1">IFERROR(__xludf.DUMMYFUNCTION("""COMPUTED_VALUE"""),"13.0112/77.5674")</f>
        <v>13.0112/77.5674</v>
      </c>
      <c r="H855" s="1" t="str">
        <f ca="1">IFERROR(__xludf.DUMMYFUNCTION("""COMPUTED_VALUE"""),"Malleshwaram")</f>
        <v>Malleshwaram</v>
      </c>
      <c r="I855" s="1"/>
      <c r="J855" s="1" t="str">
        <f ca="1">IFERROR(__xludf.DUMMYFUNCTION("""COMPUTED_VALUE"""),"1d 21h 34m")</f>
        <v>1d 21h 34m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>
      <c r="A856" s="1">
        <f ca="1">IFERROR(__xludf.DUMMYFUNCTION("""COMPUTED_VALUE"""),52)</f>
        <v>52</v>
      </c>
      <c r="B856" s="1" t="str">
        <f ca="1">IFERROR(__xludf.DUMMYFUNCTION("""COMPUTED_VALUE"""),"NE1_KA04N1245_JEEP")</f>
        <v>NE1_KA04N1245_JEEP</v>
      </c>
      <c r="C856" s="1" t="str">
        <f ca="1">IFERROR(__xludf.DUMMYFUNCTION("""COMPUTED_VALUE"""),"ne1_ka04n1245_jeep")</f>
        <v>ne1_ka04n1245_jeep</v>
      </c>
      <c r="D856" s="2">
        <f ca="1">IFERROR(__xludf.DUMMYFUNCTION("""COMPUTED_VALUE"""),41640)</f>
        <v>41640</v>
      </c>
      <c r="E856" s="3">
        <f ca="1">IFERROR(__xludf.DUMMYFUNCTION("""COMPUTED_VALUE"""),0.390370370369055)</f>
        <v>0.39037037036905498</v>
      </c>
      <c r="F856" s="1">
        <f ca="1">IFERROR(__xludf.DUMMYFUNCTION("""COMPUTED_VALUE"""),2380)</f>
        <v>2380</v>
      </c>
      <c r="G856" s="1" t="str">
        <f ca="1">IFERROR(__xludf.DUMMYFUNCTION("""COMPUTED_VALUE"""),"13.0112/77.5674")</f>
        <v>13.0112/77.5674</v>
      </c>
      <c r="H856" s="1" t="str">
        <f ca="1">IFERROR(__xludf.DUMMYFUNCTION("""COMPUTED_VALUE"""),"Malleshwaram")</f>
        <v>Malleshwaram</v>
      </c>
      <c r="I856" s="1"/>
      <c r="J856" s="1" t="str">
        <f ca="1">IFERROR(__xludf.DUMMYFUNCTION("""COMPUTED_VALUE"""),"1d 21h 35m")</f>
        <v>1d 21h 35m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>
      <c r="A857" s="1">
        <f ca="1">IFERROR(__xludf.DUMMYFUNCTION("""COMPUTED_VALUE"""),130)</f>
        <v>130</v>
      </c>
      <c r="B857" s="1" t="str">
        <f ca="1">IFERROR(__xludf.DUMMYFUNCTION("""COMPUTED_VALUE"""),"NE1_KA04N1245_JEEP")</f>
        <v>NE1_KA04N1245_JEEP</v>
      </c>
      <c r="C857" s="1" t="str">
        <f ca="1">IFERROR(__xludf.DUMMYFUNCTION("""COMPUTED_VALUE"""),"ne1_ka04n1245_jeep")</f>
        <v>ne1_ka04n1245_jeep</v>
      </c>
      <c r="D857" s="2">
        <f ca="1">IFERROR(__xludf.DUMMYFUNCTION("""COMPUTED_VALUE"""),44902)</f>
        <v>44902</v>
      </c>
      <c r="E857" s="3">
        <f ca="1">IFERROR(__xludf.DUMMYFUNCTION("""COMPUTED_VALUE"""),0.0316782407389837)</f>
        <v>3.1678240738983697E-2</v>
      </c>
      <c r="F857" s="1">
        <f ca="1">IFERROR(__xludf.DUMMYFUNCTION("""COMPUTED_VALUE"""),1733)</f>
        <v>1733</v>
      </c>
      <c r="G857" s="1" t="str">
        <f ca="1">IFERROR(__xludf.DUMMYFUNCTION("""COMPUTED_VALUE"""),"13.0105/77.5665")</f>
        <v>13.0105/77.5665</v>
      </c>
      <c r="H857" s="1" t="str">
        <f ca="1">IFERROR(__xludf.DUMMYFUNCTION("""COMPUTED_VALUE"""),"Malleshwaram")</f>
        <v>Malleshwaram</v>
      </c>
      <c r="I857" s="1"/>
      <c r="J857" s="1" t="str">
        <f ca="1">IFERROR(__xludf.DUMMYFUNCTION("""COMPUTED_VALUE"""),"1d 21h 37m")</f>
        <v>1d 21h 37m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>
      <c r="A858" s="1">
        <f ca="1">IFERROR(__xludf.DUMMYFUNCTION("""COMPUTED_VALUE"""),129)</f>
        <v>129</v>
      </c>
      <c r="B858" s="1" t="str">
        <f ca="1">IFERROR(__xludf.DUMMYFUNCTION("""COMPUTED_VALUE"""),"NE1_KA04N1245_JEEP")</f>
        <v>NE1_KA04N1245_JEEP</v>
      </c>
      <c r="C858" s="1" t="str">
        <f ca="1">IFERROR(__xludf.DUMMYFUNCTION("""COMPUTED_VALUE"""),"ne1_ka04n1245_jeep")</f>
        <v>ne1_ka04n1245_jeep</v>
      </c>
      <c r="D858" s="2">
        <f ca="1">IFERROR(__xludf.DUMMYFUNCTION("""COMPUTED_VALUE"""),44902)</f>
        <v>44902</v>
      </c>
      <c r="E858" s="3">
        <f ca="1">IFERROR(__xludf.DUMMYFUNCTION("""COMPUTED_VALUE"""),0.0316782407389837)</f>
        <v>3.1678240738983697E-2</v>
      </c>
      <c r="F858" s="1">
        <f ca="1">IFERROR(__xludf.DUMMYFUNCTION("""COMPUTED_VALUE"""),1733)</f>
        <v>1733</v>
      </c>
      <c r="G858" s="1" t="str">
        <f ca="1">IFERROR(__xludf.DUMMYFUNCTION("""COMPUTED_VALUE"""),"13.0105/77.5665")</f>
        <v>13.0105/77.5665</v>
      </c>
      <c r="H858" s="1" t="str">
        <f ca="1">IFERROR(__xludf.DUMMYFUNCTION("""COMPUTED_VALUE"""),"Malleshwaram")</f>
        <v>Malleshwaram</v>
      </c>
      <c r="I858" s="1"/>
      <c r="J858" s="1" t="str">
        <f ca="1">IFERROR(__xludf.DUMMYFUNCTION("""COMPUTED_VALUE"""),"1d 21h 38m")</f>
        <v>1d 21h 38m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>
      <c r="A859" s="1">
        <f ca="1">IFERROR(__xludf.DUMMYFUNCTION("""COMPUTED_VALUE"""),127)</f>
        <v>127</v>
      </c>
      <c r="B859" s="1" t="str">
        <f ca="1">IFERROR(__xludf.DUMMYFUNCTION("""COMPUTED_VALUE"""),"NE1_KA04N1245_JEEP")</f>
        <v>NE1_KA04N1245_JEEP</v>
      </c>
      <c r="C859" s="1" t="str">
        <f ca="1">IFERROR(__xludf.DUMMYFUNCTION("""COMPUTED_VALUE"""),"ne1_ka04n1245_jeep")</f>
        <v>ne1_ka04n1245_jeep</v>
      </c>
      <c r="D859" s="2">
        <f ca="1">IFERROR(__xludf.DUMMYFUNCTION("""COMPUTED_VALUE"""),44902)</f>
        <v>44902</v>
      </c>
      <c r="E859" s="3">
        <f ca="1">IFERROR(__xludf.DUMMYFUNCTION("""COMPUTED_VALUE"""),0.0316782407389837)</f>
        <v>3.1678240738983697E-2</v>
      </c>
      <c r="F859" s="1">
        <f ca="1">IFERROR(__xludf.DUMMYFUNCTION("""COMPUTED_VALUE"""),1733)</f>
        <v>1733</v>
      </c>
      <c r="G859" s="1" t="str">
        <f ca="1">IFERROR(__xludf.DUMMYFUNCTION("""COMPUTED_VALUE"""),"13.0105/77.5665")</f>
        <v>13.0105/77.5665</v>
      </c>
      <c r="H859" s="1" t="str">
        <f ca="1">IFERROR(__xludf.DUMMYFUNCTION("""COMPUTED_VALUE"""),"Malleshwaram")</f>
        <v>Malleshwaram</v>
      </c>
      <c r="I859" s="1"/>
      <c r="J859" s="1" t="str">
        <f ca="1">IFERROR(__xludf.DUMMYFUNCTION("""COMPUTED_VALUE"""),"1d 21h 40m")</f>
        <v>1d 21h 40m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>
      <c r="A860" s="1">
        <f ca="1">IFERROR(__xludf.DUMMYFUNCTION("""COMPUTED_VALUE"""),154)</f>
        <v>154</v>
      </c>
      <c r="B860" s="1" t="str">
        <f ca="1">IFERROR(__xludf.DUMMYFUNCTION("""COMPUTED_VALUE"""),"NE1_KA04N1245_JEEP")</f>
        <v>NE1_KA04N1245_JEEP</v>
      </c>
      <c r="C860" s="1" t="str">
        <f ca="1">IFERROR(__xludf.DUMMYFUNCTION("""COMPUTED_VALUE"""),"ne1_ka04n1245_jeep")</f>
        <v>ne1_ka04n1245_jeep</v>
      </c>
      <c r="D860" s="2">
        <f ca="1">IFERROR(__xludf.DUMMYFUNCTION("""COMPUTED_VALUE"""),45226)</f>
        <v>45226</v>
      </c>
      <c r="E860" s="3">
        <f ca="1">IFERROR(__xludf.DUMMYFUNCTION("""COMPUTED_VALUE"""),0.686412037037371)</f>
        <v>0.68641203703737097</v>
      </c>
      <c r="F860" s="1">
        <f ca="1">IFERROR(__xludf.DUMMYFUNCTION("""COMPUTED_VALUE"""),2314)</f>
        <v>2314</v>
      </c>
      <c r="G860" s="1" t="str">
        <f ca="1">IFERROR(__xludf.DUMMYFUNCTION("""COMPUTED_VALUE"""),"13.0105/77.5686")</f>
        <v>13.0105/77.5686</v>
      </c>
      <c r="H860" s="1" t="str">
        <f ca="1">IFERROR(__xludf.DUMMYFUNCTION("""COMPUTED_VALUE"""),"Malleshwaram")</f>
        <v>Malleshwaram</v>
      </c>
      <c r="I860" s="1"/>
      <c r="J860" s="1" t="str">
        <f ca="1">IFERROR(__xludf.DUMMYFUNCTION("""COMPUTED_VALUE"""),"1d 21h 41m")</f>
        <v>1d 21h 41m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>
      <c r="A861" s="1">
        <f ca="1">IFERROR(__xludf.DUMMYFUNCTION("""COMPUTED_VALUE"""),146)</f>
        <v>146</v>
      </c>
      <c r="B861" s="1" t="str">
        <f ca="1">IFERROR(__xludf.DUMMYFUNCTION("""COMPUTED_VALUE"""),"NE1_KA04N1245_JEEP")</f>
        <v>NE1_KA04N1245_JEEP</v>
      </c>
      <c r="C861" s="1" t="str">
        <f ca="1">IFERROR(__xludf.DUMMYFUNCTION("""COMPUTED_VALUE"""),"ne1_ka04n1245_jeep")</f>
        <v>ne1_ka04n1245_jeep</v>
      </c>
      <c r="D861" s="2">
        <f ca="1">IFERROR(__xludf.DUMMYFUNCTION("""COMPUTED_VALUE"""),45272)</f>
        <v>45272</v>
      </c>
      <c r="E861" s="3">
        <f ca="1">IFERROR(__xludf.DUMMYFUNCTION("""COMPUTED_VALUE"""),0.649224537035479)</f>
        <v>0.649224537035479</v>
      </c>
      <c r="F861" s="1">
        <f ca="1">IFERROR(__xludf.DUMMYFUNCTION("""COMPUTED_VALUE"""),2372)</f>
        <v>2372</v>
      </c>
      <c r="G861" s="1" t="str">
        <f ca="1">IFERROR(__xludf.DUMMYFUNCTION("""COMPUTED_VALUE"""),"13.0107/77.5678")</f>
        <v>13.0107/77.5678</v>
      </c>
      <c r="H861" s="1" t="str">
        <f ca="1">IFERROR(__xludf.DUMMYFUNCTION("""COMPUTED_VALUE"""),"Malleshwaram")</f>
        <v>Malleshwaram</v>
      </c>
      <c r="I861" s="1"/>
      <c r="J861" s="1" t="str">
        <f ca="1">IFERROR(__xludf.DUMMYFUNCTION("""COMPUTED_VALUE"""),"1d 21h 42m")</f>
        <v>1d 21h 42m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>
      <c r="A862" s="1">
        <f ca="1">IFERROR(__xludf.DUMMYFUNCTION("""COMPUTED_VALUE"""),79)</f>
        <v>79</v>
      </c>
      <c r="B862" s="1" t="str">
        <f ca="1">IFERROR(__xludf.DUMMYFUNCTION("""COMPUTED_VALUE"""),"NE2_KA02AC5944_JETTING")</f>
        <v>NE2_KA02AC5944_JETTING</v>
      </c>
      <c r="C862" s="1" t="str">
        <f ca="1">IFERROR(__xludf.DUMMYFUNCTION("""COMPUTED_VALUE"""),"ne2_ka02ac5944_jetting")</f>
        <v>ne2_ka02ac5944_jetting</v>
      </c>
      <c r="D862" s="2">
        <f ca="1">IFERROR(__xludf.DUMMYFUNCTION("""COMPUTED_VALUE"""),41640)</f>
        <v>41640</v>
      </c>
      <c r="E862" s="3">
        <f ca="1">IFERROR(__xludf.DUMMYFUNCTION("""COMPUTED_VALUE"""),0.660879629631381)</f>
        <v>0.66087962963138103</v>
      </c>
      <c r="F862" s="1">
        <f ca="1">IFERROR(__xludf.DUMMYFUNCTION("""COMPUTED_VALUE"""),63270)</f>
        <v>63270</v>
      </c>
      <c r="G862" s="1" t="str">
        <f ca="1">IFERROR(__xludf.DUMMYFUNCTION("""COMPUTED_VALUE"""),"13.0349/77.5726")</f>
        <v>13.0349/77.5726</v>
      </c>
      <c r="H862" s="1" t="str">
        <f ca="1">IFERROR(__xludf.DUMMYFUNCTION("""COMPUTED_VALUE"""),"Sanjay Nagar")</f>
        <v>Sanjay Nagar</v>
      </c>
      <c r="I862" s="1"/>
      <c r="J862" s="1" t="str">
        <f ca="1">IFERROR(__xludf.DUMMYFUNCTION("""COMPUTED_VALUE"""),"0d 00h 00m")</f>
        <v>0d 00h 00m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>
      <c r="A863" s="1">
        <f ca="1">IFERROR(__xludf.DUMMYFUNCTION("""COMPUTED_VALUE"""),79)</f>
        <v>79</v>
      </c>
      <c r="B863" s="1" t="str">
        <f ca="1">IFERROR(__xludf.DUMMYFUNCTION("""COMPUTED_VALUE"""),"NE2_KA02AC5944_JETTING")</f>
        <v>NE2_KA02AC5944_JETTING</v>
      </c>
      <c r="C863" s="1" t="str">
        <f ca="1">IFERROR(__xludf.DUMMYFUNCTION("""COMPUTED_VALUE"""),"ne2_ka02ac5944_jetting")</f>
        <v>ne2_ka02ac5944_jetting</v>
      </c>
      <c r="D863" s="2">
        <f ca="1">IFERROR(__xludf.DUMMYFUNCTION("""COMPUTED_VALUE"""),41640)</f>
        <v>41640</v>
      </c>
      <c r="E863" s="3">
        <f ca="1">IFERROR(__xludf.DUMMYFUNCTION("""COMPUTED_VALUE"""),0.660879629631381)</f>
        <v>0.66087962963138103</v>
      </c>
      <c r="F863" s="1">
        <f ca="1">IFERROR(__xludf.DUMMYFUNCTION("""COMPUTED_VALUE"""),63270)</f>
        <v>63270</v>
      </c>
      <c r="G863" s="1" t="str">
        <f ca="1">IFERROR(__xludf.DUMMYFUNCTION("""COMPUTED_VALUE"""),"13.0349/77.5726")</f>
        <v>13.0349/77.5726</v>
      </c>
      <c r="H863" s="1" t="str">
        <f ca="1">IFERROR(__xludf.DUMMYFUNCTION("""COMPUTED_VALUE"""),"Sanjay Nagar")</f>
        <v>Sanjay Nagar</v>
      </c>
      <c r="I863" s="1"/>
      <c r="J863" s="1" t="str">
        <f ca="1">IFERROR(__xludf.DUMMYFUNCTION("""COMPUTED_VALUE"""),"0d 00h 00m")</f>
        <v>0d 00h 00m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>
      <c r="A864" s="1">
        <f ca="1">IFERROR(__xludf.DUMMYFUNCTION("""COMPUTED_VALUE"""),77)</f>
        <v>77</v>
      </c>
      <c r="B864" s="1" t="str">
        <f ca="1">IFERROR(__xludf.DUMMYFUNCTION("""COMPUTED_VALUE"""),"NE2_KA02AC5944_JETTING")</f>
        <v>NE2_KA02AC5944_JETTING</v>
      </c>
      <c r="C864" s="1" t="str">
        <f ca="1">IFERROR(__xludf.DUMMYFUNCTION("""COMPUTED_VALUE"""),"ne2_ka02ac5944_jetting")</f>
        <v>ne2_ka02ac5944_jetting</v>
      </c>
      <c r="D864" s="2">
        <f ca="1">IFERROR(__xludf.DUMMYFUNCTION("""COMPUTED_VALUE"""),41640)</f>
        <v>41640</v>
      </c>
      <c r="E864" s="3">
        <f ca="1">IFERROR(__xludf.DUMMYFUNCTION("""COMPUTED_VALUE"""),0.660879629631381)</f>
        <v>0.66087962963138103</v>
      </c>
      <c r="F864" s="1">
        <f ca="1">IFERROR(__xludf.DUMMYFUNCTION("""COMPUTED_VALUE"""),63270)</f>
        <v>63270</v>
      </c>
      <c r="G864" s="1" t="str">
        <f ca="1">IFERROR(__xludf.DUMMYFUNCTION("""COMPUTED_VALUE"""),"13.0349/77.5726")</f>
        <v>13.0349/77.5726</v>
      </c>
      <c r="H864" s="1" t="str">
        <f ca="1">IFERROR(__xludf.DUMMYFUNCTION("""COMPUTED_VALUE"""),"Sanjay Nagar")</f>
        <v>Sanjay Nagar</v>
      </c>
      <c r="I864" s="1"/>
      <c r="J864" s="1" t="str">
        <f ca="1">IFERROR(__xludf.DUMMYFUNCTION("""COMPUTED_VALUE"""),"0d 00h 00m")</f>
        <v>0d 00h 00m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>
      <c r="A865" s="1">
        <f ca="1">IFERROR(__xludf.DUMMYFUNCTION("""COMPUTED_VALUE"""),77)</f>
        <v>77</v>
      </c>
      <c r="B865" s="1" t="str">
        <f ca="1">IFERROR(__xludf.DUMMYFUNCTION("""COMPUTED_VALUE"""),"NE2_KA02AC5944_JETTING")</f>
        <v>NE2_KA02AC5944_JETTING</v>
      </c>
      <c r="C865" s="1" t="str">
        <f ca="1">IFERROR(__xludf.DUMMYFUNCTION("""COMPUTED_VALUE"""),"ne2_ka02ac5944_jetting")</f>
        <v>ne2_ka02ac5944_jetting</v>
      </c>
      <c r="D865" s="2">
        <f ca="1">IFERROR(__xludf.DUMMYFUNCTION("""COMPUTED_VALUE"""),41640)</f>
        <v>41640</v>
      </c>
      <c r="E865" s="3">
        <f ca="1">IFERROR(__xludf.DUMMYFUNCTION("""COMPUTED_VALUE"""),0.660879629631381)</f>
        <v>0.66087962963138103</v>
      </c>
      <c r="F865" s="1">
        <f ca="1">IFERROR(__xludf.DUMMYFUNCTION("""COMPUTED_VALUE"""),63270)</f>
        <v>63270</v>
      </c>
      <c r="G865" s="1" t="str">
        <f ca="1">IFERROR(__xludf.DUMMYFUNCTION("""COMPUTED_VALUE"""),"13.0349/77.5726")</f>
        <v>13.0349/77.5726</v>
      </c>
      <c r="H865" s="1" t="str">
        <f ca="1">IFERROR(__xludf.DUMMYFUNCTION("""COMPUTED_VALUE"""),"Sanjay Nagar")</f>
        <v>Sanjay Nagar</v>
      </c>
      <c r="I865" s="1"/>
      <c r="J865" s="1" t="str">
        <f ca="1">IFERROR(__xludf.DUMMYFUNCTION("""COMPUTED_VALUE"""),"0d 00h 00m")</f>
        <v>0d 00h 00m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>
      <c r="A866" s="1">
        <f ca="1">IFERROR(__xludf.DUMMYFUNCTION("""COMPUTED_VALUE"""),77)</f>
        <v>77</v>
      </c>
      <c r="B866" s="1" t="str">
        <f ca="1">IFERROR(__xludf.DUMMYFUNCTION("""COMPUTED_VALUE"""),"NE2_KA02AC5944_JETTING")</f>
        <v>NE2_KA02AC5944_JETTING</v>
      </c>
      <c r="C866" s="1" t="str">
        <f ca="1">IFERROR(__xludf.DUMMYFUNCTION("""COMPUTED_VALUE"""),"ne2_ka02ac5944_jetting")</f>
        <v>ne2_ka02ac5944_jetting</v>
      </c>
      <c r="D866" s="2">
        <f ca="1">IFERROR(__xludf.DUMMYFUNCTION("""COMPUTED_VALUE"""),41640)</f>
        <v>41640</v>
      </c>
      <c r="E866" s="3">
        <f ca="1">IFERROR(__xludf.DUMMYFUNCTION("""COMPUTED_VALUE"""),0.660879629631381)</f>
        <v>0.66087962963138103</v>
      </c>
      <c r="F866" s="1">
        <f ca="1">IFERROR(__xludf.DUMMYFUNCTION("""COMPUTED_VALUE"""),63270)</f>
        <v>63270</v>
      </c>
      <c r="G866" s="1" t="str">
        <f ca="1">IFERROR(__xludf.DUMMYFUNCTION("""COMPUTED_VALUE"""),"13.0349/77.5726")</f>
        <v>13.0349/77.5726</v>
      </c>
      <c r="H866" s="1" t="str">
        <f ca="1">IFERROR(__xludf.DUMMYFUNCTION("""COMPUTED_VALUE"""),"Sanjay Nagar")</f>
        <v>Sanjay Nagar</v>
      </c>
      <c r="I866" s="1"/>
      <c r="J866" s="1" t="str">
        <f ca="1">IFERROR(__xludf.DUMMYFUNCTION("""COMPUTED_VALUE"""),"0d 00h 00m")</f>
        <v>0d 00h 00m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>
      <c r="A867" s="1">
        <f ca="1">IFERROR(__xludf.DUMMYFUNCTION("""COMPUTED_VALUE"""),77)</f>
        <v>77</v>
      </c>
      <c r="B867" s="1" t="str">
        <f ca="1">IFERROR(__xludf.DUMMYFUNCTION("""COMPUTED_VALUE"""),"NE2_KA02AC5944_JETTING")</f>
        <v>NE2_KA02AC5944_JETTING</v>
      </c>
      <c r="C867" s="1" t="str">
        <f ca="1">IFERROR(__xludf.DUMMYFUNCTION("""COMPUTED_VALUE"""),"ne2_ka02ac5944_jetting")</f>
        <v>ne2_ka02ac5944_jetting</v>
      </c>
      <c r="D867" s="2">
        <f ca="1">IFERROR(__xludf.DUMMYFUNCTION("""COMPUTED_VALUE"""),41640)</f>
        <v>41640</v>
      </c>
      <c r="E867" s="3">
        <f ca="1">IFERROR(__xludf.DUMMYFUNCTION("""COMPUTED_VALUE"""),0.660879629631381)</f>
        <v>0.66087962963138103</v>
      </c>
      <c r="F867" s="1">
        <f ca="1">IFERROR(__xludf.DUMMYFUNCTION("""COMPUTED_VALUE"""),63270)</f>
        <v>63270</v>
      </c>
      <c r="G867" s="1" t="str">
        <f ca="1">IFERROR(__xludf.DUMMYFUNCTION("""COMPUTED_VALUE"""),"13.0349/77.5726")</f>
        <v>13.0349/77.5726</v>
      </c>
      <c r="H867" s="1" t="str">
        <f ca="1">IFERROR(__xludf.DUMMYFUNCTION("""COMPUTED_VALUE"""),"Sanjay Nagar")</f>
        <v>Sanjay Nagar</v>
      </c>
      <c r="I867" s="1"/>
      <c r="J867" s="1" t="str">
        <f ca="1">IFERROR(__xludf.DUMMYFUNCTION("""COMPUTED_VALUE"""),"0d 00h 00m")</f>
        <v>0d 00h 00m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>
      <c r="A868" s="1">
        <f ca="1">IFERROR(__xludf.DUMMYFUNCTION("""COMPUTED_VALUE"""),77)</f>
        <v>77</v>
      </c>
      <c r="B868" s="1" t="str">
        <f ca="1">IFERROR(__xludf.DUMMYFUNCTION("""COMPUTED_VALUE"""),"NE2_KA02AC5944_JETTING")</f>
        <v>NE2_KA02AC5944_JETTING</v>
      </c>
      <c r="C868" s="1" t="str">
        <f ca="1">IFERROR(__xludf.DUMMYFUNCTION("""COMPUTED_VALUE"""),"ne2_ka02ac5944_jetting")</f>
        <v>ne2_ka02ac5944_jetting</v>
      </c>
      <c r="D868" s="2">
        <f ca="1">IFERROR(__xludf.DUMMYFUNCTION("""COMPUTED_VALUE"""),41640)</f>
        <v>41640</v>
      </c>
      <c r="E868" s="3">
        <f ca="1">IFERROR(__xludf.DUMMYFUNCTION("""COMPUTED_VALUE"""),0.660879629631381)</f>
        <v>0.66087962963138103</v>
      </c>
      <c r="F868" s="1">
        <f ca="1">IFERROR(__xludf.DUMMYFUNCTION("""COMPUTED_VALUE"""),63270)</f>
        <v>63270</v>
      </c>
      <c r="G868" s="1" t="str">
        <f ca="1">IFERROR(__xludf.DUMMYFUNCTION("""COMPUTED_VALUE"""),"13.0349/77.5726")</f>
        <v>13.0349/77.5726</v>
      </c>
      <c r="H868" s="1" t="str">
        <f ca="1">IFERROR(__xludf.DUMMYFUNCTION("""COMPUTED_VALUE"""),"Sanjay Nagar")</f>
        <v>Sanjay Nagar</v>
      </c>
      <c r="I868" s="1"/>
      <c r="J868" s="1" t="str">
        <f ca="1">IFERROR(__xludf.DUMMYFUNCTION("""COMPUTED_VALUE"""),"0d 00h 00m")</f>
        <v>0d 00h 00m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>
      <c r="A869" s="1">
        <f ca="1">IFERROR(__xludf.DUMMYFUNCTION("""COMPUTED_VALUE"""),141)</f>
        <v>141</v>
      </c>
      <c r="B869" s="1" t="str">
        <f ca="1">IFERROR(__xludf.DUMMYFUNCTION("""COMPUTED_VALUE"""),"NE2_KA049930_TANKER")</f>
        <v>NE2_KA049930_TANKER</v>
      </c>
      <c r="C869" s="1" t="str">
        <f ca="1">IFERROR(__xludf.DUMMYFUNCTION("""COMPUTED_VALUE"""),"ne2_ka049930_tanker")</f>
        <v>ne2_ka049930_tanker</v>
      </c>
      <c r="D869" s="2">
        <f ca="1">IFERROR(__xludf.DUMMYFUNCTION("""COMPUTED_VALUE"""),44974)</f>
        <v>44974</v>
      </c>
      <c r="E869" s="3">
        <f ca="1">IFERROR(__xludf.DUMMYFUNCTION("""COMPUTED_VALUE"""),0.741504629630071)</f>
        <v>0.74150462963007102</v>
      </c>
      <c r="F869" s="1">
        <f ca="1">IFERROR(__xludf.DUMMYFUNCTION("""COMPUTED_VALUE"""),30579)</f>
        <v>30579</v>
      </c>
      <c r="G869" s="1" t="str">
        <f ca="1">IFERROR(__xludf.DUMMYFUNCTION("""COMPUTED_VALUE"""),"13.0106/77.5674")</f>
        <v>13.0106/77.5674</v>
      </c>
      <c r="H869" s="1" t="str">
        <f ca="1">IFERROR(__xludf.DUMMYFUNCTION("""COMPUTED_VALUE"""),"Malleshwaram")</f>
        <v>Malleshwaram</v>
      </c>
      <c r="I869" s="1"/>
      <c r="J869" s="1" t="str">
        <f ca="1">IFERROR(__xludf.DUMMYFUNCTION("""COMPUTED_VALUE"""),"396d 17h 41m")</f>
        <v>396d 17h 41m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>
      <c r="A870" s="1">
        <f ca="1">IFERROR(__xludf.DUMMYFUNCTION("""COMPUTED_VALUE"""),133)</f>
        <v>133</v>
      </c>
      <c r="B870" s="1" t="str">
        <f ca="1">IFERROR(__xludf.DUMMYFUNCTION("""COMPUTED_VALUE"""),"NE2_KA049930_TANKER")</f>
        <v>NE2_KA049930_TANKER</v>
      </c>
      <c r="C870" s="1" t="str">
        <f ca="1">IFERROR(__xludf.DUMMYFUNCTION("""COMPUTED_VALUE"""),"ne2_ka049930_tanker")</f>
        <v>ne2_ka049930_tanker</v>
      </c>
      <c r="D870" s="2">
        <f ca="1">IFERROR(__xludf.DUMMYFUNCTION("""COMPUTED_VALUE"""),44974)</f>
        <v>44974</v>
      </c>
      <c r="E870" s="3">
        <f ca="1">IFERROR(__xludf.DUMMYFUNCTION("""COMPUTED_VALUE"""),0.741504629630071)</f>
        <v>0.74150462963007102</v>
      </c>
      <c r="F870" s="1">
        <f ca="1">IFERROR(__xludf.DUMMYFUNCTION("""COMPUTED_VALUE"""),30579)</f>
        <v>30579</v>
      </c>
      <c r="G870" s="1" t="str">
        <f ca="1">IFERROR(__xludf.DUMMYFUNCTION("""COMPUTED_VALUE"""),"13.0106/77.5674")</f>
        <v>13.0106/77.5674</v>
      </c>
      <c r="H870" s="1" t="str">
        <f ca="1">IFERROR(__xludf.DUMMYFUNCTION("""COMPUTED_VALUE"""),"Malleshwaram")</f>
        <v>Malleshwaram</v>
      </c>
      <c r="I870" s="1"/>
      <c r="J870" s="1" t="str">
        <f ca="1">IFERROR(__xludf.DUMMYFUNCTION("""COMPUTED_VALUE"""),"396d 17h 42m")</f>
        <v>396d 17h 42m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>
      <c r="A871" s="1">
        <f ca="1">IFERROR(__xludf.DUMMYFUNCTION("""COMPUTED_VALUE"""),130)</f>
        <v>130</v>
      </c>
      <c r="B871" s="1" t="str">
        <f ca="1">IFERROR(__xludf.DUMMYFUNCTION("""COMPUTED_VALUE"""),"NE2_KA049930_TANKER")</f>
        <v>NE2_KA049930_TANKER</v>
      </c>
      <c r="C871" s="1" t="str">
        <f ca="1">IFERROR(__xludf.DUMMYFUNCTION("""COMPUTED_VALUE"""),"ne2_ka049930_tanker")</f>
        <v>ne2_ka049930_tanker</v>
      </c>
      <c r="D871" s="2">
        <f ca="1">IFERROR(__xludf.DUMMYFUNCTION("""COMPUTED_VALUE"""),44974)</f>
        <v>44974</v>
      </c>
      <c r="E871" s="3">
        <f ca="1">IFERROR(__xludf.DUMMYFUNCTION("""COMPUTED_VALUE"""),0.741504629630071)</f>
        <v>0.74150462963007102</v>
      </c>
      <c r="F871" s="1">
        <f ca="1">IFERROR(__xludf.DUMMYFUNCTION("""COMPUTED_VALUE"""),30579)</f>
        <v>30579</v>
      </c>
      <c r="G871" s="1" t="str">
        <f ca="1">IFERROR(__xludf.DUMMYFUNCTION("""COMPUTED_VALUE"""),"13.0106/77.5674")</f>
        <v>13.0106/77.5674</v>
      </c>
      <c r="H871" s="1" t="str">
        <f ca="1">IFERROR(__xludf.DUMMYFUNCTION("""COMPUTED_VALUE"""),"Malleshwaram")</f>
        <v>Malleshwaram</v>
      </c>
      <c r="I871" s="1"/>
      <c r="J871" s="1" t="str">
        <f ca="1">IFERROR(__xludf.DUMMYFUNCTION("""COMPUTED_VALUE"""),"396d 17h 44m")</f>
        <v>396d 17h 44m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>
      <c r="A872" s="1">
        <f ca="1">IFERROR(__xludf.DUMMYFUNCTION("""COMPUTED_VALUE"""),130)</f>
        <v>130</v>
      </c>
      <c r="B872" s="1" t="str">
        <f ca="1">IFERROR(__xludf.DUMMYFUNCTION("""COMPUTED_VALUE"""),"NE2_KA049930_TANKER")</f>
        <v>NE2_KA049930_TANKER</v>
      </c>
      <c r="C872" s="1" t="str">
        <f ca="1">IFERROR(__xludf.DUMMYFUNCTION("""COMPUTED_VALUE"""),"ne2_ka049930_tanker")</f>
        <v>ne2_ka049930_tanker</v>
      </c>
      <c r="D872" s="2">
        <f ca="1">IFERROR(__xludf.DUMMYFUNCTION("""COMPUTED_VALUE"""),44974)</f>
        <v>44974</v>
      </c>
      <c r="E872" s="3">
        <f ca="1">IFERROR(__xludf.DUMMYFUNCTION("""COMPUTED_VALUE"""),0.741504629630071)</f>
        <v>0.74150462963007102</v>
      </c>
      <c r="F872" s="1">
        <f ca="1">IFERROR(__xludf.DUMMYFUNCTION("""COMPUTED_VALUE"""),30579)</f>
        <v>30579</v>
      </c>
      <c r="G872" s="1" t="str">
        <f ca="1">IFERROR(__xludf.DUMMYFUNCTION("""COMPUTED_VALUE"""),"13.0106/77.5674")</f>
        <v>13.0106/77.5674</v>
      </c>
      <c r="H872" s="1" t="str">
        <f ca="1">IFERROR(__xludf.DUMMYFUNCTION("""COMPUTED_VALUE"""),"Malleshwaram")</f>
        <v>Malleshwaram</v>
      </c>
      <c r="I872" s="1"/>
      <c r="J872" s="1" t="str">
        <f ca="1">IFERROR(__xludf.DUMMYFUNCTION("""COMPUTED_VALUE"""),"396d 17h 45m")</f>
        <v>396d 17h 45m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>
      <c r="A873" s="1">
        <f ca="1">IFERROR(__xludf.DUMMYFUNCTION("""COMPUTED_VALUE"""),14)</f>
        <v>14</v>
      </c>
      <c r="B873" s="1" t="str">
        <f ca="1">IFERROR(__xludf.DUMMYFUNCTION("""COMPUTED_VALUE"""),"NE2_KA04A3048_Jetting")</f>
        <v>NE2_KA04A3048_Jetting</v>
      </c>
      <c r="C873" s="1" t="str">
        <f ca="1">IFERROR(__xludf.DUMMYFUNCTION("""COMPUTED_VALUE"""),"ne2_ka04a3048_jetting")</f>
        <v>ne2_ka04a3048_jetting</v>
      </c>
      <c r="D873" s="2">
        <f ca="1">IFERROR(__xludf.DUMMYFUNCTION("""COMPUTED_VALUE"""),43838)</f>
        <v>43838</v>
      </c>
      <c r="E873" s="3">
        <f ca="1">IFERROR(__xludf.DUMMYFUNCTION("""COMPUTED_VALUE"""),0.432118055556202)</f>
        <v>0.43211805555620197</v>
      </c>
      <c r="F873" s="1">
        <f ca="1">IFERROR(__xludf.DUMMYFUNCTION("""COMPUTED_VALUE"""),15629)</f>
        <v>15629</v>
      </c>
      <c r="G873" s="1" t="str">
        <f ca="1">IFERROR(__xludf.DUMMYFUNCTION("""COMPUTED_VALUE"""),"13.0186/77.6128")</f>
        <v>13.0186/77.6128</v>
      </c>
      <c r="H873" s="1" t="str">
        <f ca="1">IFERROR(__xludf.DUMMYFUNCTION("""COMPUTED_VALUE"""),"KÄval Bhairsandra")</f>
        <v>KÄval Bhairsandra</v>
      </c>
      <c r="I873" s="1"/>
      <c r="J873" s="1" t="str">
        <f ca="1">IFERROR(__xludf.DUMMYFUNCTION("""COMPUTED_VALUE"""),"1079d 00h 03m")</f>
        <v>1079d 00h 03m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>
      <c r="A874" s="1">
        <f ca="1">IFERROR(__xludf.DUMMYFUNCTION("""COMPUTED_VALUE"""),14)</f>
        <v>14</v>
      </c>
      <c r="B874" s="1" t="str">
        <f ca="1">IFERROR(__xludf.DUMMYFUNCTION("""COMPUTED_VALUE"""),"NE2_KA04A3048_Jetting")</f>
        <v>NE2_KA04A3048_Jetting</v>
      </c>
      <c r="C874" s="1" t="str">
        <f ca="1">IFERROR(__xludf.DUMMYFUNCTION("""COMPUTED_VALUE"""),"ne2_ka04a3048_jetting")</f>
        <v>ne2_ka04a3048_jetting</v>
      </c>
      <c r="D874" s="2">
        <f ca="1">IFERROR(__xludf.DUMMYFUNCTION("""COMPUTED_VALUE"""),43838)</f>
        <v>43838</v>
      </c>
      <c r="E874" s="3">
        <f ca="1">IFERROR(__xludf.DUMMYFUNCTION("""COMPUTED_VALUE"""),0.432118055556202)</f>
        <v>0.43211805555620197</v>
      </c>
      <c r="F874" s="1">
        <f ca="1">IFERROR(__xludf.DUMMYFUNCTION("""COMPUTED_VALUE"""),15629)</f>
        <v>15629</v>
      </c>
      <c r="G874" s="1" t="str">
        <f ca="1">IFERROR(__xludf.DUMMYFUNCTION("""COMPUTED_VALUE"""),"13.0186/77.6128")</f>
        <v>13.0186/77.6128</v>
      </c>
      <c r="H874" s="1" t="str">
        <f ca="1">IFERROR(__xludf.DUMMYFUNCTION("""COMPUTED_VALUE"""),"Keval Bhairsandra")</f>
        <v>Keval Bhairsandra</v>
      </c>
      <c r="I874" s="1"/>
      <c r="J874" s="1" t="str">
        <f ca="1">IFERROR(__xludf.DUMMYFUNCTION("""COMPUTED_VALUE"""),"1079d 00h 04m")</f>
        <v>1079d 00h 04m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>
      <c r="A875" s="1">
        <f ca="1">IFERROR(__xludf.DUMMYFUNCTION("""COMPUTED_VALUE"""),14)</f>
        <v>14</v>
      </c>
      <c r="B875" s="1" t="str">
        <f ca="1">IFERROR(__xludf.DUMMYFUNCTION("""COMPUTED_VALUE"""),"NE2_KA04A3048_Jetting")</f>
        <v>NE2_KA04A3048_Jetting</v>
      </c>
      <c r="C875" s="1" t="str">
        <f ca="1">IFERROR(__xludf.DUMMYFUNCTION("""COMPUTED_VALUE"""),"ne2_ka04a3048_jetting")</f>
        <v>ne2_ka04a3048_jetting</v>
      </c>
      <c r="D875" s="2">
        <f ca="1">IFERROR(__xludf.DUMMYFUNCTION("""COMPUTED_VALUE"""),43838)</f>
        <v>43838</v>
      </c>
      <c r="E875" s="3">
        <f ca="1">IFERROR(__xludf.DUMMYFUNCTION("""COMPUTED_VALUE"""),0.432118055556202)</f>
        <v>0.43211805555620197</v>
      </c>
      <c r="F875" s="1">
        <f ca="1">IFERROR(__xludf.DUMMYFUNCTION("""COMPUTED_VALUE"""),15629)</f>
        <v>15629</v>
      </c>
      <c r="G875" s="1" t="str">
        <f ca="1">IFERROR(__xludf.DUMMYFUNCTION("""COMPUTED_VALUE"""),"13.0186/77.6128")</f>
        <v>13.0186/77.6128</v>
      </c>
      <c r="H875" s="1" t="str">
        <f ca="1">IFERROR(__xludf.DUMMYFUNCTION("""COMPUTED_VALUE"""),"Keval Bhairsandra")</f>
        <v>Keval Bhairsandra</v>
      </c>
      <c r="I875" s="1"/>
      <c r="J875" s="1" t="str">
        <f ca="1">IFERROR(__xludf.DUMMYFUNCTION("""COMPUTED_VALUE"""),"1079d 00h 05m")</f>
        <v>1079d 00h 05m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>
      <c r="A876" s="1">
        <f ca="1">IFERROR(__xludf.DUMMYFUNCTION("""COMPUTED_VALUE"""),14)</f>
        <v>14</v>
      </c>
      <c r="B876" s="1" t="str">
        <f ca="1">IFERROR(__xludf.DUMMYFUNCTION("""COMPUTED_VALUE"""),"NE2_KA04A3048_Jetting")</f>
        <v>NE2_KA04A3048_Jetting</v>
      </c>
      <c r="C876" s="1" t="str">
        <f ca="1">IFERROR(__xludf.DUMMYFUNCTION("""COMPUTED_VALUE"""),"ne2_ka04a3048_jetting")</f>
        <v>ne2_ka04a3048_jetting</v>
      </c>
      <c r="D876" s="2">
        <f ca="1">IFERROR(__xludf.DUMMYFUNCTION("""COMPUTED_VALUE"""),43838)</f>
        <v>43838</v>
      </c>
      <c r="E876" s="3">
        <f ca="1">IFERROR(__xludf.DUMMYFUNCTION("""COMPUTED_VALUE"""),0.432118055556202)</f>
        <v>0.43211805555620197</v>
      </c>
      <c r="F876" s="1">
        <f ca="1">IFERROR(__xludf.DUMMYFUNCTION("""COMPUTED_VALUE"""),15629)</f>
        <v>15629</v>
      </c>
      <c r="G876" s="1" t="str">
        <f ca="1">IFERROR(__xludf.DUMMYFUNCTION("""COMPUTED_VALUE"""),"13.0186/77.6128")</f>
        <v>13.0186/77.6128</v>
      </c>
      <c r="H876" s="1" t="str">
        <f ca="1">IFERROR(__xludf.DUMMYFUNCTION("""COMPUTED_VALUE"""),"Keval Bhairsandra")</f>
        <v>Keval Bhairsandra</v>
      </c>
      <c r="I876" s="1"/>
      <c r="J876" s="1" t="str">
        <f ca="1">IFERROR(__xludf.DUMMYFUNCTION("""COMPUTED_VALUE"""),"1079d 00h 05m")</f>
        <v>1079d 00h 05m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>
      <c r="A877" s="1">
        <f ca="1">IFERROR(__xludf.DUMMYFUNCTION("""COMPUTED_VALUE"""),14)</f>
        <v>14</v>
      </c>
      <c r="B877" s="1" t="str">
        <f ca="1">IFERROR(__xludf.DUMMYFUNCTION("""COMPUTED_VALUE"""),"NE2_KA04A3048_Jetting")</f>
        <v>NE2_KA04A3048_Jetting</v>
      </c>
      <c r="C877" s="1" t="str">
        <f ca="1">IFERROR(__xludf.DUMMYFUNCTION("""COMPUTED_VALUE"""),"ne2_ka04a3048_jetting")</f>
        <v>ne2_ka04a3048_jetting</v>
      </c>
      <c r="D877" s="2">
        <f ca="1">IFERROR(__xludf.DUMMYFUNCTION("""COMPUTED_VALUE"""),43838)</f>
        <v>43838</v>
      </c>
      <c r="E877" s="3">
        <f ca="1">IFERROR(__xludf.DUMMYFUNCTION("""COMPUTED_VALUE"""),0.432118055556202)</f>
        <v>0.43211805555620197</v>
      </c>
      <c r="F877" s="1">
        <f ca="1">IFERROR(__xludf.DUMMYFUNCTION("""COMPUTED_VALUE"""),15629)</f>
        <v>15629</v>
      </c>
      <c r="G877" s="1" t="str">
        <f ca="1">IFERROR(__xludf.DUMMYFUNCTION("""COMPUTED_VALUE"""),"13.0186/77.6128")</f>
        <v>13.0186/77.6128</v>
      </c>
      <c r="H877" s="1" t="str">
        <f ca="1">IFERROR(__xludf.DUMMYFUNCTION("""COMPUTED_VALUE"""),"Keval Bhairsandra")</f>
        <v>Keval Bhairsandra</v>
      </c>
      <c r="I877" s="1"/>
      <c r="J877" s="1" t="str">
        <f ca="1">IFERROR(__xludf.DUMMYFUNCTION("""COMPUTED_VALUE"""),"1079d 00h 06m")</f>
        <v>1079d 00h 06m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>
      <c r="A878" s="1">
        <f ca="1">IFERROR(__xludf.DUMMYFUNCTION("""COMPUTED_VALUE"""),14)</f>
        <v>14</v>
      </c>
      <c r="B878" s="1" t="str">
        <f ca="1">IFERROR(__xludf.DUMMYFUNCTION("""COMPUTED_VALUE"""),"NE2_KA04A3048_Jetting")</f>
        <v>NE2_KA04A3048_Jetting</v>
      </c>
      <c r="C878" s="1" t="str">
        <f ca="1">IFERROR(__xludf.DUMMYFUNCTION("""COMPUTED_VALUE"""),"ne2_ka04a3048_jetting")</f>
        <v>ne2_ka04a3048_jetting</v>
      </c>
      <c r="D878" s="2">
        <f ca="1">IFERROR(__xludf.DUMMYFUNCTION("""COMPUTED_VALUE"""),43838)</f>
        <v>43838</v>
      </c>
      <c r="E878" s="3">
        <f ca="1">IFERROR(__xludf.DUMMYFUNCTION("""COMPUTED_VALUE"""),0.432118055556202)</f>
        <v>0.43211805555620197</v>
      </c>
      <c r="F878" s="1">
        <f ca="1">IFERROR(__xludf.DUMMYFUNCTION("""COMPUTED_VALUE"""),15629)</f>
        <v>15629</v>
      </c>
      <c r="G878" s="1" t="str">
        <f ca="1">IFERROR(__xludf.DUMMYFUNCTION("""COMPUTED_VALUE"""),"13.0186/77.6128")</f>
        <v>13.0186/77.6128</v>
      </c>
      <c r="H878" s="1" t="str">
        <f ca="1">IFERROR(__xludf.DUMMYFUNCTION("""COMPUTED_VALUE"""),"Keval Bhairsandra")</f>
        <v>Keval Bhairsandra</v>
      </c>
      <c r="I878" s="1"/>
      <c r="J878" s="1" t="str">
        <f ca="1">IFERROR(__xludf.DUMMYFUNCTION("""COMPUTED_VALUE"""),"1079d 00h 07m")</f>
        <v>1079d 00h 07m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>
      <c r="A879" s="1">
        <f ca="1">IFERROR(__xludf.DUMMYFUNCTION("""COMPUTED_VALUE"""),106)</f>
        <v>106</v>
      </c>
      <c r="B879" s="1" t="str">
        <f ca="1">IFERROR(__xludf.DUMMYFUNCTION("""COMPUTED_VALUE"""),"NE2_KA04A3048_JETTING")</f>
        <v>NE2_KA04A3048_JETTING</v>
      </c>
      <c r="C879" s="1" t="str">
        <f ca="1">IFERROR(__xludf.DUMMYFUNCTION("""COMPUTED_VALUE"""),"ne2_ka04a3048_jetting")</f>
        <v>ne2_ka04a3048_jetting</v>
      </c>
      <c r="D879" s="2">
        <f ca="1">IFERROR(__xludf.DUMMYFUNCTION("""COMPUTED_VALUE"""),43838)</f>
        <v>43838</v>
      </c>
      <c r="E879" s="3">
        <f ca="1">IFERROR(__xludf.DUMMYFUNCTION("""COMPUTED_VALUE"""),0.432118055556202)</f>
        <v>0.43211805555620197</v>
      </c>
      <c r="F879" s="1">
        <f ca="1">IFERROR(__xludf.DUMMYFUNCTION("""COMPUTED_VALUE"""),15629)</f>
        <v>15629</v>
      </c>
      <c r="G879" s="1" t="str">
        <f ca="1">IFERROR(__xludf.DUMMYFUNCTION("""COMPUTED_VALUE"""),"13.0186/77.6128")</f>
        <v>13.0186/77.6128</v>
      </c>
      <c r="H879" s="1" t="str">
        <f ca="1">IFERROR(__xludf.DUMMYFUNCTION("""COMPUTED_VALUE"""),"Keval Bhairsandra")</f>
        <v>Keval Bhairsandra</v>
      </c>
      <c r="I879" s="1"/>
      <c r="J879" s="1" t="str">
        <f ca="1">IFERROR(__xludf.DUMMYFUNCTION("""COMPUTED_VALUE"""),"1533d 00h 56m")</f>
        <v>1533d 00h 56m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>
      <c r="A880" s="1">
        <f ca="1">IFERROR(__xludf.DUMMYFUNCTION("""COMPUTED_VALUE"""),106)</f>
        <v>106</v>
      </c>
      <c r="B880" s="1" t="str">
        <f ca="1">IFERROR(__xludf.DUMMYFUNCTION("""COMPUTED_VALUE"""),"NE2_KA04A3048_JETTING")</f>
        <v>NE2_KA04A3048_JETTING</v>
      </c>
      <c r="C880" s="1" t="str">
        <f ca="1">IFERROR(__xludf.DUMMYFUNCTION("""COMPUTED_VALUE"""),"ne2_ka04a3048_jetting")</f>
        <v>ne2_ka04a3048_jetting</v>
      </c>
      <c r="D880" s="2">
        <f ca="1">IFERROR(__xludf.DUMMYFUNCTION("""COMPUTED_VALUE"""),43838)</f>
        <v>43838</v>
      </c>
      <c r="E880" s="3">
        <f ca="1">IFERROR(__xludf.DUMMYFUNCTION("""COMPUTED_VALUE"""),0.432118055556202)</f>
        <v>0.43211805555620197</v>
      </c>
      <c r="F880" s="1">
        <f ca="1">IFERROR(__xludf.DUMMYFUNCTION("""COMPUTED_VALUE"""),15629)</f>
        <v>15629</v>
      </c>
      <c r="G880" s="1" t="str">
        <f ca="1">IFERROR(__xludf.DUMMYFUNCTION("""COMPUTED_VALUE"""),"13.0186/77.6128")</f>
        <v>13.0186/77.6128</v>
      </c>
      <c r="H880" s="1" t="str">
        <f ca="1">IFERROR(__xludf.DUMMYFUNCTION("""COMPUTED_VALUE"""),"Keval Bhairsandra")</f>
        <v>Keval Bhairsandra</v>
      </c>
      <c r="I880" s="1"/>
      <c r="J880" s="1" t="str">
        <f ca="1">IFERROR(__xludf.DUMMYFUNCTION("""COMPUTED_VALUE"""),"1533d 00h 57m")</f>
        <v>1533d 00h 57m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>
      <c r="A881" s="1">
        <f ca="1">IFERROR(__xludf.DUMMYFUNCTION("""COMPUTED_VALUE"""),103)</f>
        <v>103</v>
      </c>
      <c r="B881" s="1" t="str">
        <f ca="1">IFERROR(__xludf.DUMMYFUNCTION("""COMPUTED_VALUE"""),"NE2_KA04A3048_JETTING")</f>
        <v>NE2_KA04A3048_JETTING</v>
      </c>
      <c r="C881" s="1" t="str">
        <f ca="1">IFERROR(__xludf.DUMMYFUNCTION("""COMPUTED_VALUE"""),"ne2_ka04a3048_jetting")</f>
        <v>ne2_ka04a3048_jetting</v>
      </c>
      <c r="D881" s="2">
        <f ca="1">IFERROR(__xludf.DUMMYFUNCTION("""COMPUTED_VALUE"""),43838)</f>
        <v>43838</v>
      </c>
      <c r="E881" s="3">
        <f ca="1">IFERROR(__xludf.DUMMYFUNCTION("""COMPUTED_VALUE"""),0.432118055556202)</f>
        <v>0.43211805555620197</v>
      </c>
      <c r="F881" s="1">
        <f ca="1">IFERROR(__xludf.DUMMYFUNCTION("""COMPUTED_VALUE"""),15629)</f>
        <v>15629</v>
      </c>
      <c r="G881" s="1" t="str">
        <f ca="1">IFERROR(__xludf.DUMMYFUNCTION("""COMPUTED_VALUE"""),"13.0186/77.6128")</f>
        <v>13.0186/77.6128</v>
      </c>
      <c r="H881" s="1" t="str">
        <f ca="1">IFERROR(__xludf.DUMMYFUNCTION("""COMPUTED_VALUE"""),"Keval Bhairsandra")</f>
        <v>Keval Bhairsandra</v>
      </c>
      <c r="I881" s="1"/>
      <c r="J881" s="1" t="str">
        <f ca="1">IFERROR(__xludf.DUMMYFUNCTION("""COMPUTED_VALUE"""),"1533d 01h 00m")</f>
        <v>1533d 01h 00m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>
      <c r="A882" s="1">
        <f ca="1">IFERROR(__xludf.DUMMYFUNCTION("""COMPUTED_VALUE"""),103)</f>
        <v>103</v>
      </c>
      <c r="B882" s="1" t="str">
        <f ca="1">IFERROR(__xludf.DUMMYFUNCTION("""COMPUTED_VALUE"""),"NE2_KA04A3048_JETTING")</f>
        <v>NE2_KA04A3048_JETTING</v>
      </c>
      <c r="C882" s="1" t="str">
        <f ca="1">IFERROR(__xludf.DUMMYFUNCTION("""COMPUTED_VALUE"""),"ne2_ka04a3048_jetting")</f>
        <v>ne2_ka04a3048_jetting</v>
      </c>
      <c r="D882" s="2">
        <f ca="1">IFERROR(__xludf.DUMMYFUNCTION("""COMPUTED_VALUE"""),43838)</f>
        <v>43838</v>
      </c>
      <c r="E882" s="3">
        <f ca="1">IFERROR(__xludf.DUMMYFUNCTION("""COMPUTED_VALUE"""),0.432118055556202)</f>
        <v>0.43211805555620197</v>
      </c>
      <c r="F882" s="1">
        <f ca="1">IFERROR(__xludf.DUMMYFUNCTION("""COMPUTED_VALUE"""),15629)</f>
        <v>15629</v>
      </c>
      <c r="G882" s="1" t="str">
        <f ca="1">IFERROR(__xludf.DUMMYFUNCTION("""COMPUTED_VALUE"""),"13.0186/77.6128")</f>
        <v>13.0186/77.6128</v>
      </c>
      <c r="H882" s="1" t="str">
        <f ca="1">IFERROR(__xludf.DUMMYFUNCTION("""COMPUTED_VALUE"""),"Keval Bhairsandra")</f>
        <v>Keval Bhairsandra</v>
      </c>
      <c r="I882" s="1"/>
      <c r="J882" s="1" t="str">
        <f ca="1">IFERROR(__xludf.DUMMYFUNCTION("""COMPUTED_VALUE"""),"1533d 01h 01m")</f>
        <v>1533d 01h 01m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>
      <c r="A883" s="1">
        <f ca="1">IFERROR(__xludf.DUMMYFUNCTION("""COMPUTED_VALUE"""),103)</f>
        <v>103</v>
      </c>
      <c r="B883" s="1" t="str">
        <f ca="1">IFERROR(__xludf.DUMMYFUNCTION("""COMPUTED_VALUE"""),"NE2_KA04A3048_JETTING")</f>
        <v>NE2_KA04A3048_JETTING</v>
      </c>
      <c r="C883" s="1" t="str">
        <f ca="1">IFERROR(__xludf.DUMMYFUNCTION("""COMPUTED_VALUE"""),"ne2_ka04a3048_jetting")</f>
        <v>ne2_ka04a3048_jetting</v>
      </c>
      <c r="D883" s="2">
        <f ca="1">IFERROR(__xludf.DUMMYFUNCTION("""COMPUTED_VALUE"""),43838)</f>
        <v>43838</v>
      </c>
      <c r="E883" s="3">
        <f ca="1">IFERROR(__xludf.DUMMYFUNCTION("""COMPUTED_VALUE"""),0.432118055556202)</f>
        <v>0.43211805555620197</v>
      </c>
      <c r="F883" s="1">
        <f ca="1">IFERROR(__xludf.DUMMYFUNCTION("""COMPUTED_VALUE"""),15629)</f>
        <v>15629</v>
      </c>
      <c r="G883" s="1" t="str">
        <f ca="1">IFERROR(__xludf.DUMMYFUNCTION("""COMPUTED_VALUE"""),"13.0186/77.6128")</f>
        <v>13.0186/77.6128</v>
      </c>
      <c r="H883" s="1" t="str">
        <f ca="1">IFERROR(__xludf.DUMMYFUNCTION("""COMPUTED_VALUE"""),"Keval Bhairsandra")</f>
        <v>Keval Bhairsandra</v>
      </c>
      <c r="I883" s="1"/>
      <c r="J883" s="1" t="str">
        <f ca="1">IFERROR(__xludf.DUMMYFUNCTION("""COMPUTED_VALUE"""),"1533d 01h 02m")</f>
        <v>1533d 01h 02m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>
      <c r="A884" s="1">
        <f ca="1">IFERROR(__xludf.DUMMYFUNCTION("""COMPUTED_VALUE"""),103)</f>
        <v>103</v>
      </c>
      <c r="B884" s="1" t="str">
        <f ca="1">IFERROR(__xludf.DUMMYFUNCTION("""COMPUTED_VALUE"""),"NE2_KA04A3048_JETTING")</f>
        <v>NE2_KA04A3048_JETTING</v>
      </c>
      <c r="C884" s="1" t="str">
        <f ca="1">IFERROR(__xludf.DUMMYFUNCTION("""COMPUTED_VALUE"""),"ne2_ka04a3048_jetting")</f>
        <v>ne2_ka04a3048_jetting</v>
      </c>
      <c r="D884" s="2">
        <f ca="1">IFERROR(__xludf.DUMMYFUNCTION("""COMPUTED_VALUE"""),43838)</f>
        <v>43838</v>
      </c>
      <c r="E884" s="3">
        <f ca="1">IFERROR(__xludf.DUMMYFUNCTION("""COMPUTED_VALUE"""),0.432118055556202)</f>
        <v>0.43211805555620197</v>
      </c>
      <c r="F884" s="1">
        <f ca="1">IFERROR(__xludf.DUMMYFUNCTION("""COMPUTED_VALUE"""),15629)</f>
        <v>15629</v>
      </c>
      <c r="G884" s="1" t="str">
        <f ca="1">IFERROR(__xludf.DUMMYFUNCTION("""COMPUTED_VALUE"""),"13.0186/77.6128")</f>
        <v>13.0186/77.6128</v>
      </c>
      <c r="H884" s="1" t="str">
        <f ca="1">IFERROR(__xludf.DUMMYFUNCTION("""COMPUTED_VALUE"""),"Keval Bhairsandra")</f>
        <v>Keval Bhairsandra</v>
      </c>
      <c r="I884" s="1"/>
      <c r="J884" s="1" t="str">
        <f ca="1">IFERROR(__xludf.DUMMYFUNCTION("""COMPUTED_VALUE"""),"1533d 01h 03m")</f>
        <v>1533d 01h 03m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>
      <c r="A885" s="1">
        <f ca="1">IFERROR(__xludf.DUMMYFUNCTION("""COMPUTED_VALUE"""),103)</f>
        <v>103</v>
      </c>
      <c r="B885" s="1" t="str">
        <f ca="1">IFERROR(__xludf.DUMMYFUNCTION("""COMPUTED_VALUE"""),"NE2_KA04A3048_JETTING")</f>
        <v>NE2_KA04A3048_JETTING</v>
      </c>
      <c r="C885" s="1" t="str">
        <f ca="1">IFERROR(__xludf.DUMMYFUNCTION("""COMPUTED_VALUE"""),"ne2_ka04a3048_jetting")</f>
        <v>ne2_ka04a3048_jetting</v>
      </c>
      <c r="D885" s="2">
        <f ca="1">IFERROR(__xludf.DUMMYFUNCTION("""COMPUTED_VALUE"""),43838)</f>
        <v>43838</v>
      </c>
      <c r="E885" s="3">
        <f ca="1">IFERROR(__xludf.DUMMYFUNCTION("""COMPUTED_VALUE"""),0.432118055556202)</f>
        <v>0.43211805555620197</v>
      </c>
      <c r="F885" s="1">
        <f ca="1">IFERROR(__xludf.DUMMYFUNCTION("""COMPUTED_VALUE"""),15629)</f>
        <v>15629</v>
      </c>
      <c r="G885" s="1" t="str">
        <f ca="1">IFERROR(__xludf.DUMMYFUNCTION("""COMPUTED_VALUE"""),"13.0186/77.6128")</f>
        <v>13.0186/77.6128</v>
      </c>
      <c r="H885" s="1" t="str">
        <f ca="1">IFERROR(__xludf.DUMMYFUNCTION("""COMPUTED_VALUE"""),"KÄval Bhairsandra")</f>
        <v>KÄval Bhairsandra</v>
      </c>
      <c r="I885" s="1"/>
      <c r="J885" s="1" t="str">
        <f ca="1">IFERROR(__xludf.DUMMYFUNCTION("""COMPUTED_VALUE"""),"1533d 01h 04m")</f>
        <v>1533d 01h 04m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>
      <c r="A886" s="1">
        <f ca="1">IFERROR(__xludf.DUMMYFUNCTION("""COMPUTED_VALUE"""),103)</f>
        <v>103</v>
      </c>
      <c r="B886" s="1" t="str">
        <f ca="1">IFERROR(__xludf.DUMMYFUNCTION("""COMPUTED_VALUE"""),"NE2_KA04A9517_Jetting")</f>
        <v>NE2_KA04A9517_Jetting</v>
      </c>
      <c r="C886" s="1" t="str">
        <f ca="1">IFERROR(__xludf.DUMMYFUNCTION("""COMPUTED_VALUE"""),"ne2_ka04a9517_jetting")</f>
        <v>ne2_ka04a9517_jetting</v>
      </c>
      <c r="D886" s="2">
        <f ca="1">IFERROR(__xludf.DUMMYFUNCTION("""COMPUTED_VALUE"""),44704)</f>
        <v>44704</v>
      </c>
      <c r="E886" s="3">
        <f ca="1">IFERROR(__xludf.DUMMYFUNCTION("""COMPUTED_VALUE"""),0.740254629628907)</f>
        <v>0.74025462962890698</v>
      </c>
      <c r="F886" s="1">
        <f ca="1">IFERROR(__xludf.DUMMYFUNCTION("""COMPUTED_VALUE"""),10823)</f>
        <v>10823</v>
      </c>
      <c r="G886" s="1" t="str">
        <f ca="1">IFERROR(__xludf.DUMMYFUNCTION("""COMPUTED_VALUE"""),"12.9882/77.5772")</f>
        <v>12.9882/77.5772</v>
      </c>
      <c r="H886" s="1" t="str">
        <f ca="1">IFERROR(__xludf.DUMMYFUNCTION("""COMPUTED_VALUE"""),"Seshadripuram")</f>
        <v>Seshadripuram</v>
      </c>
      <c r="I886" s="1"/>
      <c r="J886" s="1" t="str">
        <f ca="1">IFERROR(__xludf.DUMMYFUNCTION("""COMPUTED_VALUE"""),"15d 01h 18m")</f>
        <v>15d 01h 18m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>
      <c r="A887" s="1">
        <f ca="1">IFERROR(__xludf.DUMMYFUNCTION("""COMPUTED_VALUE"""),138)</f>
        <v>138</v>
      </c>
      <c r="B887" s="1" t="str">
        <f ca="1">IFERROR(__xludf.DUMMYFUNCTION("""COMPUTED_VALUE"""),"NE2_KA04A9517_Jetting")</f>
        <v>NE2_KA04A9517_Jetting</v>
      </c>
      <c r="C887" s="1" t="str">
        <f ca="1">IFERROR(__xludf.DUMMYFUNCTION("""COMPUTED_VALUE"""),"ne2_ka04a9517_jetting")</f>
        <v>ne2_ka04a9517_jetting</v>
      </c>
      <c r="D887" s="2">
        <f ca="1">IFERROR(__xludf.DUMMYFUNCTION("""COMPUTED_VALUE"""),44737)</f>
        <v>44737</v>
      </c>
      <c r="E887" s="3">
        <f ca="1">IFERROR(__xludf.DUMMYFUNCTION("""COMPUTED_VALUE"""),0.850115740740875)</f>
        <v>0.85011574074087504</v>
      </c>
      <c r="F887" s="1">
        <f ca="1">IFERROR(__xludf.DUMMYFUNCTION("""COMPUTED_VALUE"""),10831)</f>
        <v>10831</v>
      </c>
      <c r="G887" s="1" t="str">
        <f ca="1">IFERROR(__xludf.DUMMYFUNCTION("""COMPUTED_VALUE"""),"12.9904/77.5779")</f>
        <v>12.9904/77.5779</v>
      </c>
      <c r="H887" s="1" t="str">
        <f ca="1">IFERROR(__xludf.DUMMYFUNCTION("""COMPUTED_VALUE"""),"Seshadripuram")</f>
        <v>Seshadripuram</v>
      </c>
      <c r="I887" s="1"/>
      <c r="J887" s="1" t="str">
        <f ca="1">IFERROR(__xludf.DUMMYFUNCTION("""COMPUTED_VALUE"""),"15d 01h 19m")</f>
        <v>15d 01h 19m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>
      <c r="A888" s="1">
        <f ca="1">IFERROR(__xludf.DUMMYFUNCTION("""COMPUTED_VALUE"""),90)</f>
        <v>90</v>
      </c>
      <c r="B888" s="1" t="str">
        <f ca="1">IFERROR(__xludf.DUMMYFUNCTION("""COMPUTED_VALUE"""),"NE2_KA04A9517_Jetting")</f>
        <v>NE2_KA04A9517_Jetting</v>
      </c>
      <c r="C888" s="1" t="str">
        <f ca="1">IFERROR(__xludf.DUMMYFUNCTION("""COMPUTED_VALUE"""),"ne2_ka04a9517_jetting")</f>
        <v>ne2_ka04a9517_jetting</v>
      </c>
      <c r="D888" s="2">
        <f ca="1">IFERROR(__xludf.DUMMYFUNCTION("""COMPUTED_VALUE"""),44754)</f>
        <v>44754</v>
      </c>
      <c r="E888" s="3">
        <f ca="1">IFERROR(__xludf.DUMMYFUNCTION("""COMPUTED_VALUE"""),0.603391203701903)</f>
        <v>0.60339120370190302</v>
      </c>
      <c r="F888" s="1">
        <f ca="1">IFERROR(__xludf.DUMMYFUNCTION("""COMPUTED_VALUE"""),10833)</f>
        <v>10833</v>
      </c>
      <c r="G888" s="1" t="str">
        <f ca="1">IFERROR(__xludf.DUMMYFUNCTION("""COMPUTED_VALUE"""),"12.9910/77.5732")</f>
        <v>12.9910/77.5732</v>
      </c>
      <c r="H888" s="1" t="str">
        <f ca="1">IFERROR(__xludf.DUMMYFUNCTION("""COMPUTED_VALUE"""),"Golden Residency")</f>
        <v>Golden Residency</v>
      </c>
      <c r="I888" s="1"/>
      <c r="J888" s="1" t="str">
        <f ca="1">IFERROR(__xludf.DUMMYFUNCTION("""COMPUTED_VALUE"""),"15d 01h 20m")</f>
        <v>15d 01h 20m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>
      <c r="A889" s="1">
        <f ca="1">IFERROR(__xludf.DUMMYFUNCTION("""COMPUTED_VALUE"""),95)</f>
        <v>95</v>
      </c>
      <c r="B889" s="1" t="str">
        <f ca="1">IFERROR(__xludf.DUMMYFUNCTION("""COMPUTED_VALUE"""),"NE2_KA04A9517_Jetting")</f>
        <v>NE2_KA04A9517_Jetting</v>
      </c>
      <c r="C889" s="1" t="str">
        <f ca="1">IFERROR(__xludf.DUMMYFUNCTION("""COMPUTED_VALUE"""),"ne2_ka04a9517_jetting")</f>
        <v>ne2_ka04a9517_jetting</v>
      </c>
      <c r="D889" s="2">
        <f ca="1">IFERROR(__xludf.DUMMYFUNCTION("""COMPUTED_VALUE"""),44779)</f>
        <v>44779</v>
      </c>
      <c r="E889" s="3">
        <f ca="1">IFERROR(__xludf.DUMMYFUNCTION("""COMPUTED_VALUE"""),0.562789351850369)</f>
        <v>0.56278935185036905</v>
      </c>
      <c r="F889" s="1">
        <f ca="1">IFERROR(__xludf.DUMMYFUNCTION("""COMPUTED_VALUE"""),10838)</f>
        <v>10838</v>
      </c>
      <c r="G889" s="1" t="str">
        <f ca="1">IFERROR(__xludf.DUMMYFUNCTION("""COMPUTED_VALUE"""),"13.0071/77.5712")</f>
        <v>13.0071/77.5712</v>
      </c>
      <c r="H889" s="1" t="str">
        <f ca="1">IFERROR(__xludf.DUMMYFUNCTION("""COMPUTED_VALUE"""),"Kodandaramapura")</f>
        <v>Kodandaramapura</v>
      </c>
      <c r="I889" s="1"/>
      <c r="J889" s="1" t="str">
        <f ca="1">IFERROR(__xludf.DUMMYFUNCTION("""COMPUTED_VALUE"""),"15d 01h 21m")</f>
        <v>15d 01h 21m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>
      <c r="A890" s="1">
        <f ca="1">IFERROR(__xludf.DUMMYFUNCTION("""COMPUTED_VALUE"""),129)</f>
        <v>129</v>
      </c>
      <c r="B890" s="1" t="str">
        <f ca="1">IFERROR(__xludf.DUMMYFUNCTION("""COMPUTED_VALUE"""),"NE2_KA04A9517_Jetting")</f>
        <v>NE2_KA04A9517_Jetting</v>
      </c>
      <c r="C890" s="1" t="str">
        <f ca="1">IFERROR(__xludf.DUMMYFUNCTION("""COMPUTED_VALUE"""),"ne2_ka04a9517_jetting")</f>
        <v>ne2_ka04a9517_jetting</v>
      </c>
      <c r="D890" s="2">
        <f ca="1">IFERROR(__xludf.DUMMYFUNCTION("""COMPUTED_VALUE"""),44828)</f>
        <v>44828</v>
      </c>
      <c r="E890" s="3">
        <f ca="1">IFERROR(__xludf.DUMMYFUNCTION("""COMPUTED_VALUE"""),0.451481481482915)</f>
        <v>0.451481481482915</v>
      </c>
      <c r="F890" s="1">
        <f ca="1">IFERROR(__xludf.DUMMYFUNCTION("""COMPUTED_VALUE"""),10842)</f>
        <v>10842</v>
      </c>
      <c r="G890" s="1" t="str">
        <f ca="1">IFERROR(__xludf.DUMMYFUNCTION("""COMPUTED_VALUE"""),"12.9888/77.5771")</f>
        <v>12.9888/77.5771</v>
      </c>
      <c r="H890" s="1" t="str">
        <f ca="1">IFERROR(__xludf.DUMMYFUNCTION("""COMPUTED_VALUE"""),"Nagappa Road")</f>
        <v>Nagappa Road</v>
      </c>
      <c r="I890" s="1"/>
      <c r="J890" s="1" t="str">
        <f ca="1">IFERROR(__xludf.DUMMYFUNCTION("""COMPUTED_VALUE"""),"15d 01h 22m")</f>
        <v>15d 01h 22m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>
      <c r="A891" s="1">
        <f ca="1">IFERROR(__xludf.DUMMYFUNCTION("""COMPUTED_VALUE"""),92)</f>
        <v>92</v>
      </c>
      <c r="B891" s="1" t="str">
        <f ca="1">IFERROR(__xludf.DUMMYFUNCTION("""COMPUTED_VALUE"""),"NE2_KA04A9517_Jetting")</f>
        <v>NE2_KA04A9517_Jetting</v>
      </c>
      <c r="C891" s="1" t="str">
        <f ca="1">IFERROR(__xludf.DUMMYFUNCTION("""COMPUTED_VALUE"""),"ne2_ka04a9517_jetting")</f>
        <v>ne2_ka04a9517_jetting</v>
      </c>
      <c r="D891" s="2">
        <f ca="1">IFERROR(__xludf.DUMMYFUNCTION("""COMPUTED_VALUE"""),44854)</f>
        <v>44854</v>
      </c>
      <c r="E891" s="3">
        <f ca="1">IFERROR(__xludf.DUMMYFUNCTION("""COMPUTED_VALUE"""),0.507418981480441)</f>
        <v>0.50741898148044096</v>
      </c>
      <c r="F891" s="1">
        <f ca="1">IFERROR(__xludf.DUMMYFUNCTION("""COMPUTED_VALUE"""),10845)</f>
        <v>10845</v>
      </c>
      <c r="G891" s="1" t="str">
        <f ca="1">IFERROR(__xludf.DUMMYFUNCTION("""COMPUTED_VALUE"""),"12.9870/77.5711")</f>
        <v>12.9870/77.5711</v>
      </c>
      <c r="H891" s="1" t="str">
        <f ca="1">IFERROR(__xludf.DUMMYFUNCTION("""COMPUTED_VALUE"""),"Dew Drops")</f>
        <v>Dew Drops</v>
      </c>
      <c r="I891" s="1"/>
      <c r="J891" s="1" t="str">
        <f ca="1">IFERROR(__xludf.DUMMYFUNCTION("""COMPUTED_VALUE"""),"15d 01h 23m")</f>
        <v>15d 01h 23m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>
      <c r="A892" s="1">
        <f ca="1">IFERROR(__xludf.DUMMYFUNCTION("""COMPUTED_VALUE"""),131)</f>
        <v>131</v>
      </c>
      <c r="B892" s="1" t="str">
        <f ca="1">IFERROR(__xludf.DUMMYFUNCTION("""COMPUTED_VALUE"""),"NE2_KA04A9517_JETTING")</f>
        <v>NE2_KA04A9517_JETTING</v>
      </c>
      <c r="C892" s="1" t="str">
        <f ca="1">IFERROR(__xludf.DUMMYFUNCTION("""COMPUTED_VALUE"""),"ne2_ka04a9517_jetting")</f>
        <v>ne2_ka04a9517_jetting</v>
      </c>
      <c r="D892" s="2">
        <f ca="1">IFERROR(__xludf.DUMMYFUNCTION("""COMPUTED_VALUE"""),44754)</f>
        <v>44754</v>
      </c>
      <c r="E892" s="3">
        <f ca="1">IFERROR(__xludf.DUMMYFUNCTION("""COMPUTED_VALUE"""),0.603391203701903)</f>
        <v>0.60339120370190302</v>
      </c>
      <c r="F892" s="1">
        <f ca="1">IFERROR(__xludf.DUMMYFUNCTION("""COMPUTED_VALUE"""),10833)</f>
        <v>10833</v>
      </c>
      <c r="G892" s="1" t="str">
        <f ca="1">IFERROR(__xludf.DUMMYFUNCTION("""COMPUTED_VALUE"""),"12.9910/77.5732")</f>
        <v>12.9910/77.5732</v>
      </c>
      <c r="H892" s="1" t="str">
        <f ca="1">IFERROR(__xludf.DUMMYFUNCTION("""COMPUTED_VALUE"""),"Golden Residency")</f>
        <v>Golden Residency</v>
      </c>
      <c r="I892" s="1"/>
      <c r="J892" s="1" t="str">
        <f ca="1">IFERROR(__xludf.DUMMYFUNCTION("""COMPUTED_VALUE"""),"430d 19h 45m")</f>
        <v>430d 19h 45m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>
      <c r="A893" s="1">
        <f ca="1">IFERROR(__xludf.DUMMYFUNCTION("""COMPUTED_VALUE"""),133)</f>
        <v>133</v>
      </c>
      <c r="B893" s="1" t="str">
        <f ca="1">IFERROR(__xludf.DUMMYFUNCTION("""COMPUTED_VALUE"""),"NE2_KA04A9517_JETTING")</f>
        <v>NE2_KA04A9517_JETTING</v>
      </c>
      <c r="C893" s="1" t="str">
        <f ca="1">IFERROR(__xludf.DUMMYFUNCTION("""COMPUTED_VALUE"""),"ne2_ka04a9517_jetting")</f>
        <v>ne2_ka04a9517_jetting</v>
      </c>
      <c r="D893" s="2">
        <f ca="1">IFERROR(__xludf.DUMMYFUNCTION("""COMPUTED_VALUE"""),44854)</f>
        <v>44854</v>
      </c>
      <c r="E893" s="3">
        <f ca="1">IFERROR(__xludf.DUMMYFUNCTION("""COMPUTED_VALUE"""),0.507418981480441)</f>
        <v>0.50741898148044096</v>
      </c>
      <c r="F893" s="1">
        <f ca="1">IFERROR(__xludf.DUMMYFUNCTION("""COMPUTED_VALUE"""),10845)</f>
        <v>10845</v>
      </c>
      <c r="G893" s="1" t="str">
        <f ca="1">IFERROR(__xludf.DUMMYFUNCTION("""COMPUTED_VALUE"""),"12.9870/77.5711")</f>
        <v>12.9870/77.5711</v>
      </c>
      <c r="H893" s="1" t="str">
        <f ca="1">IFERROR(__xludf.DUMMYFUNCTION("""COMPUTED_VALUE"""),"Dew Drops")</f>
        <v>Dew Drops</v>
      </c>
      <c r="I893" s="1"/>
      <c r="J893" s="1" t="str">
        <f ca="1">IFERROR(__xludf.DUMMYFUNCTION("""COMPUTED_VALUE"""),"430d 19h 46m")</f>
        <v>430d 19h 46m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>
      <c r="A894" s="1">
        <f ca="1">IFERROR(__xludf.DUMMYFUNCTION("""COMPUTED_VALUE"""),136)</f>
        <v>136</v>
      </c>
      <c r="B894" s="1" t="str">
        <f ca="1">IFERROR(__xludf.DUMMYFUNCTION("""COMPUTED_VALUE"""),"NE2_KA04A9517_JETTING")</f>
        <v>NE2_KA04A9517_JETTING</v>
      </c>
      <c r="C894" s="1" t="str">
        <f ca="1">IFERROR(__xludf.DUMMYFUNCTION("""COMPUTED_VALUE"""),"ne2_ka04a9517_jetting")</f>
        <v>ne2_ka04a9517_jetting</v>
      </c>
      <c r="D894" s="2">
        <f ca="1">IFERROR(__xludf.DUMMYFUNCTION("""COMPUTED_VALUE"""),44940)</f>
        <v>44940</v>
      </c>
      <c r="E894" s="3">
        <f ca="1">IFERROR(__xludf.DUMMYFUNCTION("""COMPUTED_VALUE"""),0.65175925926087)</f>
        <v>0.65175925926086997</v>
      </c>
      <c r="F894" s="1">
        <f ca="1">IFERROR(__xludf.DUMMYFUNCTION("""COMPUTED_VALUE"""),10869)</f>
        <v>10869</v>
      </c>
      <c r="G894" s="1" t="str">
        <f ca="1">IFERROR(__xludf.DUMMYFUNCTION("""COMPUTED_VALUE"""),"12.9894/77.5711")</f>
        <v>12.9894/77.5711</v>
      </c>
      <c r="H894" s="1" t="str">
        <f ca="1">IFERROR(__xludf.DUMMYFUNCTION("""COMPUTED_VALUE"""),"Golden Residency")</f>
        <v>Golden Residency</v>
      </c>
      <c r="I894" s="1"/>
      <c r="J894" s="1" t="str">
        <f ca="1">IFERROR(__xludf.DUMMYFUNCTION("""COMPUTED_VALUE"""),"430d 19h 49m")</f>
        <v>430d 19h 49m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>
      <c r="A895" s="1">
        <f ca="1">IFERROR(__xludf.DUMMYFUNCTION("""COMPUTED_VALUE"""),133)</f>
        <v>133</v>
      </c>
      <c r="B895" s="1" t="str">
        <f ca="1">IFERROR(__xludf.DUMMYFUNCTION("""COMPUTED_VALUE"""),"NE2_KA04A9517_JETTING")</f>
        <v>NE2_KA04A9517_JETTING</v>
      </c>
      <c r="C895" s="1" t="str">
        <f ca="1">IFERROR(__xludf.DUMMYFUNCTION("""COMPUTED_VALUE"""),"ne2_ka04a9517_jetting")</f>
        <v>ne2_ka04a9517_jetting</v>
      </c>
      <c r="D895" s="2">
        <f ca="1">IFERROR(__xludf.DUMMYFUNCTION("""COMPUTED_VALUE"""),44940)</f>
        <v>44940</v>
      </c>
      <c r="E895" s="3">
        <f ca="1">IFERROR(__xludf.DUMMYFUNCTION("""COMPUTED_VALUE"""),0.65175925926087)</f>
        <v>0.65175925926086997</v>
      </c>
      <c r="F895" s="1">
        <f ca="1">IFERROR(__xludf.DUMMYFUNCTION("""COMPUTED_VALUE"""),10869)</f>
        <v>10869</v>
      </c>
      <c r="G895" s="1" t="str">
        <f ca="1">IFERROR(__xludf.DUMMYFUNCTION("""COMPUTED_VALUE"""),"12.9894/77.5711")</f>
        <v>12.9894/77.5711</v>
      </c>
      <c r="H895" s="1" t="str">
        <f ca="1">IFERROR(__xludf.DUMMYFUNCTION("""COMPUTED_VALUE"""),"Golden Residency")</f>
        <v>Golden Residency</v>
      </c>
      <c r="I895" s="1"/>
      <c r="J895" s="1" t="str">
        <f ca="1">IFERROR(__xludf.DUMMYFUNCTION("""COMPUTED_VALUE"""),"430d 19h 50m")</f>
        <v>430d 19h 50m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>
      <c r="A896" s="1">
        <f ca="1">IFERROR(__xludf.DUMMYFUNCTION("""COMPUTED_VALUE"""),129)</f>
        <v>129</v>
      </c>
      <c r="B896" s="1" t="str">
        <f ca="1">IFERROR(__xludf.DUMMYFUNCTION("""COMPUTED_VALUE"""),"NE2_KA04A9517_JETTING")</f>
        <v>NE2_KA04A9517_JETTING</v>
      </c>
      <c r="C896" s="1" t="str">
        <f ca="1">IFERROR(__xludf.DUMMYFUNCTION("""COMPUTED_VALUE"""),"ne2_ka04a9517_jetting")</f>
        <v>ne2_ka04a9517_jetting</v>
      </c>
      <c r="D896" s="2">
        <f ca="1">IFERROR(__xludf.DUMMYFUNCTION("""COMPUTED_VALUE"""),44940)</f>
        <v>44940</v>
      </c>
      <c r="E896" s="3">
        <f ca="1">IFERROR(__xludf.DUMMYFUNCTION("""COMPUTED_VALUE"""),0.65175925926087)</f>
        <v>0.65175925926086997</v>
      </c>
      <c r="F896" s="1">
        <f ca="1">IFERROR(__xludf.DUMMYFUNCTION("""COMPUTED_VALUE"""),10869)</f>
        <v>10869</v>
      </c>
      <c r="G896" s="1" t="str">
        <f ca="1">IFERROR(__xludf.DUMMYFUNCTION("""COMPUTED_VALUE"""),"12.9894/77.5711")</f>
        <v>12.9894/77.5711</v>
      </c>
      <c r="H896" s="1" t="str">
        <f ca="1">IFERROR(__xludf.DUMMYFUNCTION("""COMPUTED_VALUE"""),"Golden Residency")</f>
        <v>Golden Residency</v>
      </c>
      <c r="I896" s="1"/>
      <c r="J896" s="1" t="str">
        <f ca="1">IFERROR(__xludf.DUMMYFUNCTION("""COMPUTED_VALUE"""),"430d 19h 52m")</f>
        <v>430d 19h 52m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>
      <c r="A897" s="1">
        <f ca="1">IFERROR(__xludf.DUMMYFUNCTION("""COMPUTED_VALUE"""),126)</f>
        <v>126</v>
      </c>
      <c r="B897" s="1" t="str">
        <f ca="1">IFERROR(__xludf.DUMMYFUNCTION("""COMPUTED_VALUE"""),"NE2_KA04A9517_JETTING")</f>
        <v>NE2_KA04A9517_JETTING</v>
      </c>
      <c r="C897" s="1" t="str">
        <f ca="1">IFERROR(__xludf.DUMMYFUNCTION("""COMPUTED_VALUE"""),"ne2_ka04a9517_jetting")</f>
        <v>ne2_ka04a9517_jetting</v>
      </c>
      <c r="D897" s="2">
        <f ca="1">IFERROR(__xludf.DUMMYFUNCTION("""COMPUTED_VALUE"""),44940)</f>
        <v>44940</v>
      </c>
      <c r="E897" s="3">
        <f ca="1">IFERROR(__xludf.DUMMYFUNCTION("""COMPUTED_VALUE"""),0.65175925926087)</f>
        <v>0.65175925926086997</v>
      </c>
      <c r="F897" s="1">
        <f ca="1">IFERROR(__xludf.DUMMYFUNCTION("""COMPUTED_VALUE"""),10869)</f>
        <v>10869</v>
      </c>
      <c r="G897" s="1" t="str">
        <f ca="1">IFERROR(__xludf.DUMMYFUNCTION("""COMPUTED_VALUE"""),"12.9894/77.5711")</f>
        <v>12.9894/77.5711</v>
      </c>
      <c r="H897" s="1" t="str">
        <f ca="1">IFERROR(__xludf.DUMMYFUNCTION("""COMPUTED_VALUE"""),"Golden Residency")</f>
        <v>Golden Residency</v>
      </c>
      <c r="I897" s="1"/>
      <c r="J897" s="1" t="str">
        <f ca="1">IFERROR(__xludf.DUMMYFUNCTION("""COMPUTED_VALUE"""),"430d 19h 53m")</f>
        <v>430d 19h 53m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>
      <c r="A898" s="1">
        <f ca="1">IFERROR(__xludf.DUMMYFUNCTION("""COMPUTED_VALUE"""),126)</f>
        <v>126</v>
      </c>
      <c r="B898" s="1" t="str">
        <f ca="1">IFERROR(__xludf.DUMMYFUNCTION("""COMPUTED_VALUE"""),"NE2_KA04A9517_JETTING")</f>
        <v>NE2_KA04A9517_JETTING</v>
      </c>
      <c r="C898" s="1" t="str">
        <f ca="1">IFERROR(__xludf.DUMMYFUNCTION("""COMPUTED_VALUE"""),"ne2_ka04a9517_jetting")</f>
        <v>ne2_ka04a9517_jetting</v>
      </c>
      <c r="D898" s="2">
        <f ca="1">IFERROR(__xludf.DUMMYFUNCTION("""COMPUTED_VALUE"""),44940)</f>
        <v>44940</v>
      </c>
      <c r="E898" s="3">
        <f ca="1">IFERROR(__xludf.DUMMYFUNCTION("""COMPUTED_VALUE"""),0.65175925926087)</f>
        <v>0.65175925926086997</v>
      </c>
      <c r="F898" s="1">
        <f ca="1">IFERROR(__xludf.DUMMYFUNCTION("""COMPUTED_VALUE"""),10869)</f>
        <v>10869</v>
      </c>
      <c r="G898" s="1" t="str">
        <f ca="1">IFERROR(__xludf.DUMMYFUNCTION("""COMPUTED_VALUE"""),"12.9894/77.5711")</f>
        <v>12.9894/77.5711</v>
      </c>
      <c r="H898" s="1" t="str">
        <f ca="1">IFERROR(__xludf.DUMMYFUNCTION("""COMPUTED_VALUE"""),"Golden Residency")</f>
        <v>Golden Residency</v>
      </c>
      <c r="I898" s="1"/>
      <c r="J898" s="1" t="str">
        <f ca="1">IFERROR(__xludf.DUMMYFUNCTION("""COMPUTED_VALUE"""),"430d 19h 54m")</f>
        <v>430d 19h 54m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>
      <c r="A899" s="1">
        <f ca="1">IFERROR(__xludf.DUMMYFUNCTION("""COMPUTED_VALUE"""),72)</f>
        <v>72</v>
      </c>
      <c r="B899" s="1" t="str">
        <f ca="1">IFERROR(__xludf.DUMMYFUNCTION("""COMPUTED_VALUE"""),"NE2_KA04AA1782_DESILTING")</f>
        <v>NE2_KA04AA1782_DESILTING</v>
      </c>
      <c r="C899" s="1" t="str">
        <f ca="1">IFERROR(__xludf.DUMMYFUNCTION("""COMPUTED_VALUE"""),"ne2_ka04aa1782_desilting")</f>
        <v>ne2_ka04aa1782_desilting</v>
      </c>
      <c r="D899" s="2">
        <f ca="1">IFERROR(__xludf.DUMMYFUNCTION("""COMPUTED_VALUE"""),41640)</f>
        <v>41640</v>
      </c>
      <c r="E899" s="3">
        <f ca="1">IFERROR(__xludf.DUMMYFUNCTION("""COMPUTED_VALUE"""),0.612743055557075)</f>
        <v>0.61274305555707498</v>
      </c>
      <c r="F899" s="1">
        <f ca="1">IFERROR(__xludf.DUMMYFUNCTION("""COMPUTED_VALUE"""),18918)</f>
        <v>18918</v>
      </c>
      <c r="G899" s="1" t="str">
        <f ca="1">IFERROR(__xludf.DUMMYFUNCTION("""COMPUTED_VALUE"""),"13.0378/77.5653")</f>
        <v>13.0378/77.5653</v>
      </c>
      <c r="H899" s="1" t="str">
        <f ca="1">IFERROR(__xludf.DUMMYFUNCTION("""COMPUTED_VALUE"""),"Dollars Colony")</f>
        <v>Dollars Colony</v>
      </c>
      <c r="I899" s="1"/>
      <c r="J899" s="1" t="str">
        <f ca="1">IFERROR(__xludf.DUMMYFUNCTION("""COMPUTED_VALUE"""),"0d 19h 06m")</f>
        <v>0d 19h 06m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>
      <c r="A900" s="1">
        <f ca="1">IFERROR(__xludf.DUMMYFUNCTION("""COMPUTED_VALUE"""),72)</f>
        <v>72</v>
      </c>
      <c r="B900" s="1" t="str">
        <f ca="1">IFERROR(__xludf.DUMMYFUNCTION("""COMPUTED_VALUE"""),"NE2_KA04AA1782_DESILTING")</f>
        <v>NE2_KA04AA1782_DESILTING</v>
      </c>
      <c r="C900" s="1" t="str">
        <f ca="1">IFERROR(__xludf.DUMMYFUNCTION("""COMPUTED_VALUE"""),"ne2_ka04aa1782_desilting")</f>
        <v>ne2_ka04aa1782_desilting</v>
      </c>
      <c r="D900" s="2">
        <f ca="1">IFERROR(__xludf.DUMMYFUNCTION("""COMPUTED_VALUE"""),41640)</f>
        <v>41640</v>
      </c>
      <c r="E900" s="3">
        <f ca="1">IFERROR(__xludf.DUMMYFUNCTION("""COMPUTED_VALUE"""),0.612743055557075)</f>
        <v>0.61274305555707498</v>
      </c>
      <c r="F900" s="1">
        <f ca="1">IFERROR(__xludf.DUMMYFUNCTION("""COMPUTED_VALUE"""),18918)</f>
        <v>18918</v>
      </c>
      <c r="G900" s="1" t="str">
        <f ca="1">IFERROR(__xludf.DUMMYFUNCTION("""COMPUTED_VALUE"""),"13.0378/77.5653")</f>
        <v>13.0378/77.5653</v>
      </c>
      <c r="H900" s="1" t="str">
        <f ca="1">IFERROR(__xludf.DUMMYFUNCTION("""COMPUTED_VALUE"""),"Dollars Colony")</f>
        <v>Dollars Colony</v>
      </c>
      <c r="I900" s="1"/>
      <c r="J900" s="1" t="str">
        <f ca="1">IFERROR(__xludf.DUMMYFUNCTION("""COMPUTED_VALUE"""),"0d 19h 07m")</f>
        <v>0d 19h 07m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>
      <c r="A901" s="1">
        <f ca="1">IFERROR(__xludf.DUMMYFUNCTION("""COMPUTED_VALUE"""),70)</f>
        <v>70</v>
      </c>
      <c r="B901" s="1" t="str">
        <f ca="1">IFERROR(__xludf.DUMMYFUNCTION("""COMPUTED_VALUE"""),"NE2_KA04AA1782_DESILTING")</f>
        <v>NE2_KA04AA1782_DESILTING</v>
      </c>
      <c r="C901" s="1" t="str">
        <f ca="1">IFERROR(__xludf.DUMMYFUNCTION("""COMPUTED_VALUE"""),"ne2_ka04aa1782_desilting")</f>
        <v>ne2_ka04aa1782_desilting</v>
      </c>
      <c r="D901" s="2">
        <f ca="1">IFERROR(__xludf.DUMMYFUNCTION("""COMPUTED_VALUE"""),41640)</f>
        <v>41640</v>
      </c>
      <c r="E901" s="3">
        <f ca="1">IFERROR(__xludf.DUMMYFUNCTION("""COMPUTED_VALUE"""),0.612743055557075)</f>
        <v>0.61274305555707498</v>
      </c>
      <c r="F901" s="1">
        <f ca="1">IFERROR(__xludf.DUMMYFUNCTION("""COMPUTED_VALUE"""),18918)</f>
        <v>18918</v>
      </c>
      <c r="G901" s="1" t="str">
        <f ca="1">IFERROR(__xludf.DUMMYFUNCTION("""COMPUTED_VALUE"""),"13.0378/77.5653")</f>
        <v>13.0378/77.5653</v>
      </c>
      <c r="H901" s="1" t="str">
        <f ca="1">IFERROR(__xludf.DUMMYFUNCTION("""COMPUTED_VALUE"""),"Dollars Colony")</f>
        <v>Dollars Colony</v>
      </c>
      <c r="I901" s="1"/>
      <c r="J901" s="1" t="str">
        <f ca="1">IFERROR(__xludf.DUMMYFUNCTION("""COMPUTED_VALUE"""),"0d 19h 10m")</f>
        <v>0d 19h 10m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>
      <c r="A902" s="1">
        <f ca="1">IFERROR(__xludf.DUMMYFUNCTION("""COMPUTED_VALUE"""),70)</f>
        <v>70</v>
      </c>
      <c r="B902" s="1" t="str">
        <f ca="1">IFERROR(__xludf.DUMMYFUNCTION("""COMPUTED_VALUE"""),"NE2_KA04AA1782_DESILTING")</f>
        <v>NE2_KA04AA1782_DESILTING</v>
      </c>
      <c r="C902" s="1" t="str">
        <f ca="1">IFERROR(__xludf.DUMMYFUNCTION("""COMPUTED_VALUE"""),"ne2_ka04aa1782_desilting")</f>
        <v>ne2_ka04aa1782_desilting</v>
      </c>
      <c r="D902" s="2">
        <f ca="1">IFERROR(__xludf.DUMMYFUNCTION("""COMPUTED_VALUE"""),41640)</f>
        <v>41640</v>
      </c>
      <c r="E902" s="3">
        <f ca="1">IFERROR(__xludf.DUMMYFUNCTION("""COMPUTED_VALUE"""),0.612743055557075)</f>
        <v>0.61274305555707498</v>
      </c>
      <c r="F902" s="1">
        <f ca="1">IFERROR(__xludf.DUMMYFUNCTION("""COMPUTED_VALUE"""),18918)</f>
        <v>18918</v>
      </c>
      <c r="G902" s="1" t="str">
        <f ca="1">IFERROR(__xludf.DUMMYFUNCTION("""COMPUTED_VALUE"""),"13.0378/77.5653")</f>
        <v>13.0378/77.5653</v>
      </c>
      <c r="H902" s="1" t="str">
        <f ca="1">IFERROR(__xludf.DUMMYFUNCTION("""COMPUTED_VALUE"""),"Dollars Colony")</f>
        <v>Dollars Colony</v>
      </c>
      <c r="I902" s="1"/>
      <c r="J902" s="1" t="str">
        <f ca="1">IFERROR(__xludf.DUMMYFUNCTION("""COMPUTED_VALUE"""),"0d 19h 11m")</f>
        <v>0d 19h 11m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>
      <c r="A903" s="1">
        <f ca="1">IFERROR(__xludf.DUMMYFUNCTION("""COMPUTED_VALUE"""),70)</f>
        <v>70</v>
      </c>
      <c r="B903" s="1" t="str">
        <f ca="1">IFERROR(__xludf.DUMMYFUNCTION("""COMPUTED_VALUE"""),"NE2_KA04AA1782_DESILTING")</f>
        <v>NE2_KA04AA1782_DESILTING</v>
      </c>
      <c r="C903" s="1" t="str">
        <f ca="1">IFERROR(__xludf.DUMMYFUNCTION("""COMPUTED_VALUE"""),"ne2_ka04aa1782_desilting")</f>
        <v>ne2_ka04aa1782_desilting</v>
      </c>
      <c r="D903" s="2">
        <f ca="1">IFERROR(__xludf.DUMMYFUNCTION("""COMPUTED_VALUE"""),41640)</f>
        <v>41640</v>
      </c>
      <c r="E903" s="3">
        <f ca="1">IFERROR(__xludf.DUMMYFUNCTION("""COMPUTED_VALUE"""),0.612743055557075)</f>
        <v>0.61274305555707498</v>
      </c>
      <c r="F903" s="1">
        <f ca="1">IFERROR(__xludf.DUMMYFUNCTION("""COMPUTED_VALUE"""),18918)</f>
        <v>18918</v>
      </c>
      <c r="G903" s="1" t="str">
        <f ca="1">IFERROR(__xludf.DUMMYFUNCTION("""COMPUTED_VALUE"""),"13.0378/77.5653")</f>
        <v>13.0378/77.5653</v>
      </c>
      <c r="H903" s="1" t="str">
        <f ca="1">IFERROR(__xludf.DUMMYFUNCTION("""COMPUTED_VALUE"""),"Dollars Colony")</f>
        <v>Dollars Colony</v>
      </c>
      <c r="I903" s="1"/>
      <c r="J903" s="1" t="str">
        <f ca="1">IFERROR(__xludf.DUMMYFUNCTION("""COMPUTED_VALUE"""),"0d 19h 12m")</f>
        <v>0d 19h 12m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>
      <c r="A904" s="1">
        <f ca="1">IFERROR(__xludf.DUMMYFUNCTION("""COMPUTED_VALUE"""),70)</f>
        <v>70</v>
      </c>
      <c r="B904" s="1" t="str">
        <f ca="1">IFERROR(__xludf.DUMMYFUNCTION("""COMPUTED_VALUE"""),"NE2_KA04AA1782_DESILTING")</f>
        <v>NE2_KA04AA1782_DESILTING</v>
      </c>
      <c r="C904" s="1" t="str">
        <f ca="1">IFERROR(__xludf.DUMMYFUNCTION("""COMPUTED_VALUE"""),"ne2_ka04aa1782_desilting")</f>
        <v>ne2_ka04aa1782_desilting</v>
      </c>
      <c r="D904" s="2">
        <f ca="1">IFERROR(__xludf.DUMMYFUNCTION("""COMPUTED_VALUE"""),41640)</f>
        <v>41640</v>
      </c>
      <c r="E904" s="3">
        <f ca="1">IFERROR(__xludf.DUMMYFUNCTION("""COMPUTED_VALUE"""),0.612743055557075)</f>
        <v>0.61274305555707498</v>
      </c>
      <c r="F904" s="1">
        <f ca="1">IFERROR(__xludf.DUMMYFUNCTION("""COMPUTED_VALUE"""),18918)</f>
        <v>18918</v>
      </c>
      <c r="G904" s="1" t="str">
        <f ca="1">IFERROR(__xludf.DUMMYFUNCTION("""COMPUTED_VALUE"""),"13.0378/77.5653")</f>
        <v>13.0378/77.5653</v>
      </c>
      <c r="H904" s="1" t="str">
        <f ca="1">IFERROR(__xludf.DUMMYFUNCTION("""COMPUTED_VALUE"""),"Dollars Colony")</f>
        <v>Dollars Colony</v>
      </c>
      <c r="I904" s="1"/>
      <c r="J904" s="1" t="str">
        <f ca="1">IFERROR(__xludf.DUMMYFUNCTION("""COMPUTED_VALUE"""),"0d 19h 14m")</f>
        <v>0d 19h 14m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>
      <c r="A905" s="1">
        <f ca="1">IFERROR(__xludf.DUMMYFUNCTION("""COMPUTED_VALUE"""),70)</f>
        <v>70</v>
      </c>
      <c r="B905" s="1" t="str">
        <f ca="1">IFERROR(__xludf.DUMMYFUNCTION("""COMPUTED_VALUE"""),"NE2_KA04AA1782_DESILTING")</f>
        <v>NE2_KA04AA1782_DESILTING</v>
      </c>
      <c r="C905" s="1" t="str">
        <f ca="1">IFERROR(__xludf.DUMMYFUNCTION("""COMPUTED_VALUE"""),"ne2_ka04aa1782_desilting")</f>
        <v>ne2_ka04aa1782_desilting</v>
      </c>
      <c r="D905" s="2">
        <f ca="1">IFERROR(__xludf.DUMMYFUNCTION("""COMPUTED_VALUE"""),41640)</f>
        <v>41640</v>
      </c>
      <c r="E905" s="3">
        <f ca="1">IFERROR(__xludf.DUMMYFUNCTION("""COMPUTED_VALUE"""),0.612743055557075)</f>
        <v>0.61274305555707498</v>
      </c>
      <c r="F905" s="1">
        <f ca="1">IFERROR(__xludf.DUMMYFUNCTION("""COMPUTED_VALUE"""),18918)</f>
        <v>18918</v>
      </c>
      <c r="G905" s="1" t="str">
        <f ca="1">IFERROR(__xludf.DUMMYFUNCTION("""COMPUTED_VALUE"""),"13.0378/77.5653")</f>
        <v>13.0378/77.5653</v>
      </c>
      <c r="H905" s="1" t="str">
        <f ca="1">IFERROR(__xludf.DUMMYFUNCTION("""COMPUTED_VALUE"""),"Dollars Colony")</f>
        <v>Dollars Colony</v>
      </c>
      <c r="I905" s="1"/>
      <c r="J905" s="1" t="str">
        <f ca="1">IFERROR(__xludf.DUMMYFUNCTION("""COMPUTED_VALUE"""),"0d 19h 15m")</f>
        <v>0d 19h 15m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>
      <c r="A906" s="1">
        <f ca="1">IFERROR(__xludf.DUMMYFUNCTION("""COMPUTED_VALUE"""),150)</f>
        <v>150</v>
      </c>
      <c r="B906" s="1" t="str">
        <f ca="1">IFERROR(__xludf.DUMMYFUNCTION("""COMPUTED_VALUE"""),"NE2_KA04AB5800_Jetting")</f>
        <v>NE2_KA04AB5800_Jetting</v>
      </c>
      <c r="C906" s="1" t="str">
        <f ca="1">IFERROR(__xludf.DUMMYFUNCTION("""COMPUTED_VALUE"""),"ne2_ka04ab5800_jetting")</f>
        <v>ne2_ka04ab5800_jetting</v>
      </c>
      <c r="D906" s="2">
        <f ca="1">IFERROR(__xludf.DUMMYFUNCTION("""COMPUTED_VALUE"""),44707)</f>
        <v>44707</v>
      </c>
      <c r="E906" s="3">
        <f ca="1">IFERROR(__xludf.DUMMYFUNCTION("""COMPUTED_VALUE"""),0.998773148148757)</f>
        <v>0.99877314814875695</v>
      </c>
      <c r="F906" s="1">
        <f ca="1">IFERROR(__xludf.DUMMYFUNCTION("""COMPUTED_VALUE"""),12059)</f>
        <v>12059</v>
      </c>
      <c r="G906" s="1" t="str">
        <f ca="1">IFERROR(__xludf.DUMMYFUNCTION("""COMPUTED_VALUE"""),"13.0104/77.5671")</f>
        <v>13.0104/77.5671</v>
      </c>
      <c r="H906" s="1" t="str">
        <f ca="1">IFERROR(__xludf.DUMMYFUNCTION("""COMPUTED_VALUE"""),"Malleshwaram")</f>
        <v>Malleshwaram</v>
      </c>
      <c r="I906" s="1"/>
      <c r="J906" s="1" t="str">
        <f ca="1">IFERROR(__xludf.DUMMYFUNCTION("""COMPUTED_VALUE"""),"0d 00h 00m")</f>
        <v>0d 00h 00m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>
      <c r="A907" s="1">
        <f ca="1">IFERROR(__xludf.DUMMYFUNCTION("""COMPUTED_VALUE"""),96)</f>
        <v>96</v>
      </c>
      <c r="B907" s="1" t="str">
        <f ca="1">IFERROR(__xludf.DUMMYFUNCTION("""COMPUTED_VALUE"""),"NE2_KA04AB5800_Jetting")</f>
        <v>NE2_KA04AB5800_Jetting</v>
      </c>
      <c r="C907" s="1" t="str">
        <f ca="1">IFERROR(__xludf.DUMMYFUNCTION("""COMPUTED_VALUE"""),"ne2_ka04ab5800_jetting")</f>
        <v>ne2_ka04ab5800_jetting</v>
      </c>
      <c r="D907" s="2">
        <f ca="1">IFERROR(__xludf.DUMMYFUNCTION("""COMPUTED_VALUE"""),44733)</f>
        <v>44733</v>
      </c>
      <c r="E907" s="3">
        <f ca="1">IFERROR(__xludf.DUMMYFUNCTION("""COMPUTED_VALUE"""),0.195578703704086)</f>
        <v>0.195578703704086</v>
      </c>
      <c r="F907" s="1">
        <f ca="1">IFERROR(__xludf.DUMMYFUNCTION("""COMPUTED_VALUE"""),12289)</f>
        <v>12289</v>
      </c>
      <c r="G907" s="1" t="str">
        <f ca="1">IFERROR(__xludf.DUMMYFUNCTION("""COMPUTED_VALUE"""),"13.0103/77.5672")</f>
        <v>13.0103/77.5672</v>
      </c>
      <c r="H907" s="1" t="str">
        <f ca="1">IFERROR(__xludf.DUMMYFUNCTION("""COMPUTED_VALUE"""),"Malleshwaram")</f>
        <v>Malleshwaram</v>
      </c>
      <c r="I907" s="1"/>
      <c r="J907" s="1" t="str">
        <f ca="1">IFERROR(__xludf.DUMMYFUNCTION("""COMPUTED_VALUE"""),"0d 00h 00m")</f>
        <v>0d 00h 00m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>
      <c r="A908" s="1">
        <f ca="1">IFERROR(__xludf.DUMMYFUNCTION("""COMPUTED_VALUE"""),104)</f>
        <v>104</v>
      </c>
      <c r="B908" s="1" t="str">
        <f ca="1">IFERROR(__xludf.DUMMYFUNCTION("""COMPUTED_VALUE"""),"NE2_KA04AB5800_Jetting")</f>
        <v>NE2_KA04AB5800_Jetting</v>
      </c>
      <c r="C908" s="1" t="str">
        <f ca="1">IFERROR(__xludf.DUMMYFUNCTION("""COMPUTED_VALUE"""),"ne2_ka04ab5800_jetting")</f>
        <v>ne2_ka04ab5800_jetting</v>
      </c>
      <c r="D908" s="2">
        <f ca="1">IFERROR(__xludf.DUMMYFUNCTION("""COMPUTED_VALUE"""),44760)</f>
        <v>44760</v>
      </c>
      <c r="E908" s="3">
        <f ca="1">IFERROR(__xludf.DUMMYFUNCTION("""COMPUTED_VALUE"""),0.607395833332702)</f>
        <v>0.60739583333270197</v>
      </c>
      <c r="F908" s="1">
        <f ca="1">IFERROR(__xludf.DUMMYFUNCTION("""COMPUTED_VALUE"""),13233)</f>
        <v>13233</v>
      </c>
      <c r="G908" s="1" t="str">
        <f ca="1">IFERROR(__xludf.DUMMYFUNCTION("""COMPUTED_VALUE"""),"12.9979/77.5796")</f>
        <v>12.9979/77.5796</v>
      </c>
      <c r="H908" s="1" t="str">
        <f ca="1">IFERROR(__xludf.DUMMYFUNCTION("""COMPUTED_VALUE"""),"Hotel Magaji Orchids")</f>
        <v>Hotel Magaji Orchids</v>
      </c>
      <c r="I908" s="1"/>
      <c r="J908" s="1" t="str">
        <f ca="1">IFERROR(__xludf.DUMMYFUNCTION("""COMPUTED_VALUE"""),"0d 00h 00m")</f>
        <v>0d 00h 00m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>
      <c r="A909" s="1">
        <f ca="1">IFERROR(__xludf.DUMMYFUNCTION("""COMPUTED_VALUE"""),138)</f>
        <v>138</v>
      </c>
      <c r="B909" s="1" t="str">
        <f ca="1">IFERROR(__xludf.DUMMYFUNCTION("""COMPUTED_VALUE"""),"NE2_KA04AB5800_Jetting")</f>
        <v>NE2_KA04AB5800_Jetting</v>
      </c>
      <c r="C909" s="1" t="str">
        <f ca="1">IFERROR(__xludf.DUMMYFUNCTION("""COMPUTED_VALUE"""),"ne2_ka04ab5800_jetting")</f>
        <v>ne2_ka04ab5800_jetting</v>
      </c>
      <c r="D909" s="2">
        <f ca="1">IFERROR(__xludf.DUMMYFUNCTION("""COMPUTED_VALUE"""),44797)</f>
        <v>44797</v>
      </c>
      <c r="E909" s="3">
        <f ca="1">IFERROR(__xludf.DUMMYFUNCTION("""COMPUTED_VALUE"""),0.0671412037045229)</f>
        <v>6.7141203704522895E-2</v>
      </c>
      <c r="F909" s="1">
        <f ca="1">IFERROR(__xludf.DUMMYFUNCTION("""COMPUTED_VALUE"""),13620)</f>
        <v>13620</v>
      </c>
      <c r="G909" s="1" t="str">
        <f ca="1">IFERROR(__xludf.DUMMYFUNCTION("""COMPUTED_VALUE"""),"13.0103/77.5672")</f>
        <v>13.0103/77.5672</v>
      </c>
      <c r="H909" s="1" t="str">
        <f ca="1">IFERROR(__xludf.DUMMYFUNCTION("""COMPUTED_VALUE"""),"Malleshwaram")</f>
        <v>Malleshwaram</v>
      </c>
      <c r="I909" s="1"/>
      <c r="J909" s="1" t="str">
        <f ca="1">IFERROR(__xludf.DUMMYFUNCTION("""COMPUTED_VALUE"""),"0d 00h 00m")</f>
        <v>0d 00h 00m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>
      <c r="A910" s="1">
        <f ca="1">IFERROR(__xludf.DUMMYFUNCTION("""COMPUTED_VALUE"""),117)</f>
        <v>117</v>
      </c>
      <c r="B910" s="1" t="str">
        <f ca="1">IFERROR(__xludf.DUMMYFUNCTION("""COMPUTED_VALUE"""),"NE2_KA04AB5800_Jetting")</f>
        <v>NE2_KA04AB5800_Jetting</v>
      </c>
      <c r="C910" s="1" t="str">
        <f ca="1">IFERROR(__xludf.DUMMYFUNCTION("""COMPUTED_VALUE"""),"ne2_ka04ab5800_jetting")</f>
        <v>ne2_ka04ab5800_jetting</v>
      </c>
      <c r="D910" s="2">
        <f ca="1">IFERROR(__xludf.DUMMYFUNCTION("""COMPUTED_VALUE"""),44826)</f>
        <v>44826</v>
      </c>
      <c r="E910" s="3">
        <f ca="1">IFERROR(__xludf.DUMMYFUNCTION("""COMPUTED_VALUE"""),0.300844907407736)</f>
        <v>0.30084490740773601</v>
      </c>
      <c r="F910" s="1">
        <f ca="1">IFERROR(__xludf.DUMMYFUNCTION("""COMPUTED_VALUE"""),14333)</f>
        <v>14333</v>
      </c>
      <c r="G910" s="1" t="str">
        <f ca="1">IFERROR(__xludf.DUMMYFUNCTION("""COMPUTED_VALUE"""),"13.0104/77.5671")</f>
        <v>13.0104/77.5671</v>
      </c>
      <c r="H910" s="1" t="str">
        <f ca="1">IFERROR(__xludf.DUMMYFUNCTION("""COMPUTED_VALUE"""),"Malleshwaram")</f>
        <v>Malleshwaram</v>
      </c>
      <c r="I910" s="1"/>
      <c r="J910" s="1" t="str">
        <f ca="1">IFERROR(__xludf.DUMMYFUNCTION("""COMPUTED_VALUE"""),"0d 00h 00m")</f>
        <v>0d 00h 00m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>
      <c r="A911" s="1">
        <f ca="1">IFERROR(__xludf.DUMMYFUNCTION("""COMPUTED_VALUE"""),82)</f>
        <v>82</v>
      </c>
      <c r="B911" s="1" t="str">
        <f ca="1">IFERROR(__xludf.DUMMYFUNCTION("""COMPUTED_VALUE"""),"NE2_KA04AB5800_Jetting")</f>
        <v>NE2_KA04AB5800_Jetting</v>
      </c>
      <c r="C911" s="1" t="str">
        <f ca="1">IFERROR(__xludf.DUMMYFUNCTION("""COMPUTED_VALUE"""),"ne2_ka04ab5800_jetting")</f>
        <v>ne2_ka04ab5800_jetting</v>
      </c>
      <c r="D911" s="2">
        <f ca="1">IFERROR(__xludf.DUMMYFUNCTION("""COMPUTED_VALUE"""),44845)</f>
        <v>44845</v>
      </c>
      <c r="E911" s="3">
        <f ca="1">IFERROR(__xludf.DUMMYFUNCTION("""COMPUTED_VALUE"""),0.880787037036498)</f>
        <v>0.88078703703649797</v>
      </c>
      <c r="F911" s="1">
        <f ca="1">IFERROR(__xludf.DUMMYFUNCTION("""COMPUTED_VALUE"""),14471)</f>
        <v>14471</v>
      </c>
      <c r="G911" s="1" t="str">
        <f ca="1">IFERROR(__xludf.DUMMYFUNCTION("""COMPUTED_VALUE"""),"13.0104/77.5675")</f>
        <v>13.0104/77.5675</v>
      </c>
      <c r="H911" s="1" t="str">
        <f ca="1">IFERROR(__xludf.DUMMYFUNCTION("""COMPUTED_VALUE"""),"Malleshwaram")</f>
        <v>Malleshwaram</v>
      </c>
      <c r="I911" s="1"/>
      <c r="J911" s="1" t="str">
        <f ca="1">IFERROR(__xludf.DUMMYFUNCTION("""COMPUTED_VALUE"""),"0d 00h 00m")</f>
        <v>0d 00h 00m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>
      <c r="A912" s="1">
        <f ca="1">IFERROR(__xludf.DUMMYFUNCTION("""COMPUTED_VALUE"""),135)</f>
        <v>135</v>
      </c>
      <c r="B912" s="1" t="str">
        <f ca="1">IFERROR(__xludf.DUMMYFUNCTION("""COMPUTED_VALUE"""),"NE2_KA04AB5800_JETTING")</f>
        <v>NE2_KA04AB5800_JETTING</v>
      </c>
      <c r="C912" s="1" t="str">
        <f ca="1">IFERROR(__xludf.DUMMYFUNCTION("""COMPUTED_VALUE"""),"ne2_ka04ab5800_jetting")</f>
        <v>ne2_ka04ab5800_jetting</v>
      </c>
      <c r="D912" s="2">
        <f ca="1">IFERROR(__xludf.DUMMYFUNCTION("""COMPUTED_VALUE"""),44760)</f>
        <v>44760</v>
      </c>
      <c r="E912" s="3">
        <f ca="1">IFERROR(__xludf.DUMMYFUNCTION("""COMPUTED_VALUE"""),0.607395833332702)</f>
        <v>0.60739583333270197</v>
      </c>
      <c r="F912" s="1">
        <f ca="1">IFERROR(__xludf.DUMMYFUNCTION("""COMPUTED_VALUE"""),13233)</f>
        <v>13233</v>
      </c>
      <c r="G912" s="1" t="str">
        <f ca="1">IFERROR(__xludf.DUMMYFUNCTION("""COMPUTED_VALUE"""),"12.9979/77.5796")</f>
        <v>12.9979/77.5796</v>
      </c>
      <c r="H912" s="1" t="str">
        <f ca="1">IFERROR(__xludf.DUMMYFUNCTION("""COMPUTED_VALUE"""),"Hotel Magaji Orchids")</f>
        <v>Hotel Magaji Orchids</v>
      </c>
      <c r="I912" s="1"/>
      <c r="J912" s="1" t="str">
        <f ca="1">IFERROR(__xludf.DUMMYFUNCTION("""COMPUTED_VALUE"""),"0d 00h 00m")</f>
        <v>0d 00h 00m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>
      <c r="A913" s="1">
        <f ca="1">IFERROR(__xludf.DUMMYFUNCTION("""COMPUTED_VALUE"""),132)</f>
        <v>132</v>
      </c>
      <c r="B913" s="1" t="str">
        <f ca="1">IFERROR(__xludf.DUMMYFUNCTION("""COMPUTED_VALUE"""),"NE2_KA04AB5800_JETTING")</f>
        <v>NE2_KA04AB5800_JETTING</v>
      </c>
      <c r="C913" s="1" t="str">
        <f ca="1">IFERROR(__xludf.DUMMYFUNCTION("""COMPUTED_VALUE"""),"ne2_ka04ab5800_jetting")</f>
        <v>ne2_ka04ab5800_jetting</v>
      </c>
      <c r="D913" s="2">
        <f ca="1">IFERROR(__xludf.DUMMYFUNCTION("""COMPUTED_VALUE"""),44845)</f>
        <v>44845</v>
      </c>
      <c r="E913" s="3">
        <f ca="1">IFERROR(__xludf.DUMMYFUNCTION("""COMPUTED_VALUE"""),0.880787037036498)</f>
        <v>0.88078703703649797</v>
      </c>
      <c r="F913" s="1">
        <f ca="1">IFERROR(__xludf.DUMMYFUNCTION("""COMPUTED_VALUE"""),14471)</f>
        <v>14471</v>
      </c>
      <c r="G913" s="1" t="str">
        <f ca="1">IFERROR(__xludf.DUMMYFUNCTION("""COMPUTED_VALUE"""),"13.0104/77.5675")</f>
        <v>13.0104/77.5675</v>
      </c>
      <c r="H913" s="1" t="str">
        <f ca="1">IFERROR(__xludf.DUMMYFUNCTION("""COMPUTED_VALUE"""),"Malleshwaram")</f>
        <v>Malleshwaram</v>
      </c>
      <c r="I913" s="1"/>
      <c r="J913" s="1" t="str">
        <f ca="1">IFERROR(__xludf.DUMMYFUNCTION("""COMPUTED_VALUE"""),"0d 00h 00m")</f>
        <v>0d 00h 00m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>
      <c r="A914" s="1">
        <f ca="1">IFERROR(__xludf.DUMMYFUNCTION("""COMPUTED_VALUE"""),133)</f>
        <v>133</v>
      </c>
      <c r="B914" s="1" t="str">
        <f ca="1">IFERROR(__xludf.DUMMYFUNCTION("""COMPUTED_VALUE"""),"NE2_KA04AB5800_JETTING")</f>
        <v>NE2_KA04AB5800_JETTING</v>
      </c>
      <c r="C914" s="1" t="str">
        <f ca="1">IFERROR(__xludf.DUMMYFUNCTION("""COMPUTED_VALUE"""),"ne2_ka04ab5800_jetting")</f>
        <v>ne2_ka04ab5800_jetting</v>
      </c>
      <c r="D914" s="2">
        <f ca="1">IFERROR(__xludf.DUMMYFUNCTION("""COMPUTED_VALUE"""),44928)</f>
        <v>44928</v>
      </c>
      <c r="E914" s="3">
        <f ca="1">IFERROR(__xludf.DUMMYFUNCTION("""COMPUTED_VALUE"""),0.952499999999417)</f>
        <v>0.95249999999941704</v>
      </c>
      <c r="F914" s="1">
        <f ca="1">IFERROR(__xludf.DUMMYFUNCTION("""COMPUTED_VALUE"""),15450)</f>
        <v>15450</v>
      </c>
      <c r="G914" s="1" t="str">
        <f ca="1">IFERROR(__xludf.DUMMYFUNCTION("""COMPUTED_VALUE"""),"13.0103/77.5671")</f>
        <v>13.0103/77.5671</v>
      </c>
      <c r="H914" s="1" t="str">
        <f ca="1">IFERROR(__xludf.DUMMYFUNCTION("""COMPUTED_VALUE"""),"Malleshwaram")</f>
        <v>Malleshwaram</v>
      </c>
      <c r="I914" s="1"/>
      <c r="J914" s="1" t="str">
        <f ca="1">IFERROR(__xludf.DUMMYFUNCTION("""COMPUTED_VALUE"""),"0d 00h 00m")</f>
        <v>0d 00h 00m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>
      <c r="A915" s="1">
        <f ca="1">IFERROR(__xludf.DUMMYFUNCTION("""COMPUTED_VALUE"""),132)</f>
        <v>132</v>
      </c>
      <c r="B915" s="1" t="str">
        <f ca="1">IFERROR(__xludf.DUMMYFUNCTION("""COMPUTED_VALUE"""),"NE2_KA04AB5800_JETTING")</f>
        <v>NE2_KA04AB5800_JETTING</v>
      </c>
      <c r="C915" s="1" t="str">
        <f ca="1">IFERROR(__xludf.DUMMYFUNCTION("""COMPUTED_VALUE"""),"ne2_ka04ab5800_jetting")</f>
        <v>ne2_ka04ab5800_jetting</v>
      </c>
      <c r="D915" s="2">
        <f ca="1">IFERROR(__xludf.DUMMYFUNCTION("""COMPUTED_VALUE"""),44928)</f>
        <v>44928</v>
      </c>
      <c r="E915" s="3">
        <f ca="1">IFERROR(__xludf.DUMMYFUNCTION("""COMPUTED_VALUE"""),0.952499999999417)</f>
        <v>0.95249999999941704</v>
      </c>
      <c r="F915" s="1">
        <f ca="1">IFERROR(__xludf.DUMMYFUNCTION("""COMPUTED_VALUE"""),15450)</f>
        <v>15450</v>
      </c>
      <c r="G915" s="1" t="str">
        <f ca="1">IFERROR(__xludf.DUMMYFUNCTION("""COMPUTED_VALUE"""),"13.0103/77.5671")</f>
        <v>13.0103/77.5671</v>
      </c>
      <c r="H915" s="1" t="str">
        <f ca="1">IFERROR(__xludf.DUMMYFUNCTION("""COMPUTED_VALUE"""),"Malleshwaram")</f>
        <v>Malleshwaram</v>
      </c>
      <c r="I915" s="1"/>
      <c r="J915" s="1" t="str">
        <f ca="1">IFERROR(__xludf.DUMMYFUNCTION("""COMPUTED_VALUE"""),"0d 00h 00m")</f>
        <v>0d 00h 00m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>
      <c r="A916" s="1">
        <f ca="1">IFERROR(__xludf.DUMMYFUNCTION("""COMPUTED_VALUE"""),153)</f>
        <v>153</v>
      </c>
      <c r="B916" s="1" t="str">
        <f ca="1">IFERROR(__xludf.DUMMYFUNCTION("""COMPUTED_VALUE"""),"NE2_KA04AB5800_JETTING")</f>
        <v>NE2_KA04AB5800_JETTING</v>
      </c>
      <c r="C916" s="1" t="str">
        <f ca="1">IFERROR(__xludf.DUMMYFUNCTION("""COMPUTED_VALUE"""),"ne2_ka04ab5800_jetting")</f>
        <v>ne2_ka04ab5800_jetting</v>
      </c>
      <c r="D916" s="2">
        <f ca="1">IFERROR(__xludf.DUMMYFUNCTION("""COMPUTED_VALUE"""),45134)</f>
        <v>45134</v>
      </c>
      <c r="E916" s="3">
        <f ca="1">IFERROR(__xludf.DUMMYFUNCTION("""COMPUTED_VALUE"""),0.999016203702922)</f>
        <v>0.99901620370292199</v>
      </c>
      <c r="F916" s="1">
        <f ca="1">IFERROR(__xludf.DUMMYFUNCTION("""COMPUTED_VALUE"""),15941)</f>
        <v>15941</v>
      </c>
      <c r="G916" s="1" t="str">
        <f ca="1">IFERROR(__xludf.DUMMYFUNCTION("""COMPUTED_VALUE"""),"13.0103/77.5673")</f>
        <v>13.0103/77.5673</v>
      </c>
      <c r="H916" s="1" t="str">
        <f ca="1">IFERROR(__xludf.DUMMYFUNCTION("""COMPUTED_VALUE"""),"Malleshwaram")</f>
        <v>Malleshwaram</v>
      </c>
      <c r="I916" s="1"/>
      <c r="J916" s="1" t="str">
        <f ca="1">IFERROR(__xludf.DUMMYFUNCTION("""COMPUTED_VALUE"""),"0d 00h 00m")</f>
        <v>0d 00h 00m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>
      <c r="A917" s="1">
        <f ca="1">IFERROR(__xludf.DUMMYFUNCTION("""COMPUTED_VALUE"""),164)</f>
        <v>164</v>
      </c>
      <c r="B917" s="1" t="str">
        <f ca="1">IFERROR(__xludf.DUMMYFUNCTION("""COMPUTED_VALUE"""),"NE2_KA04AB5800_JETTING")</f>
        <v>NE2_KA04AB5800_JETTING</v>
      </c>
      <c r="C917" s="1" t="str">
        <f ca="1">IFERROR(__xludf.DUMMYFUNCTION("""COMPUTED_VALUE"""),"ne2_ka04ab5800_jetting")</f>
        <v>ne2_ka04ab5800_jetting</v>
      </c>
      <c r="D917" s="2">
        <f ca="1">IFERROR(__xludf.DUMMYFUNCTION("""COMPUTED_VALUE"""),45226)</f>
        <v>45226</v>
      </c>
      <c r="E917" s="3">
        <f ca="1">IFERROR(__xludf.DUMMYFUNCTION("""COMPUTED_VALUE"""),0.999097222222189)</f>
        <v>0.999097222222189</v>
      </c>
      <c r="F917" s="1">
        <f ca="1">IFERROR(__xludf.DUMMYFUNCTION("""COMPUTED_VALUE"""),17166)</f>
        <v>17166</v>
      </c>
      <c r="G917" s="1" t="str">
        <f ca="1">IFERROR(__xludf.DUMMYFUNCTION("""COMPUTED_VALUE"""),"13.0103/77.5672")</f>
        <v>13.0103/77.5672</v>
      </c>
      <c r="H917" s="1" t="str">
        <f ca="1">IFERROR(__xludf.DUMMYFUNCTION("""COMPUTED_VALUE"""),"Malleshwaram")</f>
        <v>Malleshwaram</v>
      </c>
      <c r="I917" s="1"/>
      <c r="J917" s="1" t="str">
        <f ca="1">IFERROR(__xludf.DUMMYFUNCTION("""COMPUTED_VALUE"""),"0d 00h 00m")</f>
        <v>0d 00h 00m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>
      <c r="A918" s="1">
        <f ca="1">IFERROR(__xludf.DUMMYFUNCTION("""COMPUTED_VALUE"""),176)</f>
        <v>176</v>
      </c>
      <c r="B918" s="1" t="str">
        <f ca="1">IFERROR(__xludf.DUMMYFUNCTION("""COMPUTED_VALUE"""),"NE2_KA04AB5800_JETTING")</f>
        <v>NE2_KA04AB5800_JETTING</v>
      </c>
      <c r="C918" s="1" t="str">
        <f ca="1">IFERROR(__xludf.DUMMYFUNCTION("""COMPUTED_VALUE"""),"ne2_ka04ab5800_jetting")</f>
        <v>ne2_ka04ab5800_jetting</v>
      </c>
      <c r="D918" s="2">
        <f ca="1">IFERROR(__xludf.DUMMYFUNCTION("""COMPUTED_VALUE"""),45315)</f>
        <v>45315</v>
      </c>
      <c r="E918" s="3">
        <f ca="1">IFERROR(__xludf.DUMMYFUNCTION("""COMPUTED_VALUE"""),0.787118055555765)</f>
        <v>0.78711805555576497</v>
      </c>
      <c r="F918" s="1">
        <f ca="1">IFERROR(__xludf.DUMMYFUNCTION("""COMPUTED_VALUE"""),18405)</f>
        <v>18405</v>
      </c>
      <c r="G918" s="1" t="str">
        <f ca="1">IFERROR(__xludf.DUMMYFUNCTION("""COMPUTED_VALUE"""),"13.0103/77.5672")</f>
        <v>13.0103/77.5672</v>
      </c>
      <c r="H918" s="1" t="str">
        <f ca="1">IFERROR(__xludf.DUMMYFUNCTION("""COMPUTED_VALUE"""),"Malleshwaram")</f>
        <v>Malleshwaram</v>
      </c>
      <c r="I918" s="1"/>
      <c r="J918" s="1" t="str">
        <f ca="1">IFERROR(__xludf.DUMMYFUNCTION("""COMPUTED_VALUE"""),"0d 00h 00m")</f>
        <v>0d 00h 00m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>
      <c r="A919" s="1">
        <f ca="1">IFERROR(__xludf.DUMMYFUNCTION("""COMPUTED_VALUE"""),216)</f>
        <v>216</v>
      </c>
      <c r="B919" s="1" t="str">
        <f ca="1">IFERROR(__xludf.DUMMYFUNCTION("""COMPUTED_VALUE"""),"NE2_KA04B7110_Tanker")</f>
        <v>NE2_KA04B7110_Tanker</v>
      </c>
      <c r="C919" s="1" t="str">
        <f ca="1">IFERROR(__xludf.DUMMYFUNCTION("""COMPUTED_VALUE"""),"ne2_ka04b7110_tanker")</f>
        <v>ne2_ka04b7110_tanker</v>
      </c>
      <c r="D919" s="2">
        <f ca="1">IFERROR(__xludf.DUMMYFUNCTION("""COMPUTED_VALUE"""),44707)</f>
        <v>44707</v>
      </c>
      <c r="E919" s="3">
        <f ca="1">IFERROR(__xludf.DUMMYFUNCTION("""COMPUTED_VALUE"""),0.999259259260725)</f>
        <v>0.99925925926072501</v>
      </c>
      <c r="F919" s="1">
        <f ca="1">IFERROR(__xludf.DUMMYFUNCTION("""COMPUTED_VALUE"""),33535)</f>
        <v>33535</v>
      </c>
      <c r="G919" s="1" t="str">
        <f ca="1">IFERROR(__xludf.DUMMYFUNCTION("""COMPUTED_VALUE"""),"13.0113/77.5675")</f>
        <v>13.0113/77.5675</v>
      </c>
      <c r="H919" s="1" t="str">
        <f ca="1">IFERROR(__xludf.DUMMYFUNCTION("""COMPUTED_VALUE"""),"Malleshwaram")</f>
        <v>Malleshwaram</v>
      </c>
      <c r="I919" s="1"/>
      <c r="J919" s="1" t="str">
        <f ca="1">IFERROR(__xludf.DUMMYFUNCTION("""COMPUTED_VALUE"""),"14d 18h 42m")</f>
        <v>14d 18h 42m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>
      <c r="A920" s="1">
        <f ca="1">IFERROR(__xludf.DUMMYFUNCTION("""COMPUTED_VALUE"""),149)</f>
        <v>149</v>
      </c>
      <c r="B920" s="1" t="str">
        <f ca="1">IFERROR(__xludf.DUMMYFUNCTION("""COMPUTED_VALUE"""),"NE2_KA04B7110_Tanker")</f>
        <v>NE2_KA04B7110_Tanker</v>
      </c>
      <c r="C920" s="1" t="str">
        <f ca="1">IFERROR(__xludf.DUMMYFUNCTION("""COMPUTED_VALUE"""),"ne2_ka04b7110_tanker")</f>
        <v>ne2_ka04b7110_tanker</v>
      </c>
      <c r="D920" s="2">
        <f ca="1">IFERROR(__xludf.DUMMYFUNCTION("""COMPUTED_VALUE"""),44738)</f>
        <v>44738</v>
      </c>
      <c r="E920" s="3">
        <f ca="1">IFERROR(__xludf.DUMMYFUNCTION("""COMPUTED_VALUE"""),0.866296296295331)</f>
        <v>0.866296296295331</v>
      </c>
      <c r="F920" s="1">
        <f ca="1">IFERROR(__xludf.DUMMYFUNCTION("""COMPUTED_VALUE"""),34347)</f>
        <v>34347</v>
      </c>
      <c r="G920" s="1" t="str">
        <f ca="1">IFERROR(__xludf.DUMMYFUNCTION("""COMPUTED_VALUE"""),"13.0113/77.5677")</f>
        <v>13.0113/77.5677</v>
      </c>
      <c r="H920" s="1" t="str">
        <f ca="1">IFERROR(__xludf.DUMMYFUNCTION("""COMPUTED_VALUE"""),"Malleshwaram")</f>
        <v>Malleshwaram</v>
      </c>
      <c r="I920" s="1"/>
      <c r="J920" s="1" t="str">
        <f ca="1">IFERROR(__xludf.DUMMYFUNCTION("""COMPUTED_VALUE"""),"14d 18h 43m")</f>
        <v>14d 18h 43m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>
      <c r="A921" s="1">
        <f ca="1">IFERROR(__xludf.DUMMYFUNCTION("""COMPUTED_VALUE"""),151)</f>
        <v>151</v>
      </c>
      <c r="B921" s="1" t="str">
        <f ca="1">IFERROR(__xludf.DUMMYFUNCTION("""COMPUTED_VALUE"""),"NE2_KA04B7110_Tanker")</f>
        <v>NE2_KA04B7110_Tanker</v>
      </c>
      <c r="C921" s="1" t="str">
        <f ca="1">IFERROR(__xludf.DUMMYFUNCTION("""COMPUTED_VALUE"""),"ne2_ka04b7110_tanker")</f>
        <v>ne2_ka04b7110_tanker</v>
      </c>
      <c r="D921" s="2">
        <f ca="1">IFERROR(__xludf.DUMMYFUNCTION("""COMPUTED_VALUE"""),44768)</f>
        <v>44768</v>
      </c>
      <c r="E921" s="3">
        <f ca="1">IFERROR(__xludf.DUMMYFUNCTION("""COMPUTED_VALUE"""),0.787083333332702)</f>
        <v>0.78708333333270197</v>
      </c>
      <c r="F921" s="1">
        <f ca="1">IFERROR(__xludf.DUMMYFUNCTION("""COMPUTED_VALUE"""),34670)</f>
        <v>34670</v>
      </c>
      <c r="G921" s="1" t="str">
        <f ca="1">IFERROR(__xludf.DUMMYFUNCTION("""COMPUTED_VALUE"""),"13.0105/77.5669")</f>
        <v>13.0105/77.5669</v>
      </c>
      <c r="H921" s="1" t="str">
        <f ca="1">IFERROR(__xludf.DUMMYFUNCTION("""COMPUTED_VALUE"""),"Malleshwaram")</f>
        <v>Malleshwaram</v>
      </c>
      <c r="I921" s="1"/>
      <c r="J921" s="1" t="str">
        <f ca="1">IFERROR(__xludf.DUMMYFUNCTION("""COMPUTED_VALUE"""),"14d 18h 43m")</f>
        <v>14d 18h 43m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>
      <c r="A922" s="1">
        <f ca="1">IFERROR(__xludf.DUMMYFUNCTION("""COMPUTED_VALUE"""),163)</f>
        <v>163</v>
      </c>
      <c r="B922" s="1" t="str">
        <f ca="1">IFERROR(__xludf.DUMMYFUNCTION("""COMPUTED_VALUE"""),"NE2_KA04B7110_Tanker")</f>
        <v>NE2_KA04B7110_Tanker</v>
      </c>
      <c r="C922" s="1" t="str">
        <f ca="1">IFERROR(__xludf.DUMMYFUNCTION("""COMPUTED_VALUE"""),"ne2_ka04b7110_tanker")</f>
        <v>ne2_ka04b7110_tanker</v>
      </c>
      <c r="D922" s="2">
        <f ca="1">IFERROR(__xludf.DUMMYFUNCTION("""COMPUTED_VALUE"""),44799)</f>
        <v>44799</v>
      </c>
      <c r="E922" s="3">
        <f ca="1">IFERROR(__xludf.DUMMYFUNCTION("""COMPUTED_VALUE"""),0.961724537035479)</f>
        <v>0.961724537035479</v>
      </c>
      <c r="F922" s="1">
        <f ca="1">IFERROR(__xludf.DUMMYFUNCTION("""COMPUTED_VALUE"""),35224)</f>
        <v>35224</v>
      </c>
      <c r="G922" s="1" t="str">
        <f ca="1">IFERROR(__xludf.DUMMYFUNCTION("""COMPUTED_VALUE"""),"13.0105/77.5667")</f>
        <v>13.0105/77.5667</v>
      </c>
      <c r="H922" s="1" t="str">
        <f ca="1">IFERROR(__xludf.DUMMYFUNCTION("""COMPUTED_VALUE"""),"Malleshwaram")</f>
        <v>Malleshwaram</v>
      </c>
      <c r="I922" s="1"/>
      <c r="J922" s="1" t="str">
        <f ca="1">IFERROR(__xludf.DUMMYFUNCTION("""COMPUTED_VALUE"""),"14d 18h 44m")</f>
        <v>14d 18h 44m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>
      <c r="A923" s="1">
        <f ca="1">IFERROR(__xludf.DUMMYFUNCTION("""COMPUTED_VALUE"""),181)</f>
        <v>181</v>
      </c>
      <c r="B923" s="1" t="str">
        <f ca="1">IFERROR(__xludf.DUMMYFUNCTION("""COMPUTED_VALUE"""),"NE2_KA04B7110_Tanker")</f>
        <v>NE2_KA04B7110_Tanker</v>
      </c>
      <c r="C923" s="1" t="str">
        <f ca="1">IFERROR(__xludf.DUMMYFUNCTION("""COMPUTED_VALUE"""),"ne2_ka04b7110_tanker")</f>
        <v>ne2_ka04b7110_tanker</v>
      </c>
      <c r="D923" s="2">
        <f ca="1">IFERROR(__xludf.DUMMYFUNCTION("""COMPUTED_VALUE"""),44830)</f>
        <v>44830</v>
      </c>
      <c r="E923" s="3">
        <f ca="1">IFERROR(__xludf.DUMMYFUNCTION("""COMPUTED_VALUE"""),0.999074074072268)</f>
        <v>0.999074074072268</v>
      </c>
      <c r="F923" s="1">
        <f ca="1">IFERROR(__xludf.DUMMYFUNCTION("""COMPUTED_VALUE"""),35759)</f>
        <v>35759</v>
      </c>
      <c r="G923" s="1" t="str">
        <f ca="1">IFERROR(__xludf.DUMMYFUNCTION("""COMPUTED_VALUE"""),"13.0102/77.5667")</f>
        <v>13.0102/77.5667</v>
      </c>
      <c r="H923" s="1" t="str">
        <f ca="1">IFERROR(__xludf.DUMMYFUNCTION("""COMPUTED_VALUE"""),"Malleshwaram")</f>
        <v>Malleshwaram</v>
      </c>
      <c r="I923" s="1"/>
      <c r="J923" s="1" t="str">
        <f ca="1">IFERROR(__xludf.DUMMYFUNCTION("""COMPUTED_VALUE"""),"14d 18h 45m")</f>
        <v>14d 18h 45m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>
      <c r="A924" s="1">
        <f ca="1">IFERROR(__xludf.DUMMYFUNCTION("""COMPUTED_VALUE"""),95)</f>
        <v>95</v>
      </c>
      <c r="B924" s="1" t="str">
        <f ca="1">IFERROR(__xludf.DUMMYFUNCTION("""COMPUTED_VALUE"""),"NE2_KA04B7110_Tanker")</f>
        <v>NE2_KA04B7110_Tanker</v>
      </c>
      <c r="C924" s="1" t="str">
        <f ca="1">IFERROR(__xludf.DUMMYFUNCTION("""COMPUTED_VALUE"""),"ne2_ka04b7110_tanker")</f>
        <v>ne2_ka04b7110_tanker</v>
      </c>
      <c r="D924" s="2">
        <f ca="1">IFERROR(__xludf.DUMMYFUNCTION("""COMPUTED_VALUE"""),44855)</f>
        <v>44855</v>
      </c>
      <c r="E924" s="3">
        <f ca="1">IFERROR(__xludf.DUMMYFUNCTION("""COMPUTED_VALUE"""),0.426296296296641)</f>
        <v>0.42629629629664101</v>
      </c>
      <c r="F924" s="1">
        <f ca="1">IFERROR(__xludf.DUMMYFUNCTION("""COMPUTED_VALUE"""),35895)</f>
        <v>35895</v>
      </c>
      <c r="G924" s="1" t="str">
        <f ca="1">IFERROR(__xludf.DUMMYFUNCTION("""COMPUTED_VALUE"""),"13.0105/77.5859")</f>
        <v>13.0105/77.5859</v>
      </c>
      <c r="H924" s="1" t="str">
        <f ca="1">IFERROR(__xludf.DUMMYFUNCTION("""COMPUTED_VALUE"""),"Kempe Gandi's Pillar")</f>
        <v>Kempe Gandi's Pillar</v>
      </c>
      <c r="I924" s="1"/>
      <c r="J924" s="1" t="str">
        <f ca="1">IFERROR(__xludf.DUMMYFUNCTION("""COMPUTED_VALUE"""),"14d 18h 46m")</f>
        <v>14d 18h 46m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>
      <c r="A925" s="1">
        <f ca="1">IFERROR(__xludf.DUMMYFUNCTION("""COMPUTED_VALUE"""),153)</f>
        <v>153</v>
      </c>
      <c r="B925" s="1" t="str">
        <f ca="1">IFERROR(__xludf.DUMMYFUNCTION("""COMPUTED_VALUE"""),"NE2_KA04B7110_TANKER")</f>
        <v>NE2_KA04B7110_TANKER</v>
      </c>
      <c r="C925" s="1" t="str">
        <f ca="1">IFERROR(__xludf.DUMMYFUNCTION("""COMPUTED_VALUE"""),"ne2_ka04b7110_tanker")</f>
        <v>ne2_ka04b7110_tanker</v>
      </c>
      <c r="D925" s="2">
        <f ca="1">IFERROR(__xludf.DUMMYFUNCTION("""COMPUTED_VALUE"""),44769)</f>
        <v>44769</v>
      </c>
      <c r="E925" s="3">
        <f ca="1">IFERROR(__xludf.DUMMYFUNCTION("""COMPUTED_VALUE"""),0.999062499999126)</f>
        <v>0.999062499999126</v>
      </c>
      <c r="F925" s="1">
        <f ca="1">IFERROR(__xludf.DUMMYFUNCTION("""COMPUTED_VALUE"""),34690)</f>
        <v>34690</v>
      </c>
      <c r="G925" s="1" t="str">
        <f ca="1">IFERROR(__xludf.DUMMYFUNCTION("""COMPUTED_VALUE"""),"13.0103/77.5667")</f>
        <v>13.0103/77.5667</v>
      </c>
      <c r="H925" s="1" t="str">
        <f ca="1">IFERROR(__xludf.DUMMYFUNCTION("""COMPUTED_VALUE"""),"Malleshwaram")</f>
        <v>Malleshwaram</v>
      </c>
      <c r="I925" s="1"/>
      <c r="J925" s="1" t="str">
        <f ca="1">IFERROR(__xludf.DUMMYFUNCTION("""COMPUTED_VALUE"""),"0d 00h 00m")</f>
        <v>0d 00h 00m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>
      <c r="A926" s="1">
        <f ca="1">IFERROR(__xludf.DUMMYFUNCTION("""COMPUTED_VALUE"""),134)</f>
        <v>134</v>
      </c>
      <c r="B926" s="1" t="str">
        <f ca="1">IFERROR(__xludf.DUMMYFUNCTION("""COMPUTED_VALUE"""),"NE2_KA04B7110_TANKER")</f>
        <v>NE2_KA04B7110_TANKER</v>
      </c>
      <c r="C926" s="1" t="str">
        <f ca="1">IFERROR(__xludf.DUMMYFUNCTION("""COMPUTED_VALUE"""),"ne2_ka04b7110_tanker")</f>
        <v>ne2_ka04b7110_tanker</v>
      </c>
      <c r="D926" s="2">
        <f ca="1">IFERROR(__xludf.DUMMYFUNCTION("""COMPUTED_VALUE"""),44855)</f>
        <v>44855</v>
      </c>
      <c r="E926" s="3">
        <f ca="1">IFERROR(__xludf.DUMMYFUNCTION("""COMPUTED_VALUE"""),0.426296296296641)</f>
        <v>0.42629629629664101</v>
      </c>
      <c r="F926" s="1">
        <f ca="1">IFERROR(__xludf.DUMMYFUNCTION("""COMPUTED_VALUE"""),35895)</f>
        <v>35895</v>
      </c>
      <c r="G926" s="1" t="str">
        <f ca="1">IFERROR(__xludf.DUMMYFUNCTION("""COMPUTED_VALUE"""),"13.0105/77.5859")</f>
        <v>13.0105/77.5859</v>
      </c>
      <c r="H926" s="1" t="str">
        <f ca="1">IFERROR(__xludf.DUMMYFUNCTION("""COMPUTED_VALUE"""),"Kempe Gandi's Pillar")</f>
        <v>Kempe Gandi's Pillar</v>
      </c>
      <c r="I926" s="1"/>
      <c r="J926" s="1" t="str">
        <f ca="1">IFERROR(__xludf.DUMMYFUNCTION("""COMPUTED_VALUE"""),"0d 00h 00m")</f>
        <v>0d 00h 00m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>
      <c r="A927" s="1">
        <f ca="1">IFERROR(__xludf.DUMMYFUNCTION("""COMPUTED_VALUE"""),132)</f>
        <v>132</v>
      </c>
      <c r="B927" s="1" t="str">
        <f ca="1">IFERROR(__xludf.DUMMYFUNCTION("""COMPUTED_VALUE"""),"NE2_KA04B7110_TANKER")</f>
        <v>NE2_KA04B7110_TANKER</v>
      </c>
      <c r="C927" s="1" t="str">
        <f ca="1">IFERROR(__xludf.DUMMYFUNCTION("""COMPUTED_VALUE"""),"ne2_ka04b7110_tanker")</f>
        <v>ne2_ka04b7110_tanker</v>
      </c>
      <c r="D927" s="2">
        <f ca="1">IFERROR(__xludf.DUMMYFUNCTION("""COMPUTED_VALUE"""),44928)</f>
        <v>44928</v>
      </c>
      <c r="E927" s="3">
        <f ca="1">IFERROR(__xludf.DUMMYFUNCTION("""COMPUTED_VALUE"""),0.540231481481896)</f>
        <v>0.54023148148189604</v>
      </c>
      <c r="F927" s="1">
        <f ca="1">IFERROR(__xludf.DUMMYFUNCTION("""COMPUTED_VALUE"""),36164)</f>
        <v>36164</v>
      </c>
      <c r="G927" s="1" t="str">
        <f ca="1">IFERROR(__xludf.DUMMYFUNCTION("""COMPUTED_VALUE"""),"13.0109/77.5672")</f>
        <v>13.0109/77.5672</v>
      </c>
      <c r="H927" s="1" t="str">
        <f ca="1">IFERROR(__xludf.DUMMYFUNCTION("""COMPUTED_VALUE"""),"Malleshwaram")</f>
        <v>Malleshwaram</v>
      </c>
      <c r="I927" s="1"/>
      <c r="J927" s="1" t="str">
        <f ca="1">IFERROR(__xludf.DUMMYFUNCTION("""COMPUTED_VALUE"""),"0d 00h 00m")</f>
        <v>0d 00h 00m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>
      <c r="A928" s="1">
        <f ca="1">IFERROR(__xludf.DUMMYFUNCTION("""COMPUTED_VALUE"""),131)</f>
        <v>131</v>
      </c>
      <c r="B928" s="1" t="str">
        <f ca="1">IFERROR(__xludf.DUMMYFUNCTION("""COMPUTED_VALUE"""),"NE2_KA04B7110_TANKER")</f>
        <v>NE2_KA04B7110_TANKER</v>
      </c>
      <c r="C928" s="1" t="str">
        <f ca="1">IFERROR(__xludf.DUMMYFUNCTION("""COMPUTED_VALUE"""),"ne2_ka04b7110_tanker")</f>
        <v>ne2_ka04b7110_tanker</v>
      </c>
      <c r="D928" s="2">
        <f ca="1">IFERROR(__xludf.DUMMYFUNCTION("""COMPUTED_VALUE"""),44928)</f>
        <v>44928</v>
      </c>
      <c r="E928" s="3">
        <f ca="1">IFERROR(__xludf.DUMMYFUNCTION("""COMPUTED_VALUE"""),0.540231481481896)</f>
        <v>0.54023148148189604</v>
      </c>
      <c r="F928" s="1">
        <f ca="1">IFERROR(__xludf.DUMMYFUNCTION("""COMPUTED_VALUE"""),36164)</f>
        <v>36164</v>
      </c>
      <c r="G928" s="1" t="str">
        <f ca="1">IFERROR(__xludf.DUMMYFUNCTION("""COMPUTED_VALUE"""),"13.0109/77.5672")</f>
        <v>13.0109/77.5672</v>
      </c>
      <c r="H928" s="1" t="str">
        <f ca="1">IFERROR(__xludf.DUMMYFUNCTION("""COMPUTED_VALUE"""),"Malleshwaram")</f>
        <v>Malleshwaram</v>
      </c>
      <c r="I928" s="1"/>
      <c r="J928" s="1" t="str">
        <f ca="1">IFERROR(__xludf.DUMMYFUNCTION("""COMPUTED_VALUE"""),"0d 00h 00m")</f>
        <v>0d 00h 00m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>
      <c r="A929" s="1">
        <f ca="1">IFERROR(__xludf.DUMMYFUNCTION("""COMPUTED_VALUE"""),162)</f>
        <v>162</v>
      </c>
      <c r="B929" s="1" t="str">
        <f ca="1">IFERROR(__xludf.DUMMYFUNCTION("""COMPUTED_VALUE"""),"NE2_KA04B7110_TANKER")</f>
        <v>NE2_KA04B7110_TANKER</v>
      </c>
      <c r="C929" s="1" t="str">
        <f ca="1">IFERROR(__xludf.DUMMYFUNCTION("""COMPUTED_VALUE"""),"ne2_ka04b7110_tanker")</f>
        <v>ne2_ka04b7110_tanker</v>
      </c>
      <c r="D929" s="2">
        <f ca="1">IFERROR(__xludf.DUMMYFUNCTION("""COMPUTED_VALUE"""),45134)</f>
        <v>45134</v>
      </c>
      <c r="E929" s="3">
        <f ca="1">IFERROR(__xludf.DUMMYFUNCTION("""COMPUTED_VALUE"""),0.99921296296452)</f>
        <v>0.99921296296452</v>
      </c>
      <c r="F929" s="1">
        <f ca="1">IFERROR(__xludf.DUMMYFUNCTION("""COMPUTED_VALUE"""),37108)</f>
        <v>37108</v>
      </c>
      <c r="G929" s="1" t="str">
        <f ca="1">IFERROR(__xludf.DUMMYFUNCTION("""COMPUTED_VALUE"""),"13.0104/77.5666")</f>
        <v>13.0104/77.5666</v>
      </c>
      <c r="H929" s="1" t="str">
        <f ca="1">IFERROR(__xludf.DUMMYFUNCTION("""COMPUTED_VALUE"""),"Malleshwaram")</f>
        <v>Malleshwaram</v>
      </c>
      <c r="I929" s="1"/>
      <c r="J929" s="1" t="str">
        <f ca="1">IFERROR(__xludf.DUMMYFUNCTION("""COMPUTED_VALUE"""),"0d 00h 00m")</f>
        <v>0d 00h 00m</v>
      </c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>
      <c r="A930" s="1">
        <f ca="1">IFERROR(__xludf.DUMMYFUNCTION("""COMPUTED_VALUE"""),157)</f>
        <v>157</v>
      </c>
      <c r="B930" s="1" t="str">
        <f ca="1">IFERROR(__xludf.DUMMYFUNCTION("""COMPUTED_VALUE"""),"NE2_KA04B7110_TANKER")</f>
        <v>NE2_KA04B7110_TANKER</v>
      </c>
      <c r="C930" s="1" t="str">
        <f ca="1">IFERROR(__xludf.DUMMYFUNCTION("""COMPUTED_VALUE"""),"ne2_ka04b7110_tanker")</f>
        <v>ne2_ka04b7110_tanker</v>
      </c>
      <c r="D930" s="2">
        <f ca="1">IFERROR(__xludf.DUMMYFUNCTION("""COMPUTED_VALUE"""),45226)</f>
        <v>45226</v>
      </c>
      <c r="E930" s="3">
        <f ca="1">IFERROR(__xludf.DUMMYFUNCTION("""COMPUTED_VALUE"""),0.998634259260143)</f>
        <v>0.99863425926014304</v>
      </c>
      <c r="F930" s="1">
        <f ca="1">IFERROR(__xludf.DUMMYFUNCTION("""COMPUTED_VALUE"""),39705)</f>
        <v>39705</v>
      </c>
      <c r="G930" s="1" t="str">
        <f ca="1">IFERROR(__xludf.DUMMYFUNCTION("""COMPUTED_VALUE"""),"13.0103/77.5668")</f>
        <v>13.0103/77.5668</v>
      </c>
      <c r="H930" s="1" t="str">
        <f ca="1">IFERROR(__xludf.DUMMYFUNCTION("""COMPUTED_VALUE"""),"Malleshwaram")</f>
        <v>Malleshwaram</v>
      </c>
      <c r="I930" s="1"/>
      <c r="J930" s="1" t="str">
        <f ca="1">IFERROR(__xludf.DUMMYFUNCTION("""COMPUTED_VALUE"""),"0d 00h 00m")</f>
        <v>0d 00h 00m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>
      <c r="A931" s="1">
        <f ca="1">IFERROR(__xludf.DUMMYFUNCTION("""COMPUTED_VALUE"""),170)</f>
        <v>170</v>
      </c>
      <c r="B931" s="1" t="str">
        <f ca="1">IFERROR(__xludf.DUMMYFUNCTION("""COMPUTED_VALUE"""),"NE2_KA04B7110_TANKER")</f>
        <v>NE2_KA04B7110_TANKER</v>
      </c>
      <c r="C931" s="1" t="str">
        <f ca="1">IFERROR(__xludf.DUMMYFUNCTION("""COMPUTED_VALUE"""),"ne2_ka04b7110_tanker")</f>
        <v>ne2_ka04b7110_tanker</v>
      </c>
      <c r="D931" s="2">
        <f ca="1">IFERROR(__xludf.DUMMYFUNCTION("""COMPUTED_VALUE"""),45315)</f>
        <v>45315</v>
      </c>
      <c r="E931" s="3">
        <f ca="1">IFERROR(__xludf.DUMMYFUNCTION("""COMPUTED_VALUE"""),0.787037037036498)</f>
        <v>0.78703703703649797</v>
      </c>
      <c r="F931" s="1">
        <f ca="1">IFERROR(__xludf.DUMMYFUNCTION("""COMPUTED_VALUE"""),41694)</f>
        <v>41694</v>
      </c>
      <c r="G931" s="1" t="str">
        <f ca="1">IFERROR(__xludf.DUMMYFUNCTION("""COMPUTED_VALUE"""),"13.0102/77.5668")</f>
        <v>13.0102/77.5668</v>
      </c>
      <c r="H931" s="1" t="str">
        <f ca="1">IFERROR(__xludf.DUMMYFUNCTION("""COMPUTED_VALUE"""),"Malleshwaram")</f>
        <v>Malleshwaram</v>
      </c>
      <c r="I931" s="1"/>
      <c r="J931" s="1" t="str">
        <f ca="1">IFERROR(__xludf.DUMMYFUNCTION("""COMPUTED_VALUE"""),"0d 00h 00m")</f>
        <v>0d 00h 00m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>
      <c r="A932" s="1">
        <f ca="1">IFERROR(__xludf.DUMMYFUNCTION("""COMPUTED_VALUE"""),183)</f>
        <v>183</v>
      </c>
      <c r="B932" s="1" t="str">
        <f ca="1">IFERROR(__xludf.DUMMYFUNCTION("""COMPUTED_VALUE"""),"NE2_KA04C5137_Jetting")</f>
        <v>NE2_KA04C5137_Jetting</v>
      </c>
      <c r="C932" s="1" t="str">
        <f ca="1">IFERROR(__xludf.DUMMYFUNCTION("""COMPUTED_VALUE"""),"ne2_ka04c5137_jetting")</f>
        <v>ne2_ka04c5137_jetting</v>
      </c>
      <c r="D932" s="2">
        <f ca="1">IFERROR(__xludf.DUMMYFUNCTION("""COMPUTED_VALUE"""),44707)</f>
        <v>44707</v>
      </c>
      <c r="E932" s="3">
        <f ca="1">IFERROR(__xludf.DUMMYFUNCTION("""COMPUTED_VALUE"""),0.999085648149048)</f>
        <v>0.99908564814904799</v>
      </c>
      <c r="F932" s="1">
        <f ca="1">IFERROR(__xludf.DUMMYFUNCTION("""COMPUTED_VALUE"""),31873)</f>
        <v>31873</v>
      </c>
      <c r="G932" s="1" t="str">
        <f ca="1">IFERROR(__xludf.DUMMYFUNCTION("""COMPUTED_VALUE"""),"13.0104/77.5667")</f>
        <v>13.0104/77.5667</v>
      </c>
      <c r="H932" s="1" t="str">
        <f ca="1">IFERROR(__xludf.DUMMYFUNCTION("""COMPUTED_VALUE"""),"Malleshwaram")</f>
        <v>Malleshwaram</v>
      </c>
      <c r="I932" s="1"/>
      <c r="J932" s="1" t="str">
        <f ca="1">IFERROR(__xludf.DUMMYFUNCTION("""COMPUTED_VALUE"""),"0d 00h 00m")</f>
        <v>0d 00h 00m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>
      <c r="A933" s="1">
        <f ca="1">IFERROR(__xludf.DUMMYFUNCTION("""COMPUTED_VALUE"""),220)</f>
        <v>220</v>
      </c>
      <c r="B933" s="1" t="str">
        <f ca="1">IFERROR(__xludf.DUMMYFUNCTION("""COMPUTED_VALUE"""),"NE2_KA04C5137_Jetting")</f>
        <v>NE2_KA04C5137_Jetting</v>
      </c>
      <c r="C933" s="1" t="str">
        <f ca="1">IFERROR(__xludf.DUMMYFUNCTION("""COMPUTED_VALUE"""),"ne2_ka04c5137_jetting")</f>
        <v>ne2_ka04c5137_jetting</v>
      </c>
      <c r="D933" s="2">
        <f ca="1">IFERROR(__xludf.DUMMYFUNCTION("""COMPUTED_VALUE"""),44738)</f>
        <v>44738</v>
      </c>
      <c r="E933" s="3">
        <f ca="1">IFERROR(__xludf.DUMMYFUNCTION("""COMPUTED_VALUE"""),0.999236111110803)</f>
        <v>0.99923611111080302</v>
      </c>
      <c r="F933" s="1">
        <f ca="1">IFERROR(__xludf.DUMMYFUNCTION("""COMPUTED_VALUE"""),32487)</f>
        <v>32487</v>
      </c>
      <c r="G933" s="1" t="str">
        <f ca="1">IFERROR(__xludf.DUMMYFUNCTION("""COMPUTED_VALUE"""),"13.0104/77.5668")</f>
        <v>13.0104/77.5668</v>
      </c>
      <c r="H933" s="1" t="str">
        <f ca="1">IFERROR(__xludf.DUMMYFUNCTION("""COMPUTED_VALUE"""),"Malleshwaram")</f>
        <v>Malleshwaram</v>
      </c>
      <c r="I933" s="1"/>
      <c r="J933" s="1" t="str">
        <f ca="1">IFERROR(__xludf.DUMMYFUNCTION("""COMPUTED_VALUE"""),"0d 00h 00m")</f>
        <v>0d 00h 00m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>
      <c r="A934" s="1">
        <f ca="1">IFERROR(__xludf.DUMMYFUNCTION("""COMPUTED_VALUE"""),237)</f>
        <v>237</v>
      </c>
      <c r="B934" s="1" t="str">
        <f ca="1">IFERROR(__xludf.DUMMYFUNCTION("""COMPUTED_VALUE"""),"NE2_KA04C5137_Jetting")</f>
        <v>NE2_KA04C5137_Jetting</v>
      </c>
      <c r="C934" s="1" t="str">
        <f ca="1">IFERROR(__xludf.DUMMYFUNCTION("""COMPUTED_VALUE"""),"ne2_ka04c5137_jetting")</f>
        <v>ne2_ka04c5137_jetting</v>
      </c>
      <c r="D934" s="2">
        <f ca="1">IFERROR(__xludf.DUMMYFUNCTION("""COMPUTED_VALUE"""),44768)</f>
        <v>44768</v>
      </c>
      <c r="E934" s="3">
        <f ca="1">IFERROR(__xludf.DUMMYFUNCTION("""COMPUTED_VALUE"""),0.999305555556929)</f>
        <v>0.99930555555692901</v>
      </c>
      <c r="F934" s="1">
        <f ca="1">IFERROR(__xludf.DUMMYFUNCTION("""COMPUTED_VALUE"""),33075)</f>
        <v>33075</v>
      </c>
      <c r="G934" s="1" t="str">
        <f ca="1">IFERROR(__xludf.DUMMYFUNCTION("""COMPUTED_VALUE"""),"12.9974/77.5996")</f>
        <v>12.9974/77.5996</v>
      </c>
      <c r="H934" s="1" t="str">
        <f ca="1">IFERROR(__xludf.DUMMYFUNCTION("""COMPUTED_VALUE"""),"Jayamahal Palace")</f>
        <v>Jayamahal Palace</v>
      </c>
      <c r="I934" s="1"/>
      <c r="J934" s="1" t="str">
        <f ca="1">IFERROR(__xludf.DUMMYFUNCTION("""COMPUTED_VALUE"""),"0d 00h 00m")</f>
        <v>0d 00h 00m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>
      <c r="A935" s="1">
        <f ca="1">IFERROR(__xludf.DUMMYFUNCTION("""COMPUTED_VALUE"""),224)</f>
        <v>224</v>
      </c>
      <c r="B935" s="1" t="str">
        <f ca="1">IFERROR(__xludf.DUMMYFUNCTION("""COMPUTED_VALUE"""),"NE2_KA04C5137_Jetting")</f>
        <v>NE2_KA04C5137_Jetting</v>
      </c>
      <c r="C935" s="1" t="str">
        <f ca="1">IFERROR(__xludf.DUMMYFUNCTION("""COMPUTED_VALUE"""),"ne2_ka04c5137_jetting")</f>
        <v>ne2_ka04c5137_jetting</v>
      </c>
      <c r="D935" s="2">
        <f ca="1">IFERROR(__xludf.DUMMYFUNCTION("""COMPUTED_VALUE"""),44799)</f>
        <v>44799</v>
      </c>
      <c r="E935" s="3">
        <f ca="1">IFERROR(__xludf.DUMMYFUNCTION("""COMPUTED_VALUE"""),0.99920138888774)</f>
        <v>0.99920138888774002</v>
      </c>
      <c r="F935" s="1">
        <f ca="1">IFERROR(__xludf.DUMMYFUNCTION("""COMPUTED_VALUE"""),33466)</f>
        <v>33466</v>
      </c>
      <c r="G935" s="1" t="str">
        <f ca="1">IFERROR(__xludf.DUMMYFUNCTION("""COMPUTED_VALUE"""),"12.9973/77.5997")</f>
        <v>12.9973/77.5997</v>
      </c>
      <c r="H935" s="1" t="str">
        <f ca="1">IFERROR(__xludf.DUMMYFUNCTION("""COMPUTED_VALUE"""),"Jayamahal Palace")</f>
        <v>Jayamahal Palace</v>
      </c>
      <c r="I935" s="1"/>
      <c r="J935" s="1" t="str">
        <f ca="1">IFERROR(__xludf.DUMMYFUNCTION("""COMPUTED_VALUE"""),"0d 00h 00m")</f>
        <v>0d 00h 00m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>
      <c r="A936" s="1">
        <f ca="1">IFERROR(__xludf.DUMMYFUNCTION("""COMPUTED_VALUE"""),188)</f>
        <v>188</v>
      </c>
      <c r="B936" s="1" t="str">
        <f ca="1">IFERROR(__xludf.DUMMYFUNCTION("""COMPUTED_VALUE"""),"NE2_KA04C5137_Jetting")</f>
        <v>NE2_KA04C5137_Jetting</v>
      </c>
      <c r="C936" s="1" t="str">
        <f ca="1">IFERROR(__xludf.DUMMYFUNCTION("""COMPUTED_VALUE"""),"ne2_ka04c5137_jetting")</f>
        <v>ne2_ka04c5137_jetting</v>
      </c>
      <c r="D936" s="2">
        <f ca="1">IFERROR(__xludf.DUMMYFUNCTION("""COMPUTED_VALUE"""),44830)</f>
        <v>44830</v>
      </c>
      <c r="E936" s="3">
        <f ca="1">IFERROR(__xludf.DUMMYFUNCTION("""COMPUTED_VALUE"""),0.999085648149048)</f>
        <v>0.99908564814904799</v>
      </c>
      <c r="F936" s="1">
        <f ca="1">IFERROR(__xludf.DUMMYFUNCTION("""COMPUTED_VALUE"""),33827)</f>
        <v>33827</v>
      </c>
      <c r="G936" s="1" t="str">
        <f ca="1">IFERROR(__xludf.DUMMYFUNCTION("""COMPUTED_VALUE"""),"13.0102/77.5667")</f>
        <v>13.0102/77.5667</v>
      </c>
      <c r="H936" s="1" t="str">
        <f ca="1">IFERROR(__xludf.DUMMYFUNCTION("""COMPUTED_VALUE"""),"Malleshwaram")</f>
        <v>Malleshwaram</v>
      </c>
      <c r="I936" s="1"/>
      <c r="J936" s="1" t="str">
        <f ca="1">IFERROR(__xludf.DUMMYFUNCTION("""COMPUTED_VALUE"""),"0d 00h 00m")</f>
        <v>0d 00h 00m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>
      <c r="A937" s="1">
        <f ca="1">IFERROR(__xludf.DUMMYFUNCTION("""COMPUTED_VALUE"""),163)</f>
        <v>163</v>
      </c>
      <c r="B937" s="1" t="str">
        <f ca="1">IFERROR(__xludf.DUMMYFUNCTION("""COMPUTED_VALUE"""),"NE2_KA04C5137_Jetting")</f>
        <v>NE2_KA04C5137_Jetting</v>
      </c>
      <c r="C937" s="1" t="str">
        <f ca="1">IFERROR(__xludf.DUMMYFUNCTION("""COMPUTED_VALUE"""),"ne2_ka04c5137_jetting")</f>
        <v>ne2_ka04c5137_jetting</v>
      </c>
      <c r="D937" s="2">
        <f ca="1">IFERROR(__xludf.DUMMYFUNCTION("""COMPUTED_VALUE"""),44860)</f>
        <v>44860</v>
      </c>
      <c r="E937" s="3">
        <f ca="1">IFERROR(__xludf.DUMMYFUNCTION("""COMPUTED_VALUE"""),0.998993055556638)</f>
        <v>0.99899305555663798</v>
      </c>
      <c r="F937" s="1">
        <f ca="1">IFERROR(__xludf.DUMMYFUNCTION("""COMPUTED_VALUE"""),34377)</f>
        <v>34377</v>
      </c>
      <c r="G937" s="1" t="str">
        <f ca="1">IFERROR(__xludf.DUMMYFUNCTION("""COMPUTED_VALUE"""),"13.0104/77.5668")</f>
        <v>13.0104/77.5668</v>
      </c>
      <c r="H937" s="1" t="str">
        <f ca="1">IFERROR(__xludf.DUMMYFUNCTION("""COMPUTED_VALUE"""),"Malleshwaram")</f>
        <v>Malleshwaram</v>
      </c>
      <c r="I937" s="1"/>
      <c r="J937" s="1" t="str">
        <f ca="1">IFERROR(__xludf.DUMMYFUNCTION("""COMPUTED_VALUE"""),"0d 00h 00m")</f>
        <v>0d 00h 00m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>
      <c r="A938" s="1">
        <f ca="1">IFERROR(__xludf.DUMMYFUNCTION("""COMPUTED_VALUE"""),150)</f>
        <v>150</v>
      </c>
      <c r="B938" s="1" t="str">
        <f ca="1">IFERROR(__xludf.DUMMYFUNCTION("""COMPUTED_VALUE"""),"NE2_KA04C5137_JETTING")</f>
        <v>NE2_KA04C5137_JETTING</v>
      </c>
      <c r="C938" s="1" t="str">
        <f ca="1">IFERROR(__xludf.DUMMYFUNCTION("""COMPUTED_VALUE"""),"ne2_ka04c5137_jetting")</f>
        <v>ne2_ka04c5137_jetting</v>
      </c>
      <c r="D938" s="2">
        <f ca="1">IFERROR(__xludf.DUMMYFUNCTION("""COMPUTED_VALUE"""),44769)</f>
        <v>44769</v>
      </c>
      <c r="E938" s="3">
        <f ca="1">IFERROR(__xludf.DUMMYFUNCTION("""COMPUTED_VALUE"""),0.999039351852843)</f>
        <v>0.99903935185284298</v>
      </c>
      <c r="F938" s="1">
        <f ca="1">IFERROR(__xludf.DUMMYFUNCTION("""COMPUTED_VALUE"""),33086)</f>
        <v>33086</v>
      </c>
      <c r="G938" s="1" t="str">
        <f ca="1">IFERROR(__xludf.DUMMYFUNCTION("""COMPUTED_VALUE"""),"12.9973/77.5995")</f>
        <v>12.9973/77.5995</v>
      </c>
      <c r="H938" s="1" t="str">
        <f ca="1">IFERROR(__xludf.DUMMYFUNCTION("""COMPUTED_VALUE"""),"Jayamahal Palace")</f>
        <v>Jayamahal Palace</v>
      </c>
      <c r="I938" s="1"/>
      <c r="J938" s="1" t="str">
        <f ca="1">IFERROR(__xludf.DUMMYFUNCTION("""COMPUTED_VALUE"""),"0d 00h 00m")</f>
        <v>0d 00h 00m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>
      <c r="A939" s="1">
        <f ca="1">IFERROR(__xludf.DUMMYFUNCTION("""COMPUTED_VALUE"""),148)</f>
        <v>148</v>
      </c>
      <c r="B939" s="1" t="str">
        <f ca="1">IFERROR(__xludf.DUMMYFUNCTION("""COMPUTED_VALUE"""),"NE2_KA04C5137_JETTING")</f>
        <v>NE2_KA04C5137_JETTING</v>
      </c>
      <c r="C939" s="1" t="str">
        <f ca="1">IFERROR(__xludf.DUMMYFUNCTION("""COMPUTED_VALUE"""),"ne2_ka04c5137_jetting")</f>
        <v>ne2_ka04c5137_jetting</v>
      </c>
      <c r="D939" s="2">
        <f ca="1">IFERROR(__xludf.DUMMYFUNCTION("""COMPUTED_VALUE"""),44860)</f>
        <v>44860</v>
      </c>
      <c r="E939" s="3">
        <f ca="1">IFERROR(__xludf.DUMMYFUNCTION("""COMPUTED_VALUE"""),0.998993055556638)</f>
        <v>0.99899305555663798</v>
      </c>
      <c r="F939" s="1">
        <f ca="1">IFERROR(__xludf.DUMMYFUNCTION("""COMPUTED_VALUE"""),34377)</f>
        <v>34377</v>
      </c>
      <c r="G939" s="1" t="str">
        <f ca="1">IFERROR(__xludf.DUMMYFUNCTION("""COMPUTED_VALUE"""),"13.0104/77.5668")</f>
        <v>13.0104/77.5668</v>
      </c>
      <c r="H939" s="1" t="str">
        <f ca="1">IFERROR(__xludf.DUMMYFUNCTION("""COMPUTED_VALUE"""),"Malleshwaram")</f>
        <v>Malleshwaram</v>
      </c>
      <c r="I939" s="1"/>
      <c r="J939" s="1" t="str">
        <f ca="1">IFERROR(__xludf.DUMMYFUNCTION("""COMPUTED_VALUE"""),"0d 00h 00m")</f>
        <v>0d 00h 00m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>
      <c r="A940" s="1">
        <f ca="1">IFERROR(__xludf.DUMMYFUNCTION("""COMPUTED_VALUE"""),142)</f>
        <v>142</v>
      </c>
      <c r="B940" s="1" t="str">
        <f ca="1">IFERROR(__xludf.DUMMYFUNCTION("""COMPUTED_VALUE"""),"NE2_KA04C5137_JETTING")</f>
        <v>NE2_KA04C5137_JETTING</v>
      </c>
      <c r="C940" s="1" t="str">
        <f ca="1">IFERROR(__xludf.DUMMYFUNCTION("""COMPUTED_VALUE"""),"ne2_ka04c5137_jetting")</f>
        <v>ne2_ka04c5137_jetting</v>
      </c>
      <c r="D940" s="2">
        <f ca="1">IFERROR(__xludf.DUMMYFUNCTION("""COMPUTED_VALUE"""),44952)</f>
        <v>44952</v>
      </c>
      <c r="E940" s="3">
        <f ca="1">IFERROR(__xludf.DUMMYFUNCTION("""COMPUTED_VALUE"""),0.613136574072996)</f>
        <v>0.61313657407299604</v>
      </c>
      <c r="F940" s="1">
        <f ca="1">IFERROR(__xludf.DUMMYFUNCTION("""COMPUTED_VALUE"""),36112)</f>
        <v>36112</v>
      </c>
      <c r="G940" s="1" t="str">
        <f ca="1">IFERROR(__xludf.DUMMYFUNCTION("""COMPUTED_VALUE"""),"13.0103/77.5668")</f>
        <v>13.0103/77.5668</v>
      </c>
      <c r="H940" s="1" t="str">
        <f ca="1">IFERROR(__xludf.DUMMYFUNCTION("""COMPUTED_VALUE"""),"Malleshwaram")</f>
        <v>Malleshwaram</v>
      </c>
      <c r="I940" s="1"/>
      <c r="J940" s="1" t="str">
        <f ca="1">IFERROR(__xludf.DUMMYFUNCTION("""COMPUTED_VALUE"""),"0d 00h 00m")</f>
        <v>0d 00h 00m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>
      <c r="A941" s="1">
        <f ca="1">IFERROR(__xludf.DUMMYFUNCTION("""COMPUTED_VALUE"""),153)</f>
        <v>153</v>
      </c>
      <c r="B941" s="1" t="str">
        <f ca="1">IFERROR(__xludf.DUMMYFUNCTION("""COMPUTED_VALUE"""),"NE2_KA04C5137_JETTING")</f>
        <v>NE2_KA04C5137_JETTING</v>
      </c>
      <c r="C941" s="1" t="str">
        <f ca="1">IFERROR(__xludf.DUMMYFUNCTION("""COMPUTED_VALUE"""),"ne2_ka04c5137_jetting")</f>
        <v>ne2_ka04c5137_jetting</v>
      </c>
      <c r="D941" s="2">
        <f ca="1">IFERROR(__xludf.DUMMYFUNCTION("""COMPUTED_VALUE"""),45042)</f>
        <v>45042</v>
      </c>
      <c r="E941" s="3">
        <f ca="1">IFERROR(__xludf.DUMMYFUNCTION("""COMPUTED_VALUE"""),0.998831018518103)</f>
        <v>0.99883101851810296</v>
      </c>
      <c r="F941" s="1">
        <f ca="1">IFERROR(__xludf.DUMMYFUNCTION("""COMPUTED_VALUE"""),38698)</f>
        <v>38698</v>
      </c>
      <c r="G941" s="1" t="str">
        <f ca="1">IFERROR(__xludf.DUMMYFUNCTION("""COMPUTED_VALUE"""),"13.0104/77.5667")</f>
        <v>13.0104/77.5667</v>
      </c>
      <c r="H941" s="1" t="str">
        <f ca="1">IFERROR(__xludf.DUMMYFUNCTION("""COMPUTED_VALUE"""),"Malleshwaram")</f>
        <v>Malleshwaram</v>
      </c>
      <c r="I941" s="1"/>
      <c r="J941" s="1" t="str">
        <f ca="1">IFERROR(__xludf.DUMMYFUNCTION("""COMPUTED_VALUE"""),"0d 00h 00m")</f>
        <v>0d 00h 00m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>
      <c r="A942" s="1">
        <f ca="1">IFERROR(__xludf.DUMMYFUNCTION("""COMPUTED_VALUE"""),165)</f>
        <v>165</v>
      </c>
      <c r="B942" s="1" t="str">
        <f ca="1">IFERROR(__xludf.DUMMYFUNCTION("""COMPUTED_VALUE"""),"NE2_KA04C5137_JETTING")</f>
        <v>NE2_KA04C5137_JETTING</v>
      </c>
      <c r="C942" s="1" t="str">
        <f ca="1">IFERROR(__xludf.DUMMYFUNCTION("""COMPUTED_VALUE"""),"ne2_ka04c5137_jetting")</f>
        <v>ne2_ka04c5137_jetting</v>
      </c>
      <c r="D942" s="2">
        <f ca="1">IFERROR(__xludf.DUMMYFUNCTION("""COMPUTED_VALUE"""),45134)</f>
        <v>45134</v>
      </c>
      <c r="E942" s="3">
        <f ca="1">IFERROR(__xludf.DUMMYFUNCTION("""COMPUTED_VALUE"""),0.999224537037662)</f>
        <v>0.99922453703766201</v>
      </c>
      <c r="F942" s="1">
        <f ca="1">IFERROR(__xludf.DUMMYFUNCTION("""COMPUTED_VALUE"""),41004)</f>
        <v>41004</v>
      </c>
      <c r="G942" s="1" t="str">
        <f ca="1">IFERROR(__xludf.DUMMYFUNCTION("""COMPUTED_VALUE"""),"13.0104/77.5668")</f>
        <v>13.0104/77.5668</v>
      </c>
      <c r="H942" s="1" t="str">
        <f ca="1">IFERROR(__xludf.DUMMYFUNCTION("""COMPUTED_VALUE"""),"Malleshwaram")</f>
        <v>Malleshwaram</v>
      </c>
      <c r="I942" s="1"/>
      <c r="J942" s="1" t="str">
        <f ca="1">IFERROR(__xludf.DUMMYFUNCTION("""COMPUTED_VALUE"""),"0d 00h 00m")</f>
        <v>0d 00h 00m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>
      <c r="A943" s="1">
        <f ca="1">IFERROR(__xludf.DUMMYFUNCTION("""COMPUTED_VALUE"""),166)</f>
        <v>166</v>
      </c>
      <c r="B943" s="1" t="str">
        <f ca="1">IFERROR(__xludf.DUMMYFUNCTION("""COMPUTED_VALUE"""),"NE2_KA04C5137_JETTING")</f>
        <v>NE2_KA04C5137_JETTING</v>
      </c>
      <c r="C943" s="1" t="str">
        <f ca="1">IFERROR(__xludf.DUMMYFUNCTION("""COMPUTED_VALUE"""),"ne2_ka04c5137_jetting")</f>
        <v>ne2_ka04c5137_jetting</v>
      </c>
      <c r="D943" s="2">
        <f ca="1">IFERROR(__xludf.DUMMYFUNCTION("""COMPUTED_VALUE"""),45226)</f>
        <v>45226</v>
      </c>
      <c r="E943" s="3">
        <f ca="1">IFERROR(__xludf.DUMMYFUNCTION("""COMPUTED_VALUE"""),0.999143518518394)</f>
        <v>0.999143518518394</v>
      </c>
      <c r="F943" s="1">
        <f ca="1">IFERROR(__xludf.DUMMYFUNCTION("""COMPUTED_VALUE"""),42991)</f>
        <v>42991</v>
      </c>
      <c r="G943" s="1" t="str">
        <f ca="1">IFERROR(__xludf.DUMMYFUNCTION("""COMPUTED_VALUE"""),"13.0105/77.5665")</f>
        <v>13.0105/77.5665</v>
      </c>
      <c r="H943" s="1" t="str">
        <f ca="1">IFERROR(__xludf.DUMMYFUNCTION("""COMPUTED_VALUE"""),"Malleshwaram")</f>
        <v>Malleshwaram</v>
      </c>
      <c r="I943" s="1"/>
      <c r="J943" s="1" t="str">
        <f ca="1">IFERROR(__xludf.DUMMYFUNCTION("""COMPUTED_VALUE"""),"0d 00h 00m")</f>
        <v>0d 00h 00m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>
      <c r="A944" s="1">
        <f ca="1">IFERROR(__xludf.DUMMYFUNCTION("""COMPUTED_VALUE"""),166)</f>
        <v>166</v>
      </c>
      <c r="B944" s="1" t="str">
        <f ca="1">IFERROR(__xludf.DUMMYFUNCTION("""COMPUTED_VALUE"""),"NE2_KA04C5137_JETTING")</f>
        <v>NE2_KA04C5137_JETTING</v>
      </c>
      <c r="C944" s="1" t="str">
        <f ca="1">IFERROR(__xludf.DUMMYFUNCTION("""COMPUTED_VALUE"""),"ne2_ka04c5137_jetting")</f>
        <v>ne2_ka04c5137_jetting</v>
      </c>
      <c r="D944" s="2">
        <f ca="1">IFERROR(__xludf.DUMMYFUNCTION("""COMPUTED_VALUE"""),45315)</f>
        <v>45315</v>
      </c>
      <c r="E944" s="3">
        <f ca="1">IFERROR(__xludf.DUMMYFUNCTION("""COMPUTED_VALUE"""),0.786990740740293)</f>
        <v>0.78699074074029296</v>
      </c>
      <c r="F944" s="1">
        <f ca="1">IFERROR(__xludf.DUMMYFUNCTION("""COMPUTED_VALUE"""),45066)</f>
        <v>45066</v>
      </c>
      <c r="G944" s="1" t="str">
        <f ca="1">IFERROR(__xludf.DUMMYFUNCTION("""COMPUTED_VALUE"""),"13.0105/77.5667")</f>
        <v>13.0105/77.5667</v>
      </c>
      <c r="H944" s="1" t="str">
        <f ca="1">IFERROR(__xludf.DUMMYFUNCTION("""COMPUTED_VALUE"""),"Malleshwaram")</f>
        <v>Malleshwaram</v>
      </c>
      <c r="I944" s="1"/>
      <c r="J944" s="1" t="str">
        <f ca="1">IFERROR(__xludf.DUMMYFUNCTION("""COMPUTED_VALUE"""),"0d 00h 00m")</f>
        <v>0d 00h 00m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>
      <c r="A945" s="1">
        <f ca="1">IFERROR(__xludf.DUMMYFUNCTION("""COMPUTED_VALUE"""),210)</f>
        <v>210</v>
      </c>
      <c r="B945" s="1" t="str">
        <f ca="1">IFERROR(__xludf.DUMMYFUNCTION("""COMPUTED_VALUE"""),"NE2_KA04D4272_Jetting")</f>
        <v>NE2_KA04D4272_Jetting</v>
      </c>
      <c r="C945" s="1" t="str">
        <f ca="1">IFERROR(__xludf.DUMMYFUNCTION("""COMPUTED_VALUE"""),"ne2_ka04d4272_jetting")</f>
        <v>ne2_ka04d4272_jetting</v>
      </c>
      <c r="D945" s="2">
        <f ca="1">IFERROR(__xludf.DUMMYFUNCTION("""COMPUTED_VALUE"""),44707)</f>
        <v>44707</v>
      </c>
      <c r="E945" s="3">
        <f ca="1">IFERROR(__xludf.DUMMYFUNCTION("""COMPUTED_VALUE"""),0.999236111110803)</f>
        <v>0.99923611111080302</v>
      </c>
      <c r="F945" s="1">
        <f ca="1">IFERROR(__xludf.DUMMYFUNCTION("""COMPUTED_VALUE"""),17988)</f>
        <v>17988</v>
      </c>
      <c r="G945" s="1" t="str">
        <f ca="1">IFERROR(__xludf.DUMMYFUNCTION("""COMPUTED_VALUE"""),"12.9903/77.5781")</f>
        <v>12.9903/77.5781</v>
      </c>
      <c r="H945" s="1" t="str">
        <f ca="1">IFERROR(__xludf.DUMMYFUNCTION("""COMPUTED_VALUE"""),"Seshadripuram")</f>
        <v>Seshadripuram</v>
      </c>
      <c r="I945" s="1"/>
      <c r="J945" s="1" t="str">
        <f ca="1">IFERROR(__xludf.DUMMYFUNCTION("""COMPUTED_VALUE"""),"0d 21h 05m")</f>
        <v>0d 21h 05m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>
      <c r="A946" s="1">
        <f ca="1">IFERROR(__xludf.DUMMYFUNCTION("""COMPUTED_VALUE"""),122)</f>
        <v>122</v>
      </c>
      <c r="B946" s="1" t="str">
        <f ca="1">IFERROR(__xludf.DUMMYFUNCTION("""COMPUTED_VALUE"""),"NE2_KA04D4272_Jetting")</f>
        <v>NE2_KA04D4272_Jetting</v>
      </c>
      <c r="C946" s="1" t="str">
        <f ca="1">IFERROR(__xludf.DUMMYFUNCTION("""COMPUTED_VALUE"""),"ne2_ka04d4272_jetting")</f>
        <v>ne2_ka04d4272_jetting</v>
      </c>
      <c r="D946" s="2">
        <f ca="1">IFERROR(__xludf.DUMMYFUNCTION("""COMPUTED_VALUE"""),44737)</f>
        <v>44737</v>
      </c>
      <c r="E946" s="3">
        <f ca="1">IFERROR(__xludf.DUMMYFUNCTION("""COMPUTED_VALUE"""),0.507951388888614)</f>
        <v>0.50795138888861402</v>
      </c>
      <c r="F946" s="1">
        <f ca="1">IFERROR(__xludf.DUMMYFUNCTION("""COMPUTED_VALUE"""),18156)</f>
        <v>18156</v>
      </c>
      <c r="G946" s="1" t="str">
        <f ca="1">IFERROR(__xludf.DUMMYFUNCTION("""COMPUTED_VALUE"""),"12.9950/77.5764")</f>
        <v>12.9950/77.5764</v>
      </c>
      <c r="H946" s="1" t="str">
        <f ca="1">IFERROR(__xludf.DUMMYFUNCTION("""COMPUTED_VALUE"""),"Hotel Magaji Orchids")</f>
        <v>Hotel Magaji Orchids</v>
      </c>
      <c r="I946" s="1"/>
      <c r="J946" s="1" t="str">
        <f ca="1">IFERROR(__xludf.DUMMYFUNCTION("""COMPUTED_VALUE"""),"0d 21h 06m")</f>
        <v>0d 21h 06m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>
      <c r="A947" s="1">
        <f ca="1">IFERROR(__xludf.DUMMYFUNCTION("""COMPUTED_VALUE"""),193)</f>
        <v>193</v>
      </c>
      <c r="B947" s="1" t="str">
        <f ca="1">IFERROR(__xludf.DUMMYFUNCTION("""COMPUTED_VALUE"""),"NE2_KA04D4272_Jetting")</f>
        <v>NE2_KA04D4272_Jetting</v>
      </c>
      <c r="C947" s="1" t="str">
        <f ca="1">IFERROR(__xludf.DUMMYFUNCTION("""COMPUTED_VALUE"""),"ne2_ka04d4272_jetting")</f>
        <v>ne2_ka04d4272_jetting</v>
      </c>
      <c r="D947" s="2">
        <f ca="1">IFERROR(__xludf.DUMMYFUNCTION("""COMPUTED_VALUE"""),44768)</f>
        <v>44768</v>
      </c>
      <c r="E947" s="3">
        <f ca="1">IFERROR(__xludf.DUMMYFUNCTION("""COMPUTED_VALUE"""),0.999097222222189)</f>
        <v>0.999097222222189</v>
      </c>
      <c r="F947" s="1">
        <f ca="1">IFERROR(__xludf.DUMMYFUNCTION("""COMPUTED_VALUE"""),18339)</f>
        <v>18339</v>
      </c>
      <c r="G947" s="1" t="str">
        <f ca="1">IFERROR(__xludf.DUMMYFUNCTION("""COMPUTED_VALUE"""),"12.9902/77.5779")</f>
        <v>12.9902/77.5779</v>
      </c>
      <c r="H947" s="1" t="str">
        <f ca="1">IFERROR(__xludf.DUMMYFUNCTION("""COMPUTED_VALUE"""),"Seshadripuram")</f>
        <v>Seshadripuram</v>
      </c>
      <c r="I947" s="1"/>
      <c r="J947" s="1" t="str">
        <f ca="1">IFERROR(__xludf.DUMMYFUNCTION("""COMPUTED_VALUE"""),"0d 21h 06m")</f>
        <v>0d 21h 06m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>
      <c r="A948" s="1">
        <f ca="1">IFERROR(__xludf.DUMMYFUNCTION("""COMPUTED_VALUE"""),145)</f>
        <v>145</v>
      </c>
      <c r="B948" s="1" t="str">
        <f ca="1">IFERROR(__xludf.DUMMYFUNCTION("""COMPUTED_VALUE"""),"NE2_KA04D4272_Jetting")</f>
        <v>NE2_KA04D4272_Jetting</v>
      </c>
      <c r="C948" s="1" t="str">
        <f ca="1">IFERROR(__xludf.DUMMYFUNCTION("""COMPUTED_VALUE"""),"ne2_ka04d4272_jetting")</f>
        <v>ne2_ka04d4272_jetting</v>
      </c>
      <c r="D948" s="2">
        <f ca="1">IFERROR(__xludf.DUMMYFUNCTION("""COMPUTED_VALUE"""),44799)</f>
        <v>44799</v>
      </c>
      <c r="E948" s="3">
        <f ca="1">IFERROR(__xludf.DUMMYFUNCTION("""COMPUTED_VALUE"""),0.410277777777082)</f>
        <v>0.41027777777708202</v>
      </c>
      <c r="F948" s="1">
        <f ca="1">IFERROR(__xludf.DUMMYFUNCTION("""COMPUTED_VALUE"""),18550)</f>
        <v>18550</v>
      </c>
      <c r="G948" s="1" t="str">
        <f ca="1">IFERROR(__xludf.DUMMYFUNCTION("""COMPUTED_VALUE"""),"12.9903/77.5791")</f>
        <v>12.9903/77.5791</v>
      </c>
      <c r="H948" s="1" t="str">
        <f ca="1">IFERROR(__xludf.DUMMYFUNCTION("""COMPUTED_VALUE"""),"Ramada Bangalore")</f>
        <v>Ramada Bangalore</v>
      </c>
      <c r="I948" s="1"/>
      <c r="J948" s="1" t="str">
        <f ca="1">IFERROR(__xludf.DUMMYFUNCTION("""COMPUTED_VALUE"""),"0d 21h 07m")</f>
        <v>0d 21h 07m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>
      <c r="A949" s="1">
        <f ca="1">IFERROR(__xludf.DUMMYFUNCTION("""COMPUTED_VALUE"""),132)</f>
        <v>132</v>
      </c>
      <c r="B949" s="1" t="str">
        <f ca="1">IFERROR(__xludf.DUMMYFUNCTION("""COMPUTED_VALUE"""),"NE2_KA04D4272_Jetting")</f>
        <v>NE2_KA04D4272_Jetting</v>
      </c>
      <c r="C949" s="1" t="str">
        <f ca="1">IFERROR(__xludf.DUMMYFUNCTION("""COMPUTED_VALUE"""),"ne2_ka04d4272_jetting")</f>
        <v>ne2_ka04d4272_jetting</v>
      </c>
      <c r="D949" s="2">
        <f ca="1">IFERROR(__xludf.DUMMYFUNCTION("""COMPUTED_VALUE"""),44828)</f>
        <v>44828</v>
      </c>
      <c r="E949" s="3">
        <f ca="1">IFERROR(__xludf.DUMMYFUNCTION("""COMPUTED_VALUE"""),0.50019675925796)</f>
        <v>0.50019675925796003</v>
      </c>
      <c r="F949" s="1">
        <f ca="1">IFERROR(__xludf.DUMMYFUNCTION("""COMPUTED_VALUE"""),18684)</f>
        <v>18684</v>
      </c>
      <c r="G949" s="1" t="str">
        <f ca="1">IFERROR(__xludf.DUMMYFUNCTION("""COMPUTED_VALUE"""),"12.9975/77.5789")</f>
        <v>12.9975/77.5789</v>
      </c>
      <c r="H949" s="1" t="str">
        <f ca="1">IFERROR(__xludf.DUMMYFUNCTION("""COMPUTED_VALUE"""),"Hotel Magaji Orchids")</f>
        <v>Hotel Magaji Orchids</v>
      </c>
      <c r="I949" s="1"/>
      <c r="J949" s="1" t="str">
        <f ca="1">IFERROR(__xludf.DUMMYFUNCTION("""COMPUTED_VALUE"""),"0d 21h 08m")</f>
        <v>0d 21h 08m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>
      <c r="A950" s="1">
        <f ca="1">IFERROR(__xludf.DUMMYFUNCTION("""COMPUTED_VALUE"""),103)</f>
        <v>103</v>
      </c>
      <c r="B950" s="1" t="str">
        <f ca="1">IFERROR(__xludf.DUMMYFUNCTION("""COMPUTED_VALUE"""),"NE2_KA04D4272_Jetting")</f>
        <v>NE2_KA04D4272_Jetting</v>
      </c>
      <c r="C950" s="1" t="str">
        <f ca="1">IFERROR(__xludf.DUMMYFUNCTION("""COMPUTED_VALUE"""),"ne2_ka04d4272_jetting")</f>
        <v>ne2_ka04d4272_jetting</v>
      </c>
      <c r="D950" s="2">
        <f ca="1">IFERROR(__xludf.DUMMYFUNCTION("""COMPUTED_VALUE"""),44858)</f>
        <v>44858</v>
      </c>
      <c r="E950" s="3">
        <f ca="1">IFERROR(__xludf.DUMMYFUNCTION("""COMPUTED_VALUE"""),0.506770833333575)</f>
        <v>0.50677083333357498</v>
      </c>
      <c r="F950" s="1">
        <f ca="1">IFERROR(__xludf.DUMMYFUNCTION("""COMPUTED_VALUE"""),18742)</f>
        <v>18742</v>
      </c>
      <c r="G950" s="1" t="str">
        <f ca="1">IFERROR(__xludf.DUMMYFUNCTION("""COMPUTED_VALUE"""),"12.9976/77.5757")</f>
        <v>12.9976/77.5757</v>
      </c>
      <c r="H950" s="1" t="str">
        <f ca="1">IFERROR(__xludf.DUMMYFUNCTION("""COMPUTED_VALUE"""),"Hotel Magaji Orchids")</f>
        <v>Hotel Magaji Orchids</v>
      </c>
      <c r="I950" s="1"/>
      <c r="J950" s="1" t="str">
        <f ca="1">IFERROR(__xludf.DUMMYFUNCTION("""COMPUTED_VALUE"""),"0d 21h 09m")</f>
        <v>0d 21h 09m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>
      <c r="A951" s="1">
        <f ca="1">IFERROR(__xludf.DUMMYFUNCTION("""COMPUTED_VALUE"""),157)</f>
        <v>157</v>
      </c>
      <c r="B951" s="1" t="str">
        <f ca="1">IFERROR(__xludf.DUMMYFUNCTION("""COMPUTED_VALUE"""),"NE2_KA04D4272_JETTING")</f>
        <v>NE2_KA04D4272_JETTING</v>
      </c>
      <c r="C951" s="1" t="str">
        <f ca="1">IFERROR(__xludf.DUMMYFUNCTION("""COMPUTED_VALUE"""),"ne2_ka04d4272_jetting")</f>
        <v>ne2_ka04d4272_jetting</v>
      </c>
      <c r="D951" s="2">
        <f ca="1">IFERROR(__xludf.DUMMYFUNCTION("""COMPUTED_VALUE"""),44769)</f>
        <v>44769</v>
      </c>
      <c r="E951" s="3">
        <f ca="1">IFERROR(__xludf.DUMMYFUNCTION("""COMPUTED_VALUE"""),0.999270833333866)</f>
        <v>0.99927083333386602</v>
      </c>
      <c r="F951" s="1">
        <f ca="1">IFERROR(__xludf.DUMMYFUNCTION("""COMPUTED_VALUE"""),18351)</f>
        <v>18351</v>
      </c>
      <c r="G951" s="1" t="str">
        <f ca="1">IFERROR(__xludf.DUMMYFUNCTION("""COMPUTED_VALUE"""),"12.9903/77.5780")</f>
        <v>12.9903/77.5780</v>
      </c>
      <c r="H951" s="1" t="str">
        <f ca="1">IFERROR(__xludf.DUMMYFUNCTION("""COMPUTED_VALUE"""),"Seshadripuram")</f>
        <v>Seshadripuram</v>
      </c>
      <c r="I951" s="1"/>
      <c r="J951" s="1" t="str">
        <f ca="1">IFERROR(__xludf.DUMMYFUNCTION("""COMPUTED_VALUE"""),"0d 00h 00m")</f>
        <v>0d 00h 00m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>
      <c r="A952" s="1">
        <f ca="1">IFERROR(__xludf.DUMMYFUNCTION("""COMPUTED_VALUE"""),136)</f>
        <v>136</v>
      </c>
      <c r="B952" s="1" t="str">
        <f ca="1">IFERROR(__xludf.DUMMYFUNCTION("""COMPUTED_VALUE"""),"NE2_KA04D4272_JETTING")</f>
        <v>NE2_KA04D4272_JETTING</v>
      </c>
      <c r="C952" s="1" t="str">
        <f ca="1">IFERROR(__xludf.DUMMYFUNCTION("""COMPUTED_VALUE"""),"ne2_ka04d4272_jetting")</f>
        <v>ne2_ka04d4272_jetting</v>
      </c>
      <c r="D952" s="2">
        <f ca="1">IFERROR(__xludf.DUMMYFUNCTION("""COMPUTED_VALUE"""),44858)</f>
        <v>44858</v>
      </c>
      <c r="E952" s="3">
        <f ca="1">IFERROR(__xludf.DUMMYFUNCTION("""COMPUTED_VALUE"""),0.506770833333575)</f>
        <v>0.50677083333357498</v>
      </c>
      <c r="F952" s="1">
        <f ca="1">IFERROR(__xludf.DUMMYFUNCTION("""COMPUTED_VALUE"""),18742)</f>
        <v>18742</v>
      </c>
      <c r="G952" s="1" t="str">
        <f ca="1">IFERROR(__xludf.DUMMYFUNCTION("""COMPUTED_VALUE"""),"12.9976/77.5757")</f>
        <v>12.9976/77.5757</v>
      </c>
      <c r="H952" s="1" t="str">
        <f ca="1">IFERROR(__xludf.DUMMYFUNCTION("""COMPUTED_VALUE"""),"Hotel Magaji Orchids")</f>
        <v>Hotel Magaji Orchids</v>
      </c>
      <c r="I952" s="1"/>
      <c r="J952" s="1" t="str">
        <f ca="1">IFERROR(__xludf.DUMMYFUNCTION("""COMPUTED_VALUE"""),"0d 00h 00m")</f>
        <v>0d 00h 00m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>
      <c r="A953" s="1">
        <f ca="1">IFERROR(__xludf.DUMMYFUNCTION("""COMPUTED_VALUE"""),140)</f>
        <v>140</v>
      </c>
      <c r="B953" s="1" t="str">
        <f ca="1">IFERROR(__xludf.DUMMYFUNCTION("""COMPUTED_VALUE"""),"NE2_KA04D4272_JETTING")</f>
        <v>NE2_KA04D4272_JETTING</v>
      </c>
      <c r="C953" s="1" t="str">
        <f ca="1">IFERROR(__xludf.DUMMYFUNCTION("""COMPUTED_VALUE"""),"ne2_ka04d4272_jetting")</f>
        <v>ne2_ka04d4272_jetting</v>
      </c>
      <c r="D953" s="2">
        <f ca="1">IFERROR(__xludf.DUMMYFUNCTION("""COMPUTED_VALUE"""),44951)</f>
        <v>44951</v>
      </c>
      <c r="E953" s="3">
        <f ca="1">IFERROR(__xludf.DUMMYFUNCTION("""COMPUTED_VALUE"""),0.548981481482769)</f>
        <v>0.54898148148276904</v>
      </c>
      <c r="F953" s="1">
        <f ca="1">IFERROR(__xludf.DUMMYFUNCTION("""COMPUTED_VALUE"""),19087)</f>
        <v>19087</v>
      </c>
      <c r="G953" s="1" t="str">
        <f ca="1">IFERROR(__xludf.DUMMYFUNCTION("""COMPUTED_VALUE"""),"12.9971/77.5812")</f>
        <v>12.9971/77.5812</v>
      </c>
      <c r="H953" s="1" t="str">
        <f ca="1">IFERROR(__xludf.DUMMYFUNCTION("""COMPUTED_VALUE"""),"Kumara Park")</f>
        <v>Kumara Park</v>
      </c>
      <c r="I953" s="1"/>
      <c r="J953" s="1" t="str">
        <f ca="1">IFERROR(__xludf.DUMMYFUNCTION("""COMPUTED_VALUE"""),"0d 00h 00m")</f>
        <v>0d 00h 00m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>
      <c r="A954" s="1">
        <f ca="1">IFERROR(__xludf.DUMMYFUNCTION("""COMPUTED_VALUE"""),144)</f>
        <v>144</v>
      </c>
      <c r="B954" s="1" t="str">
        <f ca="1">IFERROR(__xludf.DUMMYFUNCTION("""COMPUTED_VALUE"""),"NE2_KA04D4272_JETTING")</f>
        <v>NE2_KA04D4272_JETTING</v>
      </c>
      <c r="C954" s="1" t="str">
        <f ca="1">IFERROR(__xludf.DUMMYFUNCTION("""COMPUTED_VALUE"""),"ne2_ka04d4272_jetting")</f>
        <v>ne2_ka04d4272_jetting</v>
      </c>
      <c r="D954" s="2">
        <f ca="1">IFERROR(__xludf.DUMMYFUNCTION("""COMPUTED_VALUE"""),45034)</f>
        <v>45034</v>
      </c>
      <c r="E954" s="3">
        <f ca="1">IFERROR(__xludf.DUMMYFUNCTION("""COMPUTED_VALUE"""),0.50410879629635)</f>
        <v>0.50410879629634997</v>
      </c>
      <c r="F954" s="1">
        <f ca="1">IFERROR(__xludf.DUMMYFUNCTION("""COMPUTED_VALUE"""),19403)</f>
        <v>19403</v>
      </c>
      <c r="G954" s="1" t="str">
        <f ca="1">IFERROR(__xludf.DUMMYFUNCTION("""COMPUTED_VALUE"""),"12.9938/77.5740")</f>
        <v>12.9938/77.5740</v>
      </c>
      <c r="H954" s="1" t="str">
        <f ca="1">IFERROR(__xludf.DUMMYFUNCTION("""COMPUTED_VALUE"""),"Malleshwaram Circle")</f>
        <v>Malleshwaram Circle</v>
      </c>
      <c r="I954" s="1"/>
      <c r="J954" s="1" t="str">
        <f ca="1">IFERROR(__xludf.DUMMYFUNCTION("""COMPUTED_VALUE"""),"0d 00h 00m")</f>
        <v>0d 00h 00m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>
      <c r="A955" s="1">
        <f ca="1">IFERROR(__xludf.DUMMYFUNCTION("""COMPUTED_VALUE"""),161)</f>
        <v>161</v>
      </c>
      <c r="B955" s="1" t="str">
        <f ca="1">IFERROR(__xludf.DUMMYFUNCTION("""COMPUTED_VALUE"""),"NE2_KA04D4272_JETTING")</f>
        <v>NE2_KA04D4272_JETTING</v>
      </c>
      <c r="C955" s="1" t="str">
        <f ca="1">IFERROR(__xludf.DUMMYFUNCTION("""COMPUTED_VALUE"""),"ne2_ka04d4272_jetting")</f>
        <v>ne2_ka04d4272_jetting</v>
      </c>
      <c r="D955" s="2">
        <f ca="1">IFERROR(__xludf.DUMMYFUNCTION("""COMPUTED_VALUE"""),45134)</f>
        <v>45134</v>
      </c>
      <c r="E955" s="3">
        <f ca="1">IFERROR(__xludf.DUMMYFUNCTION("""COMPUTED_VALUE"""),0.999189814814599)</f>
        <v>0.99918981481459901</v>
      </c>
      <c r="F955" s="1">
        <f ca="1">IFERROR(__xludf.DUMMYFUNCTION("""COMPUTED_VALUE"""),19667)</f>
        <v>19667</v>
      </c>
      <c r="G955" s="1" t="str">
        <f ca="1">IFERROR(__xludf.DUMMYFUNCTION("""COMPUTED_VALUE"""),"12.9903/77.5781")</f>
        <v>12.9903/77.5781</v>
      </c>
      <c r="H955" s="1" t="str">
        <f ca="1">IFERROR(__xludf.DUMMYFUNCTION("""COMPUTED_VALUE"""),"Seshadripuram")</f>
        <v>Seshadripuram</v>
      </c>
      <c r="I955" s="1"/>
      <c r="J955" s="1" t="str">
        <f ca="1">IFERROR(__xludf.DUMMYFUNCTION("""COMPUTED_VALUE"""),"0d 00h 00m")</f>
        <v>0d 00h 00m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>
      <c r="A956" s="1">
        <f ca="1">IFERROR(__xludf.DUMMYFUNCTION("""COMPUTED_VALUE"""),160)</f>
        <v>160</v>
      </c>
      <c r="B956" s="1" t="str">
        <f ca="1">IFERROR(__xludf.DUMMYFUNCTION("""COMPUTED_VALUE"""),"NE2_KA04D4272_JETTING")</f>
        <v>NE2_KA04D4272_JETTING</v>
      </c>
      <c r="C956" s="1" t="str">
        <f ca="1">IFERROR(__xludf.DUMMYFUNCTION("""COMPUTED_VALUE"""),"ne2_ka04d4272_jetting")</f>
        <v>ne2_ka04d4272_jetting</v>
      </c>
      <c r="D956" s="2">
        <f ca="1">IFERROR(__xludf.DUMMYFUNCTION("""COMPUTED_VALUE"""),45226)</f>
        <v>45226</v>
      </c>
      <c r="E956" s="3">
        <f ca="1">IFERROR(__xludf.DUMMYFUNCTION("""COMPUTED_VALUE"""),0.998981481479859)</f>
        <v>0.99898148147985899</v>
      </c>
      <c r="F956" s="1">
        <f ca="1">IFERROR(__xludf.DUMMYFUNCTION("""COMPUTED_VALUE"""),20515)</f>
        <v>20515</v>
      </c>
      <c r="G956" s="1" t="str">
        <f ca="1">IFERROR(__xludf.DUMMYFUNCTION("""COMPUTED_VALUE"""),"12.9903/77.5781")</f>
        <v>12.9903/77.5781</v>
      </c>
      <c r="H956" s="1" t="str">
        <f ca="1">IFERROR(__xludf.DUMMYFUNCTION("""COMPUTED_VALUE"""),"Seshadripuram")</f>
        <v>Seshadripuram</v>
      </c>
      <c r="I956" s="1"/>
      <c r="J956" s="1" t="str">
        <f ca="1">IFERROR(__xludf.DUMMYFUNCTION("""COMPUTED_VALUE"""),"0d 00h 00m")</f>
        <v>0d 00h 00m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>
      <c r="A957" s="1">
        <f ca="1">IFERROR(__xludf.DUMMYFUNCTION("""COMPUTED_VALUE"""),168)</f>
        <v>168</v>
      </c>
      <c r="B957" s="1" t="str">
        <f ca="1">IFERROR(__xludf.DUMMYFUNCTION("""COMPUTED_VALUE"""),"NE2_KA04D4272_JETTING")</f>
        <v>NE2_KA04D4272_JETTING</v>
      </c>
      <c r="C957" s="1" t="str">
        <f ca="1">IFERROR(__xludf.DUMMYFUNCTION("""COMPUTED_VALUE"""),"ne2_ka04d4272_jetting")</f>
        <v>ne2_ka04d4272_jetting</v>
      </c>
      <c r="D957" s="2">
        <f ca="1">IFERROR(__xludf.DUMMYFUNCTION("""COMPUTED_VALUE"""),45315)</f>
        <v>45315</v>
      </c>
      <c r="E957" s="3">
        <f ca="1">IFERROR(__xludf.DUMMYFUNCTION("""COMPUTED_VALUE"""),0.787013888890214)</f>
        <v>0.78701388889021395</v>
      </c>
      <c r="F957" s="1">
        <f ca="1">IFERROR(__xludf.DUMMYFUNCTION("""COMPUTED_VALUE"""),21646)</f>
        <v>21646</v>
      </c>
      <c r="G957" s="1" t="str">
        <f ca="1">IFERROR(__xludf.DUMMYFUNCTION("""COMPUTED_VALUE"""),"12.9903/77.5780")</f>
        <v>12.9903/77.5780</v>
      </c>
      <c r="H957" s="1" t="str">
        <f ca="1">IFERROR(__xludf.DUMMYFUNCTION("""COMPUTED_VALUE"""),"Seshadripuram")</f>
        <v>Seshadripuram</v>
      </c>
      <c r="I957" s="1"/>
      <c r="J957" s="1" t="str">
        <f ca="1">IFERROR(__xludf.DUMMYFUNCTION("""COMPUTED_VALUE"""),"0d 00h 00m")</f>
        <v>0d 00h 00m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>
      <c r="A958" s="1">
        <f ca="1">IFERROR(__xludf.DUMMYFUNCTION("""COMPUTED_VALUE"""),15)</f>
        <v>15</v>
      </c>
      <c r="B958" s="1" t="str">
        <f ca="1">IFERROR(__xludf.DUMMYFUNCTION("""COMPUTED_VALUE"""),"NE2_KA04D5294_TANKER")</f>
        <v>NE2_KA04D5294_TANKER</v>
      </c>
      <c r="C958" s="1" t="str">
        <f ca="1">IFERROR(__xludf.DUMMYFUNCTION("""COMPUTED_VALUE"""),"ne2_ka04d5294_tanker")</f>
        <v>ne2_ka04d5294_tanker</v>
      </c>
      <c r="D958" s="2">
        <f ca="1">IFERROR(__xludf.DUMMYFUNCTION("""COMPUTED_VALUE"""),41640)</f>
        <v>41640</v>
      </c>
      <c r="E958" s="3">
        <f ca="1">IFERROR(__xludf.DUMMYFUNCTION("""COMPUTED_VALUE"""),0.229571759260579)</f>
        <v>0.22957175926057899</v>
      </c>
      <c r="F958" s="1">
        <f ca="1">IFERROR(__xludf.DUMMYFUNCTION("""COMPUTED_VALUE"""),10823)</f>
        <v>10823</v>
      </c>
      <c r="G958" s="1"/>
      <c r="H958" s="1"/>
      <c r="I958" s="1"/>
      <c r="J958" s="1" t="str">
        <f ca="1">IFERROR(__xludf.DUMMYFUNCTION("""COMPUTED_VALUE"""),"0d 00h 00m")</f>
        <v>0d 00h 00m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>
      <c r="A959" s="1">
        <f ca="1">IFERROR(__xludf.DUMMYFUNCTION("""COMPUTED_VALUE"""),15)</f>
        <v>15</v>
      </c>
      <c r="B959" s="1" t="str">
        <f ca="1">IFERROR(__xludf.DUMMYFUNCTION("""COMPUTED_VALUE"""),"NE2_KA04D5294_TANKER")</f>
        <v>NE2_KA04D5294_TANKER</v>
      </c>
      <c r="C959" s="1" t="str">
        <f ca="1">IFERROR(__xludf.DUMMYFUNCTION("""COMPUTED_VALUE"""),"ne2_ka04d5294_tanker")</f>
        <v>ne2_ka04d5294_tanker</v>
      </c>
      <c r="D959" s="2">
        <f ca="1">IFERROR(__xludf.DUMMYFUNCTION("""COMPUTED_VALUE"""),41640)</f>
        <v>41640</v>
      </c>
      <c r="E959" s="3">
        <f ca="1">IFERROR(__xludf.DUMMYFUNCTION("""COMPUTED_VALUE"""),0.229571759260579)</f>
        <v>0.22957175926057899</v>
      </c>
      <c r="F959" s="1">
        <f ca="1">IFERROR(__xludf.DUMMYFUNCTION("""COMPUTED_VALUE"""),10823)</f>
        <v>10823</v>
      </c>
      <c r="G959" s="1"/>
      <c r="H959" s="1"/>
      <c r="I959" s="1"/>
      <c r="J959" s="1" t="str">
        <f ca="1">IFERROR(__xludf.DUMMYFUNCTION("""COMPUTED_VALUE"""),"0d 00h 00m")</f>
        <v>0d 00h 00m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>
      <c r="A960" s="1">
        <f ca="1">IFERROR(__xludf.DUMMYFUNCTION("""COMPUTED_VALUE"""),15)</f>
        <v>15</v>
      </c>
      <c r="B960" s="1" t="str">
        <f ca="1">IFERROR(__xludf.DUMMYFUNCTION("""COMPUTED_VALUE"""),"NE2_KA04D5294_TANKER")</f>
        <v>NE2_KA04D5294_TANKER</v>
      </c>
      <c r="C960" s="1" t="str">
        <f ca="1">IFERROR(__xludf.DUMMYFUNCTION("""COMPUTED_VALUE"""),"ne2_ka04d5294_tanker")</f>
        <v>ne2_ka04d5294_tanker</v>
      </c>
      <c r="D960" s="2">
        <f ca="1">IFERROR(__xludf.DUMMYFUNCTION("""COMPUTED_VALUE"""),41640)</f>
        <v>41640</v>
      </c>
      <c r="E960" s="3">
        <f ca="1">IFERROR(__xludf.DUMMYFUNCTION("""COMPUTED_VALUE"""),0.229571759260579)</f>
        <v>0.22957175926057899</v>
      </c>
      <c r="F960" s="1">
        <f ca="1">IFERROR(__xludf.DUMMYFUNCTION("""COMPUTED_VALUE"""),10823)</f>
        <v>10823</v>
      </c>
      <c r="G960" s="1"/>
      <c r="H960" s="1"/>
      <c r="I960" s="1"/>
      <c r="J960" s="1" t="str">
        <f ca="1">IFERROR(__xludf.DUMMYFUNCTION("""COMPUTED_VALUE"""),"0d 00h 00m")</f>
        <v>0d 00h 00m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>
      <c r="A961" s="1">
        <f ca="1">IFERROR(__xludf.DUMMYFUNCTION("""COMPUTED_VALUE"""),15)</f>
        <v>15</v>
      </c>
      <c r="B961" s="1" t="str">
        <f ca="1">IFERROR(__xludf.DUMMYFUNCTION("""COMPUTED_VALUE"""),"NE2_KA04D5294_TANKER")</f>
        <v>NE2_KA04D5294_TANKER</v>
      </c>
      <c r="C961" s="1" t="str">
        <f ca="1">IFERROR(__xludf.DUMMYFUNCTION("""COMPUTED_VALUE"""),"ne2_ka04d5294_tanker")</f>
        <v>ne2_ka04d5294_tanker</v>
      </c>
      <c r="D961" s="2">
        <f ca="1">IFERROR(__xludf.DUMMYFUNCTION("""COMPUTED_VALUE"""),41640)</f>
        <v>41640</v>
      </c>
      <c r="E961" s="3">
        <f ca="1">IFERROR(__xludf.DUMMYFUNCTION("""COMPUTED_VALUE"""),0.229571759260579)</f>
        <v>0.22957175926057899</v>
      </c>
      <c r="F961" s="1">
        <f ca="1">IFERROR(__xludf.DUMMYFUNCTION("""COMPUTED_VALUE"""),10823)</f>
        <v>10823</v>
      </c>
      <c r="G961" s="1"/>
      <c r="H961" s="1"/>
      <c r="I961" s="1"/>
      <c r="J961" s="1" t="str">
        <f ca="1">IFERROR(__xludf.DUMMYFUNCTION("""COMPUTED_VALUE"""),"0d 00h 00m")</f>
        <v>0d 00h 00m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>
      <c r="A962" s="1">
        <f ca="1">IFERROR(__xludf.DUMMYFUNCTION("""COMPUTED_VALUE"""),15)</f>
        <v>15</v>
      </c>
      <c r="B962" s="1" t="str">
        <f ca="1">IFERROR(__xludf.DUMMYFUNCTION("""COMPUTED_VALUE"""),"NE2_KA04D5294_TANKER")</f>
        <v>NE2_KA04D5294_TANKER</v>
      </c>
      <c r="C962" s="1" t="str">
        <f ca="1">IFERROR(__xludf.DUMMYFUNCTION("""COMPUTED_VALUE"""),"ne2_ka04d5294_tanker")</f>
        <v>ne2_ka04d5294_tanker</v>
      </c>
      <c r="D962" s="2">
        <f ca="1">IFERROR(__xludf.DUMMYFUNCTION("""COMPUTED_VALUE"""),41640)</f>
        <v>41640</v>
      </c>
      <c r="E962" s="3">
        <f ca="1">IFERROR(__xludf.DUMMYFUNCTION("""COMPUTED_VALUE"""),0.229571759260579)</f>
        <v>0.22957175926057899</v>
      </c>
      <c r="F962" s="1">
        <f ca="1">IFERROR(__xludf.DUMMYFUNCTION("""COMPUTED_VALUE"""),10823)</f>
        <v>10823</v>
      </c>
      <c r="G962" s="1"/>
      <c r="H962" s="1"/>
      <c r="I962" s="1"/>
      <c r="J962" s="1" t="str">
        <f ca="1">IFERROR(__xludf.DUMMYFUNCTION("""COMPUTED_VALUE"""),"0d 00h 00m")</f>
        <v>0d 00h 00m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>
      <c r="A963" s="1">
        <f ca="1">IFERROR(__xludf.DUMMYFUNCTION("""COMPUTED_VALUE"""),15)</f>
        <v>15</v>
      </c>
      <c r="B963" s="1" t="str">
        <f ca="1">IFERROR(__xludf.DUMMYFUNCTION("""COMPUTED_VALUE"""),"NE2_KA04D5294_TANKER")</f>
        <v>NE2_KA04D5294_TANKER</v>
      </c>
      <c r="C963" s="1" t="str">
        <f ca="1">IFERROR(__xludf.DUMMYFUNCTION("""COMPUTED_VALUE"""),"ne2_ka04d5294_tanker")</f>
        <v>ne2_ka04d5294_tanker</v>
      </c>
      <c r="D963" s="2">
        <f ca="1">IFERROR(__xludf.DUMMYFUNCTION("""COMPUTED_VALUE"""),41640)</f>
        <v>41640</v>
      </c>
      <c r="E963" s="3">
        <f ca="1">IFERROR(__xludf.DUMMYFUNCTION("""COMPUTED_VALUE"""),0.229571759260579)</f>
        <v>0.22957175926057899</v>
      </c>
      <c r="F963" s="1">
        <f ca="1">IFERROR(__xludf.DUMMYFUNCTION("""COMPUTED_VALUE"""),10823)</f>
        <v>10823</v>
      </c>
      <c r="G963" s="1"/>
      <c r="H963" s="1"/>
      <c r="I963" s="1"/>
      <c r="J963" s="1" t="str">
        <f ca="1">IFERROR(__xludf.DUMMYFUNCTION("""COMPUTED_VALUE"""),"0d 00h 01m")</f>
        <v>0d 00h 01m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>
      <c r="A964" s="1">
        <f ca="1">IFERROR(__xludf.DUMMYFUNCTION("""COMPUTED_VALUE"""),15)</f>
        <v>15</v>
      </c>
      <c r="B964" s="1" t="str">
        <f ca="1">IFERROR(__xludf.DUMMYFUNCTION("""COMPUTED_VALUE"""),"NE2_KA04D5294_TANKER")</f>
        <v>NE2_KA04D5294_TANKER</v>
      </c>
      <c r="C964" s="1" t="str">
        <f ca="1">IFERROR(__xludf.DUMMYFUNCTION("""COMPUTED_VALUE"""),"ne2_ka04d5294_tanker")</f>
        <v>ne2_ka04d5294_tanker</v>
      </c>
      <c r="D964" s="2">
        <f ca="1">IFERROR(__xludf.DUMMYFUNCTION("""COMPUTED_VALUE"""),41640)</f>
        <v>41640</v>
      </c>
      <c r="E964" s="3">
        <f ca="1">IFERROR(__xludf.DUMMYFUNCTION("""COMPUTED_VALUE"""),0.229571759260579)</f>
        <v>0.22957175926057899</v>
      </c>
      <c r="F964" s="1">
        <f ca="1">IFERROR(__xludf.DUMMYFUNCTION("""COMPUTED_VALUE"""),10823)</f>
        <v>10823</v>
      </c>
      <c r="G964" s="1"/>
      <c r="H964" s="1"/>
      <c r="I964" s="1"/>
      <c r="J964" s="1" t="str">
        <f ca="1">IFERROR(__xludf.DUMMYFUNCTION("""COMPUTED_VALUE"""),"0d 00h 00m")</f>
        <v>0d 00h 00m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>
      <c r="A965" s="1">
        <f ca="1">IFERROR(__xludf.DUMMYFUNCTION("""COMPUTED_VALUE"""),30)</f>
        <v>30</v>
      </c>
      <c r="B965" s="1" t="str">
        <f ca="1">IFERROR(__xludf.DUMMYFUNCTION("""COMPUTED_VALUE"""),"NE2_KA05AD2943_Desilting")</f>
        <v>NE2_KA05AD2943_Desilting</v>
      </c>
      <c r="C965" s="1" t="str">
        <f ca="1">IFERROR(__xludf.DUMMYFUNCTION("""COMPUTED_VALUE"""),"ne2_ka05ad2943_desilting")</f>
        <v>ne2_ka05ad2943_desilting</v>
      </c>
      <c r="D965" s="2">
        <f ca="1">IFERROR(__xludf.DUMMYFUNCTION("""COMPUTED_VALUE"""),44172)</f>
        <v>44172</v>
      </c>
      <c r="E965" s="3">
        <f ca="1">IFERROR(__xludf.DUMMYFUNCTION("""COMPUTED_VALUE"""),0.523680555554165)</f>
        <v>0.52368055555416504</v>
      </c>
      <c r="F965" s="1">
        <f ca="1">IFERROR(__xludf.DUMMYFUNCTION("""COMPUTED_VALUE"""),281)</f>
        <v>281</v>
      </c>
      <c r="G965" s="1" t="str">
        <f ca="1">IFERROR(__xludf.DUMMYFUNCTION("""COMPUTED_VALUE"""),"12.9897/77.5787")</f>
        <v>12.9897/77.5787</v>
      </c>
      <c r="H965" s="1" t="str">
        <f ca="1">IFERROR(__xludf.DUMMYFUNCTION("""COMPUTED_VALUE"""),"Seshadripuram")</f>
        <v>Seshadripuram</v>
      </c>
      <c r="I965" s="1"/>
      <c r="J965" s="1" t="str">
        <f ca="1">IFERROR(__xludf.DUMMYFUNCTION("""COMPUTED_VALUE"""),"744d 21h 55m")</f>
        <v>744d 21h 55m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>
      <c r="A966" s="1">
        <f ca="1">IFERROR(__xludf.DUMMYFUNCTION("""COMPUTED_VALUE"""),29)</f>
        <v>29</v>
      </c>
      <c r="B966" s="1" t="str">
        <f ca="1">IFERROR(__xludf.DUMMYFUNCTION("""COMPUTED_VALUE"""),"NE2_KA05AD2943_Desilting")</f>
        <v>NE2_KA05AD2943_Desilting</v>
      </c>
      <c r="C966" s="1" t="str">
        <f ca="1">IFERROR(__xludf.DUMMYFUNCTION("""COMPUTED_VALUE"""),"ne2_ka05ad2943_desilting")</f>
        <v>ne2_ka05ad2943_desilting</v>
      </c>
      <c r="D966" s="2">
        <f ca="1">IFERROR(__xludf.DUMMYFUNCTION("""COMPUTED_VALUE"""),44172)</f>
        <v>44172</v>
      </c>
      <c r="E966" s="3">
        <f ca="1">IFERROR(__xludf.DUMMYFUNCTION("""COMPUTED_VALUE"""),0.523680555554165)</f>
        <v>0.52368055555416504</v>
      </c>
      <c r="F966" s="1">
        <f ca="1">IFERROR(__xludf.DUMMYFUNCTION("""COMPUTED_VALUE"""),281)</f>
        <v>281</v>
      </c>
      <c r="G966" s="1" t="str">
        <f ca="1">IFERROR(__xludf.DUMMYFUNCTION("""COMPUTED_VALUE"""),"12.9897/77.5787")</f>
        <v>12.9897/77.5787</v>
      </c>
      <c r="H966" s="1" t="str">
        <f ca="1">IFERROR(__xludf.DUMMYFUNCTION("""COMPUTED_VALUE"""),"Seshadripuram")</f>
        <v>Seshadripuram</v>
      </c>
      <c r="I966" s="1"/>
      <c r="J966" s="1" t="str">
        <f ca="1">IFERROR(__xludf.DUMMYFUNCTION("""COMPUTED_VALUE"""),"744d 21h 57m")</f>
        <v>744d 21h 57m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>
      <c r="A967" s="1">
        <f ca="1">IFERROR(__xludf.DUMMYFUNCTION("""COMPUTED_VALUE"""),29)</f>
        <v>29</v>
      </c>
      <c r="B967" s="1" t="str">
        <f ca="1">IFERROR(__xludf.DUMMYFUNCTION("""COMPUTED_VALUE"""),"NE2_KA05AD2943_Desilting")</f>
        <v>NE2_KA05AD2943_Desilting</v>
      </c>
      <c r="C967" s="1" t="str">
        <f ca="1">IFERROR(__xludf.DUMMYFUNCTION("""COMPUTED_VALUE"""),"ne2_ka05ad2943_desilting")</f>
        <v>ne2_ka05ad2943_desilting</v>
      </c>
      <c r="D967" s="2">
        <f ca="1">IFERROR(__xludf.DUMMYFUNCTION("""COMPUTED_VALUE"""),44172)</f>
        <v>44172</v>
      </c>
      <c r="E967" s="3">
        <f ca="1">IFERROR(__xludf.DUMMYFUNCTION("""COMPUTED_VALUE"""),0.523680555554165)</f>
        <v>0.52368055555416504</v>
      </c>
      <c r="F967" s="1">
        <f ca="1">IFERROR(__xludf.DUMMYFUNCTION("""COMPUTED_VALUE"""),281)</f>
        <v>281</v>
      </c>
      <c r="G967" s="1" t="str">
        <f ca="1">IFERROR(__xludf.DUMMYFUNCTION("""COMPUTED_VALUE"""),"12.9897/77.5787")</f>
        <v>12.9897/77.5787</v>
      </c>
      <c r="H967" s="1" t="str">
        <f ca="1">IFERROR(__xludf.DUMMYFUNCTION("""COMPUTED_VALUE"""),"Seshadripuram")</f>
        <v>Seshadripuram</v>
      </c>
      <c r="I967" s="1"/>
      <c r="J967" s="1" t="str">
        <f ca="1">IFERROR(__xludf.DUMMYFUNCTION("""COMPUTED_VALUE"""),"744d 21h 57m")</f>
        <v>744d 21h 57m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>
      <c r="A968" s="1">
        <f ca="1">IFERROR(__xludf.DUMMYFUNCTION("""COMPUTED_VALUE"""),29)</f>
        <v>29</v>
      </c>
      <c r="B968" s="1" t="str">
        <f ca="1">IFERROR(__xludf.DUMMYFUNCTION("""COMPUTED_VALUE"""),"NE2_KA05AD2943_Desilting")</f>
        <v>NE2_KA05AD2943_Desilting</v>
      </c>
      <c r="C968" s="1" t="str">
        <f ca="1">IFERROR(__xludf.DUMMYFUNCTION("""COMPUTED_VALUE"""),"ne2_ka05ad2943_desilting")</f>
        <v>ne2_ka05ad2943_desilting</v>
      </c>
      <c r="D968" s="2">
        <f ca="1">IFERROR(__xludf.DUMMYFUNCTION("""COMPUTED_VALUE"""),44172)</f>
        <v>44172</v>
      </c>
      <c r="E968" s="3">
        <f ca="1">IFERROR(__xludf.DUMMYFUNCTION("""COMPUTED_VALUE"""),0.523680555554165)</f>
        <v>0.52368055555416504</v>
      </c>
      <c r="F968" s="1">
        <f ca="1">IFERROR(__xludf.DUMMYFUNCTION("""COMPUTED_VALUE"""),281)</f>
        <v>281</v>
      </c>
      <c r="G968" s="1" t="str">
        <f ca="1">IFERROR(__xludf.DUMMYFUNCTION("""COMPUTED_VALUE"""),"12.9897/77.5787")</f>
        <v>12.9897/77.5787</v>
      </c>
      <c r="H968" s="1" t="str">
        <f ca="1">IFERROR(__xludf.DUMMYFUNCTION("""COMPUTED_VALUE"""),"Seshadripuram")</f>
        <v>Seshadripuram</v>
      </c>
      <c r="I968" s="1"/>
      <c r="J968" s="1" t="str">
        <f ca="1">IFERROR(__xludf.DUMMYFUNCTION("""COMPUTED_VALUE"""),"744d 21h 58m")</f>
        <v>744d 21h 58m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>
      <c r="A969" s="1">
        <f ca="1">IFERROR(__xludf.DUMMYFUNCTION("""COMPUTED_VALUE"""),29)</f>
        <v>29</v>
      </c>
      <c r="B969" s="1" t="str">
        <f ca="1">IFERROR(__xludf.DUMMYFUNCTION("""COMPUTED_VALUE"""),"NE2_KA05AD2943_Desilting")</f>
        <v>NE2_KA05AD2943_Desilting</v>
      </c>
      <c r="C969" s="1" t="str">
        <f ca="1">IFERROR(__xludf.DUMMYFUNCTION("""COMPUTED_VALUE"""),"ne2_ka05ad2943_desilting")</f>
        <v>ne2_ka05ad2943_desilting</v>
      </c>
      <c r="D969" s="2">
        <f ca="1">IFERROR(__xludf.DUMMYFUNCTION("""COMPUTED_VALUE"""),44172)</f>
        <v>44172</v>
      </c>
      <c r="E969" s="3">
        <f ca="1">IFERROR(__xludf.DUMMYFUNCTION("""COMPUTED_VALUE"""),0.523680555554165)</f>
        <v>0.52368055555416504</v>
      </c>
      <c r="F969" s="1">
        <f ca="1">IFERROR(__xludf.DUMMYFUNCTION("""COMPUTED_VALUE"""),281)</f>
        <v>281</v>
      </c>
      <c r="G969" s="1" t="str">
        <f ca="1">IFERROR(__xludf.DUMMYFUNCTION("""COMPUTED_VALUE"""),"12.9897/77.5787")</f>
        <v>12.9897/77.5787</v>
      </c>
      <c r="H969" s="1" t="str">
        <f ca="1">IFERROR(__xludf.DUMMYFUNCTION("""COMPUTED_VALUE"""),"Seshadripuram")</f>
        <v>Seshadripuram</v>
      </c>
      <c r="I969" s="1"/>
      <c r="J969" s="1" t="str">
        <f ca="1">IFERROR(__xludf.DUMMYFUNCTION("""COMPUTED_VALUE"""),"744d 21h 59m")</f>
        <v>744d 21h 59m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>
      <c r="A970" s="1">
        <f ca="1">IFERROR(__xludf.DUMMYFUNCTION("""COMPUTED_VALUE"""),29)</f>
        <v>29</v>
      </c>
      <c r="B970" s="1" t="str">
        <f ca="1">IFERROR(__xludf.DUMMYFUNCTION("""COMPUTED_VALUE"""),"NE2_KA05AD2943_Desilting")</f>
        <v>NE2_KA05AD2943_Desilting</v>
      </c>
      <c r="C970" s="1" t="str">
        <f ca="1">IFERROR(__xludf.DUMMYFUNCTION("""COMPUTED_VALUE"""),"ne2_ka05ad2943_desilting")</f>
        <v>ne2_ka05ad2943_desilting</v>
      </c>
      <c r="D970" s="2">
        <f ca="1">IFERROR(__xludf.DUMMYFUNCTION("""COMPUTED_VALUE"""),44172)</f>
        <v>44172</v>
      </c>
      <c r="E970" s="3">
        <f ca="1">IFERROR(__xludf.DUMMYFUNCTION("""COMPUTED_VALUE"""),0.523680555554165)</f>
        <v>0.52368055555416504</v>
      </c>
      <c r="F970" s="1">
        <f ca="1">IFERROR(__xludf.DUMMYFUNCTION("""COMPUTED_VALUE"""),281)</f>
        <v>281</v>
      </c>
      <c r="G970" s="1" t="str">
        <f ca="1">IFERROR(__xludf.DUMMYFUNCTION("""COMPUTED_VALUE"""),"12.9897/77.5787")</f>
        <v>12.9897/77.5787</v>
      </c>
      <c r="H970" s="1" t="str">
        <f ca="1">IFERROR(__xludf.DUMMYFUNCTION("""COMPUTED_VALUE"""),"Seshadripuram")</f>
        <v>Seshadripuram</v>
      </c>
      <c r="I970" s="1"/>
      <c r="J970" s="1" t="str">
        <f ca="1">IFERROR(__xludf.DUMMYFUNCTION("""COMPUTED_VALUE"""),"744d 22h 00m")</f>
        <v>744d 22h 00m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>
      <c r="A971" s="1">
        <f ca="1">IFERROR(__xludf.DUMMYFUNCTION("""COMPUTED_VALUE"""),122)</f>
        <v>122</v>
      </c>
      <c r="B971" s="1" t="str">
        <f ca="1">IFERROR(__xludf.DUMMYFUNCTION("""COMPUTED_VALUE"""),"NE2_KA05AD2943_DESILTING")</f>
        <v>NE2_KA05AD2943_DESILTING</v>
      </c>
      <c r="C971" s="1" t="str">
        <f ca="1">IFERROR(__xludf.DUMMYFUNCTION("""COMPUTED_VALUE"""),"ne2_ka05ad2943_desilting")</f>
        <v>ne2_ka05ad2943_desilting</v>
      </c>
      <c r="D971" s="2">
        <f ca="1">IFERROR(__xludf.DUMMYFUNCTION("""COMPUTED_VALUE"""),44291)</f>
        <v>44291</v>
      </c>
      <c r="E971" s="3">
        <f ca="1">IFERROR(__xludf.DUMMYFUNCTION("""COMPUTED_VALUE"""),0.6336226851854)</f>
        <v>0.63362268518539999</v>
      </c>
      <c r="F971" s="1">
        <f ca="1">IFERROR(__xludf.DUMMYFUNCTION("""COMPUTED_VALUE"""),684)</f>
        <v>684</v>
      </c>
      <c r="G971" s="1" t="str">
        <f ca="1">IFERROR(__xludf.DUMMYFUNCTION("""COMPUTED_VALUE"""),"13.0117/77.5680")</f>
        <v>13.0117/77.5680</v>
      </c>
      <c r="H971" s="1" t="str">
        <f ca="1">IFERROR(__xludf.DUMMYFUNCTION("""COMPUTED_VALUE"""),"Malleshwaram")</f>
        <v>Malleshwaram</v>
      </c>
      <c r="I971" s="1"/>
      <c r="J971" s="1" t="str">
        <f ca="1">IFERROR(__xludf.DUMMYFUNCTION("""COMPUTED_VALUE"""),"0d 00h 00m")</f>
        <v>0d 00h 00m</v>
      </c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>
      <c r="A972" s="1">
        <f ca="1">IFERROR(__xludf.DUMMYFUNCTION("""COMPUTED_VALUE"""),122)</f>
        <v>122</v>
      </c>
      <c r="B972" s="1" t="str">
        <f ca="1">IFERROR(__xludf.DUMMYFUNCTION("""COMPUTED_VALUE"""),"NE2_KA05AD2943_DESILTING")</f>
        <v>NE2_KA05AD2943_DESILTING</v>
      </c>
      <c r="C972" s="1" t="str">
        <f ca="1">IFERROR(__xludf.DUMMYFUNCTION("""COMPUTED_VALUE"""),"ne2_ka05ad2943_desilting")</f>
        <v>ne2_ka05ad2943_desilting</v>
      </c>
      <c r="D972" s="2">
        <f ca="1">IFERROR(__xludf.DUMMYFUNCTION("""COMPUTED_VALUE"""),44291)</f>
        <v>44291</v>
      </c>
      <c r="E972" s="3">
        <f ca="1">IFERROR(__xludf.DUMMYFUNCTION("""COMPUTED_VALUE"""),0.6336226851854)</f>
        <v>0.63362268518539999</v>
      </c>
      <c r="F972" s="1">
        <f ca="1">IFERROR(__xludf.DUMMYFUNCTION("""COMPUTED_VALUE"""),684)</f>
        <v>684</v>
      </c>
      <c r="G972" s="1" t="str">
        <f ca="1">IFERROR(__xludf.DUMMYFUNCTION("""COMPUTED_VALUE"""),"13.0117/77.5680")</f>
        <v>13.0117/77.5680</v>
      </c>
      <c r="H972" s="1" t="str">
        <f ca="1">IFERROR(__xludf.DUMMYFUNCTION("""COMPUTED_VALUE"""),"Malleshwaram")</f>
        <v>Malleshwaram</v>
      </c>
      <c r="I972" s="1"/>
      <c r="J972" s="1" t="str">
        <f ca="1">IFERROR(__xludf.DUMMYFUNCTION("""COMPUTED_VALUE"""),"0d 00h 00m")</f>
        <v>0d 00h 00m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>
      <c r="A973" s="1">
        <f ca="1">IFERROR(__xludf.DUMMYFUNCTION("""COMPUTED_VALUE"""),119)</f>
        <v>119</v>
      </c>
      <c r="B973" s="1" t="str">
        <f ca="1">IFERROR(__xludf.DUMMYFUNCTION("""COMPUTED_VALUE"""),"NE2_KA05AD2943_DESILTING")</f>
        <v>NE2_KA05AD2943_DESILTING</v>
      </c>
      <c r="C973" s="1" t="str">
        <f ca="1">IFERROR(__xludf.DUMMYFUNCTION("""COMPUTED_VALUE"""),"ne2_ka05ad2943_desilting")</f>
        <v>ne2_ka05ad2943_desilting</v>
      </c>
      <c r="D973" s="2">
        <f ca="1">IFERROR(__xludf.DUMMYFUNCTION("""COMPUTED_VALUE"""),44291)</f>
        <v>44291</v>
      </c>
      <c r="E973" s="3">
        <f ca="1">IFERROR(__xludf.DUMMYFUNCTION("""COMPUTED_VALUE"""),0.6336226851854)</f>
        <v>0.63362268518539999</v>
      </c>
      <c r="F973" s="1">
        <f ca="1">IFERROR(__xludf.DUMMYFUNCTION("""COMPUTED_VALUE"""),684)</f>
        <v>684</v>
      </c>
      <c r="G973" s="1" t="str">
        <f ca="1">IFERROR(__xludf.DUMMYFUNCTION("""COMPUTED_VALUE"""),"13.0117/77.5680")</f>
        <v>13.0117/77.5680</v>
      </c>
      <c r="H973" s="1" t="str">
        <f ca="1">IFERROR(__xludf.DUMMYFUNCTION("""COMPUTED_VALUE"""),"Malleshwaram")</f>
        <v>Malleshwaram</v>
      </c>
      <c r="I973" s="1"/>
      <c r="J973" s="1" t="str">
        <f ca="1">IFERROR(__xludf.DUMMYFUNCTION("""COMPUTED_VALUE"""),"0d 00h 00m")</f>
        <v>0d 00h 00m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>
      <c r="A974" s="1">
        <f ca="1">IFERROR(__xludf.DUMMYFUNCTION("""COMPUTED_VALUE"""),119)</f>
        <v>119</v>
      </c>
      <c r="B974" s="1" t="str">
        <f ca="1">IFERROR(__xludf.DUMMYFUNCTION("""COMPUTED_VALUE"""),"NE2_KA05AD2943_DESILTING")</f>
        <v>NE2_KA05AD2943_DESILTING</v>
      </c>
      <c r="C974" s="1" t="str">
        <f ca="1">IFERROR(__xludf.DUMMYFUNCTION("""COMPUTED_VALUE"""),"ne2_ka05ad2943_desilting")</f>
        <v>ne2_ka05ad2943_desilting</v>
      </c>
      <c r="D974" s="2">
        <f ca="1">IFERROR(__xludf.DUMMYFUNCTION("""COMPUTED_VALUE"""),44291)</f>
        <v>44291</v>
      </c>
      <c r="E974" s="3">
        <f ca="1">IFERROR(__xludf.DUMMYFUNCTION("""COMPUTED_VALUE"""),0.6336226851854)</f>
        <v>0.63362268518539999</v>
      </c>
      <c r="F974" s="1">
        <f ca="1">IFERROR(__xludf.DUMMYFUNCTION("""COMPUTED_VALUE"""),684)</f>
        <v>684</v>
      </c>
      <c r="G974" s="1" t="str">
        <f ca="1">IFERROR(__xludf.DUMMYFUNCTION("""COMPUTED_VALUE"""),"13.0117/77.5680")</f>
        <v>13.0117/77.5680</v>
      </c>
      <c r="H974" s="1" t="str">
        <f ca="1">IFERROR(__xludf.DUMMYFUNCTION("""COMPUTED_VALUE"""),"Malleshwaram")</f>
        <v>Malleshwaram</v>
      </c>
      <c r="I974" s="1"/>
      <c r="J974" s="1" t="str">
        <f ca="1">IFERROR(__xludf.DUMMYFUNCTION("""COMPUTED_VALUE"""),"0d 00h 00m")</f>
        <v>0d 00h 00m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>
      <c r="A975" s="1">
        <f ca="1">IFERROR(__xludf.DUMMYFUNCTION("""COMPUTED_VALUE"""),149)</f>
        <v>149</v>
      </c>
      <c r="B975" s="1" t="str">
        <f ca="1">IFERROR(__xludf.DUMMYFUNCTION("""COMPUTED_VALUE"""),"NE2_KA05AD2943_DESILTING")</f>
        <v>NE2_KA05AD2943_DESILTING</v>
      </c>
      <c r="C975" s="1" t="str">
        <f ca="1">IFERROR(__xludf.DUMMYFUNCTION("""COMPUTED_VALUE"""),"ne2_ka05ad2943_desilting")</f>
        <v>ne2_ka05ad2943_desilting</v>
      </c>
      <c r="D975" s="2">
        <f ca="1">IFERROR(__xludf.DUMMYFUNCTION("""COMPUTED_VALUE"""),45134)</f>
        <v>45134</v>
      </c>
      <c r="E975" s="3">
        <f ca="1">IFERROR(__xludf.DUMMYFUNCTION("""COMPUTED_VALUE"""),0.998668981483206)</f>
        <v>0.99866898148320604</v>
      </c>
      <c r="F975" s="1">
        <f ca="1">IFERROR(__xludf.DUMMYFUNCTION("""COMPUTED_VALUE"""),739)</f>
        <v>739</v>
      </c>
      <c r="G975" s="1"/>
      <c r="H975" s="1"/>
      <c r="I975" s="1"/>
      <c r="J975" s="1" t="str">
        <f ca="1">IFERROR(__xludf.DUMMYFUNCTION("""COMPUTED_VALUE"""),"0d 00h 00m")</f>
        <v>0d 00h 00m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>
      <c r="A976" s="1">
        <f ca="1">IFERROR(__xludf.DUMMYFUNCTION("""COMPUTED_VALUE"""),171)</f>
        <v>171</v>
      </c>
      <c r="B976" s="1" t="str">
        <f ca="1">IFERROR(__xludf.DUMMYFUNCTION("""COMPUTED_VALUE"""),"NE2_KA05AD2943_DESILTING")</f>
        <v>NE2_KA05AD2943_DESILTING</v>
      </c>
      <c r="C976" s="1" t="str">
        <f ca="1">IFERROR(__xludf.DUMMYFUNCTION("""COMPUTED_VALUE"""),"ne2_ka05ad2943_desilting")</f>
        <v>ne2_ka05ad2943_desilting</v>
      </c>
      <c r="D976" s="2">
        <f ca="1">IFERROR(__xludf.DUMMYFUNCTION("""COMPUTED_VALUE"""),45226)</f>
        <v>45226</v>
      </c>
      <c r="E976" s="3">
        <f ca="1">IFERROR(__xludf.DUMMYFUNCTION("""COMPUTED_VALUE"""),0.999247685183945)</f>
        <v>0.99924768518394502</v>
      </c>
      <c r="F976" s="1">
        <f ca="1">IFERROR(__xludf.DUMMYFUNCTION("""COMPUTED_VALUE"""),1387)</f>
        <v>1387</v>
      </c>
      <c r="G976" s="1" t="str">
        <f ca="1">IFERROR(__xludf.DUMMYFUNCTION("""COMPUTED_VALUE"""),"13.0121/77.6560")</f>
        <v>13.0121/77.6560</v>
      </c>
      <c r="H976" s="1" t="str">
        <f ca="1">IFERROR(__xludf.DUMMYFUNCTION("""COMPUTED_VALUE"""),"Chansandra")</f>
        <v>Chansandra</v>
      </c>
      <c r="I976" s="1"/>
      <c r="J976" s="1" t="str">
        <f ca="1">IFERROR(__xludf.DUMMYFUNCTION("""COMPUTED_VALUE"""),"0d 00h 00m")</f>
        <v>0d 00h 00m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>
      <c r="A977" s="1">
        <f ca="1">IFERROR(__xludf.DUMMYFUNCTION("""COMPUTED_VALUE"""),151)</f>
        <v>151</v>
      </c>
      <c r="B977" s="1" t="str">
        <f ca="1">IFERROR(__xludf.DUMMYFUNCTION("""COMPUTED_VALUE"""),"NE2_KA05AD2943_DESILTING")</f>
        <v>NE2_KA05AD2943_DESILTING</v>
      </c>
      <c r="C977" s="1" t="str">
        <f ca="1">IFERROR(__xludf.DUMMYFUNCTION("""COMPUTED_VALUE"""),"ne2_ka05ad2943_desilting")</f>
        <v>ne2_ka05ad2943_desilting</v>
      </c>
      <c r="D977" s="2">
        <f ca="1">IFERROR(__xludf.DUMMYFUNCTION("""COMPUTED_VALUE"""),45307)</f>
        <v>45307</v>
      </c>
      <c r="E977" s="3">
        <f ca="1">IFERROR(__xludf.DUMMYFUNCTION("""COMPUTED_VALUE"""),0.570138888888323)</f>
        <v>0.57013888888832298</v>
      </c>
      <c r="F977" s="1">
        <f ca="1">IFERROR(__xludf.DUMMYFUNCTION("""COMPUTED_VALUE"""),1699)</f>
        <v>1699</v>
      </c>
      <c r="G977" s="1" t="str">
        <f ca="1">IFERROR(__xludf.DUMMYFUNCTION("""COMPUTED_VALUE"""),"13.0120/77.6559")</f>
        <v>13.0120/77.6559</v>
      </c>
      <c r="H977" s="1" t="str">
        <f ca="1">IFERROR(__xludf.DUMMYFUNCTION("""COMPUTED_VALUE"""),"Chansandra")</f>
        <v>Chansandra</v>
      </c>
      <c r="I977" s="1"/>
      <c r="J977" s="1" t="str">
        <f ca="1">IFERROR(__xludf.DUMMYFUNCTION("""COMPUTED_VALUE"""),"0d 00h 00m")</f>
        <v>0d 00h 00m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>
      <c r="A978" s="1">
        <f ca="1">IFERROR(__xludf.DUMMYFUNCTION("""COMPUTED_VALUE"""),149)</f>
        <v>149</v>
      </c>
      <c r="B978" s="1" t="str">
        <f ca="1">IFERROR(__xludf.DUMMYFUNCTION("""COMPUTED_VALUE"""),"NE3_KA02AC5944_Jetting")</f>
        <v>NE3_KA02AC5944_Jetting</v>
      </c>
      <c r="C978" s="1" t="str">
        <f ca="1">IFERROR(__xludf.DUMMYFUNCTION("""COMPUTED_VALUE"""),"ne3_ka02ac5944_jetting")</f>
        <v>ne3_ka02ac5944_jetting</v>
      </c>
      <c r="D978" s="2">
        <f ca="1">IFERROR(__xludf.DUMMYFUNCTION("""COMPUTED_VALUE"""),44707)</f>
        <v>44707</v>
      </c>
      <c r="E978" s="3">
        <f ca="1">IFERROR(__xludf.DUMMYFUNCTION("""COMPUTED_VALUE"""),0.998761574075615)</f>
        <v>0.99876157407561506</v>
      </c>
      <c r="F978" s="1">
        <f ca="1">IFERROR(__xludf.DUMMYFUNCTION("""COMPUTED_VALUE"""),75910)</f>
        <v>75910</v>
      </c>
      <c r="G978" s="1" t="str">
        <f ca="1">IFERROR(__xludf.DUMMYFUNCTION("""COMPUTED_VALUE"""),"13.0102/77.5672")</f>
        <v>13.0102/77.5672</v>
      </c>
      <c r="H978" s="1" t="str">
        <f ca="1">IFERROR(__xludf.DUMMYFUNCTION("""COMPUTED_VALUE"""),"Malleshwaram")</f>
        <v>Malleshwaram</v>
      </c>
      <c r="I978" s="1"/>
      <c r="J978" s="1" t="str">
        <f ca="1">IFERROR(__xludf.DUMMYFUNCTION("""COMPUTED_VALUE"""),"0d 00h 00m")</f>
        <v>0d 00h 00m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>
      <c r="A979" s="1">
        <f ca="1">IFERROR(__xludf.DUMMYFUNCTION("""COMPUTED_VALUE"""),117)</f>
        <v>117</v>
      </c>
      <c r="B979" s="1" t="str">
        <f ca="1">IFERROR(__xludf.DUMMYFUNCTION("""COMPUTED_VALUE"""),"NE3_KA02AC5944_Jetting")</f>
        <v>NE3_KA02AC5944_Jetting</v>
      </c>
      <c r="C979" s="1" t="str">
        <f ca="1">IFERROR(__xludf.DUMMYFUNCTION("""COMPUTED_VALUE"""),"ne3_ka02ac5944_jetting")</f>
        <v>ne3_ka02ac5944_jetting</v>
      </c>
      <c r="D979" s="2">
        <f ca="1">IFERROR(__xludf.DUMMYFUNCTION("""COMPUTED_VALUE"""),44737)</f>
        <v>44737</v>
      </c>
      <c r="E979" s="3">
        <f ca="1">IFERROR(__xludf.DUMMYFUNCTION("""COMPUTED_VALUE"""),0.40094907407547)</f>
        <v>0.40094907407546998</v>
      </c>
      <c r="F979" s="1">
        <f ca="1">IFERROR(__xludf.DUMMYFUNCTION("""COMPUTED_VALUE"""),76333)</f>
        <v>76333</v>
      </c>
      <c r="G979" s="1" t="str">
        <f ca="1">IFERROR(__xludf.DUMMYFUNCTION("""COMPUTED_VALUE"""),"13.0244/77.5828")</f>
        <v>13.0244/77.5828</v>
      </c>
      <c r="H979" s="1" t="str">
        <f ca="1">IFERROR(__xludf.DUMMYFUNCTION("""COMPUTED_VALUE"""),"Kaisar-i Hind Mills")</f>
        <v>Kaisar-i Hind Mills</v>
      </c>
      <c r="I979" s="1"/>
      <c r="J979" s="1" t="str">
        <f ca="1">IFERROR(__xludf.DUMMYFUNCTION("""COMPUTED_VALUE"""),"0d 00h 00m")</f>
        <v>0d 00h 00m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>
      <c r="A980" s="1">
        <f ca="1">IFERROR(__xludf.DUMMYFUNCTION("""COMPUTED_VALUE"""),71)</f>
        <v>71</v>
      </c>
      <c r="B980" s="1" t="str">
        <f ca="1">IFERROR(__xludf.DUMMYFUNCTION("""COMPUTED_VALUE"""),"NE3_KA02AC5944_Jetting")</f>
        <v>NE3_KA02AC5944_Jetting</v>
      </c>
      <c r="C980" s="1" t="str">
        <f ca="1">IFERROR(__xludf.DUMMYFUNCTION("""COMPUTED_VALUE"""),"ne3_ka02ac5944_jetting")</f>
        <v>ne3_ka02ac5944_jetting</v>
      </c>
      <c r="D980" s="2">
        <f ca="1">IFERROR(__xludf.DUMMYFUNCTION("""COMPUTED_VALUE"""),44737)</f>
        <v>44737</v>
      </c>
      <c r="E980" s="3">
        <f ca="1">IFERROR(__xludf.DUMMYFUNCTION("""COMPUTED_VALUE"""),0.40094907407547)</f>
        <v>0.40094907407546998</v>
      </c>
      <c r="F980" s="1">
        <f ca="1">IFERROR(__xludf.DUMMYFUNCTION("""COMPUTED_VALUE"""),76333)</f>
        <v>76333</v>
      </c>
      <c r="G980" s="1" t="str">
        <f ca="1">IFERROR(__xludf.DUMMYFUNCTION("""COMPUTED_VALUE"""),"13.0244/77.5828")</f>
        <v>13.0244/77.5828</v>
      </c>
      <c r="H980" s="1" t="str">
        <f ca="1">IFERROR(__xludf.DUMMYFUNCTION("""COMPUTED_VALUE"""),"Kaisar-i Hind Mills")</f>
        <v>Kaisar-i Hind Mills</v>
      </c>
      <c r="I980" s="1"/>
      <c r="J980" s="1" t="str">
        <f ca="1">IFERROR(__xludf.DUMMYFUNCTION("""COMPUTED_VALUE"""),"0d 00h 01m")</f>
        <v>0d 00h 01m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>
      <c r="A981" s="1">
        <f ca="1">IFERROR(__xludf.DUMMYFUNCTION("""COMPUTED_VALUE"""),63)</f>
        <v>63</v>
      </c>
      <c r="B981" s="1" t="str">
        <f ca="1">IFERROR(__xludf.DUMMYFUNCTION("""COMPUTED_VALUE"""),"NE3_KA02AC5944_Jetting")</f>
        <v>NE3_KA02AC5944_Jetting</v>
      </c>
      <c r="C981" s="1" t="str">
        <f ca="1">IFERROR(__xludf.DUMMYFUNCTION("""COMPUTED_VALUE"""),"ne3_ka02ac5944_jetting")</f>
        <v>ne3_ka02ac5944_jetting</v>
      </c>
      <c r="D981" s="2">
        <f ca="1">IFERROR(__xludf.DUMMYFUNCTION("""COMPUTED_VALUE"""),44737)</f>
        <v>44737</v>
      </c>
      <c r="E981" s="3">
        <f ca="1">IFERROR(__xludf.DUMMYFUNCTION("""COMPUTED_VALUE"""),0.40094907407547)</f>
        <v>0.40094907407546998</v>
      </c>
      <c r="F981" s="1">
        <f ca="1">IFERROR(__xludf.DUMMYFUNCTION("""COMPUTED_VALUE"""),76333)</f>
        <v>76333</v>
      </c>
      <c r="G981" s="1" t="str">
        <f ca="1">IFERROR(__xludf.DUMMYFUNCTION("""COMPUTED_VALUE"""),"13.0244/77.5828")</f>
        <v>13.0244/77.5828</v>
      </c>
      <c r="H981" s="1" t="str">
        <f ca="1">IFERROR(__xludf.DUMMYFUNCTION("""COMPUTED_VALUE"""),"Kaisar-i Hind Mills")</f>
        <v>Kaisar-i Hind Mills</v>
      </c>
      <c r="I981" s="1"/>
      <c r="J981" s="1" t="str">
        <f ca="1">IFERROR(__xludf.DUMMYFUNCTION("""COMPUTED_VALUE"""),"0d 00h 00m")</f>
        <v>0d 00h 00m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>
      <c r="A982" s="1">
        <f ca="1">IFERROR(__xludf.DUMMYFUNCTION("""COMPUTED_VALUE"""),160)</f>
        <v>160</v>
      </c>
      <c r="B982" s="1" t="str">
        <f ca="1">IFERROR(__xludf.DUMMYFUNCTION("""COMPUTED_VALUE"""),"NE3_KA02AC5944_Jetting")</f>
        <v>NE3_KA02AC5944_Jetting</v>
      </c>
      <c r="C982" s="1" t="str">
        <f ca="1">IFERROR(__xludf.DUMMYFUNCTION("""COMPUTED_VALUE"""),"ne3_ka02ac5944_jetting")</f>
        <v>ne3_ka02ac5944_jetting</v>
      </c>
      <c r="D982" s="2">
        <f ca="1">IFERROR(__xludf.DUMMYFUNCTION("""COMPUTED_VALUE"""),44830)</f>
        <v>44830</v>
      </c>
      <c r="E982" s="3">
        <f ca="1">IFERROR(__xludf.DUMMYFUNCTION("""COMPUTED_VALUE"""),0.99871527777941)</f>
        <v>0.99871527777941005</v>
      </c>
      <c r="F982" s="1">
        <f ca="1">IFERROR(__xludf.DUMMYFUNCTION("""COMPUTED_VALUE"""),78258)</f>
        <v>78258</v>
      </c>
      <c r="G982" s="1" t="str">
        <f ca="1">IFERROR(__xludf.DUMMYFUNCTION("""COMPUTED_VALUE"""),"13.0103/77.5671")</f>
        <v>13.0103/77.5671</v>
      </c>
      <c r="H982" s="1" t="str">
        <f ca="1">IFERROR(__xludf.DUMMYFUNCTION("""COMPUTED_VALUE"""),"Malleshwaram")</f>
        <v>Malleshwaram</v>
      </c>
      <c r="I982" s="1"/>
      <c r="J982" s="1" t="str">
        <f ca="1">IFERROR(__xludf.DUMMYFUNCTION("""COMPUTED_VALUE"""),"0d 00h 00m")</f>
        <v>0d 00h 00m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>
      <c r="A983" s="1">
        <f ca="1">IFERROR(__xludf.DUMMYFUNCTION("""COMPUTED_VALUE"""),159)</f>
        <v>159</v>
      </c>
      <c r="B983" s="1" t="str">
        <f ca="1">IFERROR(__xludf.DUMMYFUNCTION("""COMPUTED_VALUE"""),"NE3_KA02AC5944_Jetting")</f>
        <v>NE3_KA02AC5944_Jetting</v>
      </c>
      <c r="C983" s="1" t="str">
        <f ca="1">IFERROR(__xludf.DUMMYFUNCTION("""COMPUTED_VALUE"""),"ne3_ka02ac5944_jetting")</f>
        <v>ne3_ka02ac5944_jetting</v>
      </c>
      <c r="D983" s="2">
        <f ca="1">IFERROR(__xludf.DUMMYFUNCTION("""COMPUTED_VALUE"""),44860)</f>
        <v>44860</v>
      </c>
      <c r="E983" s="3">
        <f ca="1">IFERROR(__xludf.DUMMYFUNCTION("""COMPUTED_VALUE"""),0.998888888887449)</f>
        <v>0.99888888888744898</v>
      </c>
      <c r="F983" s="1">
        <f ca="1">IFERROR(__xludf.DUMMYFUNCTION("""COMPUTED_VALUE"""),79318)</f>
        <v>79318</v>
      </c>
      <c r="G983" s="1" t="str">
        <f ca="1">IFERROR(__xludf.DUMMYFUNCTION("""COMPUTED_VALUE"""),"13.0340/77.5761")</f>
        <v>13.0340/77.5761</v>
      </c>
      <c r="H983" s="1" t="str">
        <f ca="1">IFERROR(__xludf.DUMMYFUNCTION("""COMPUTED_VALUE"""),"Sanjay Nagar")</f>
        <v>Sanjay Nagar</v>
      </c>
      <c r="I983" s="1"/>
      <c r="J983" s="1" t="str">
        <f ca="1">IFERROR(__xludf.DUMMYFUNCTION("""COMPUTED_VALUE"""),"0d 00h 00m")</f>
        <v>0d 00h 00m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>
      <c r="A984" s="1">
        <f ca="1">IFERROR(__xludf.DUMMYFUNCTION("""COMPUTED_VALUE"""),110)</f>
        <v>110</v>
      </c>
      <c r="B984" s="1" t="str">
        <f ca="1">IFERROR(__xludf.DUMMYFUNCTION("""COMPUTED_VALUE"""),"NE3_KA049930_Tanker")</f>
        <v>NE3_KA049930_Tanker</v>
      </c>
      <c r="C984" s="1" t="str">
        <f ca="1">IFERROR(__xludf.DUMMYFUNCTION("""COMPUTED_VALUE"""),"ne3_ka049930_tanker")</f>
        <v>ne3_ka049930_tanker</v>
      </c>
      <c r="D984" s="2">
        <f ca="1">IFERROR(__xludf.DUMMYFUNCTION("""COMPUTED_VALUE"""),44705)</f>
        <v>44705</v>
      </c>
      <c r="E984" s="3">
        <f ca="1">IFERROR(__xludf.DUMMYFUNCTION("""COMPUTED_VALUE"""),0.566296296296059)</f>
        <v>0.56629629629605904</v>
      </c>
      <c r="F984" s="1">
        <f ca="1">IFERROR(__xludf.DUMMYFUNCTION("""COMPUTED_VALUE"""),30452)</f>
        <v>30452</v>
      </c>
      <c r="G984" s="1" t="str">
        <f ca="1">IFERROR(__xludf.DUMMYFUNCTION("""COMPUTED_VALUE"""),"13.0338/77.5687")</f>
        <v>13.0338/77.5687</v>
      </c>
      <c r="H984" s="1" t="str">
        <f ca="1">IFERROR(__xludf.DUMMYFUNCTION("""COMPUTED_VALUE"""),"Dollars Colony")</f>
        <v>Dollars Colony</v>
      </c>
      <c r="I984" s="1"/>
      <c r="J984" s="1" t="str">
        <f ca="1">IFERROR(__xludf.DUMMYFUNCTION("""COMPUTED_VALUE"""),"39d 16h 52m")</f>
        <v>39d 16h 52m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>
      <c r="A985" s="1">
        <f ca="1">IFERROR(__xludf.DUMMYFUNCTION("""COMPUTED_VALUE"""),125)</f>
        <v>125</v>
      </c>
      <c r="B985" s="1" t="str">
        <f ca="1">IFERROR(__xludf.DUMMYFUNCTION("""COMPUTED_VALUE"""),"NE3_KA049930_Tanker")</f>
        <v>NE3_KA049930_Tanker</v>
      </c>
      <c r="C985" s="1" t="str">
        <f ca="1">IFERROR(__xludf.DUMMYFUNCTION("""COMPUTED_VALUE"""),"ne3_ka049930_tanker")</f>
        <v>ne3_ka049930_tanker</v>
      </c>
      <c r="D985" s="2">
        <f ca="1">IFERROR(__xludf.DUMMYFUNCTION("""COMPUTED_VALUE"""),44737)</f>
        <v>44737</v>
      </c>
      <c r="E985" s="3">
        <f ca="1">IFERROR(__xludf.DUMMYFUNCTION("""COMPUTED_VALUE"""),0.580219907405989)</f>
        <v>0.58021990740598905</v>
      </c>
      <c r="F985" s="1">
        <f ca="1">IFERROR(__xludf.DUMMYFUNCTION("""COMPUTED_VALUE"""),30468)</f>
        <v>30468</v>
      </c>
      <c r="G985" s="1" t="str">
        <f ca="1">IFERROR(__xludf.DUMMYFUNCTION("""COMPUTED_VALUE"""),"12.9906/77.5742")</f>
        <v>12.9906/77.5742</v>
      </c>
      <c r="H985" s="1" t="str">
        <f ca="1">IFERROR(__xludf.DUMMYFUNCTION("""COMPUTED_VALUE"""),"Golden Residency")</f>
        <v>Golden Residency</v>
      </c>
      <c r="I985" s="1"/>
      <c r="J985" s="1" t="str">
        <f ca="1">IFERROR(__xludf.DUMMYFUNCTION("""COMPUTED_VALUE"""),"39d 16h 53m")</f>
        <v>39d 16h 53m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>
      <c r="A986" s="1">
        <f ca="1">IFERROR(__xludf.DUMMYFUNCTION("""COMPUTED_VALUE"""),119)</f>
        <v>119</v>
      </c>
      <c r="B986" s="1" t="str">
        <f ca="1">IFERROR(__xludf.DUMMYFUNCTION("""COMPUTED_VALUE"""),"NE3_KA049930_Tanker")</f>
        <v>NE3_KA049930_Tanker</v>
      </c>
      <c r="C986" s="1" t="str">
        <f ca="1">IFERROR(__xludf.DUMMYFUNCTION("""COMPUTED_VALUE"""),"ne3_ka049930_tanker")</f>
        <v>ne3_ka049930_tanker</v>
      </c>
      <c r="D986" s="2">
        <f ca="1">IFERROR(__xludf.DUMMYFUNCTION("""COMPUTED_VALUE"""),44765)</f>
        <v>44765</v>
      </c>
      <c r="E986" s="3">
        <f ca="1">IFERROR(__xludf.DUMMYFUNCTION("""COMPUTED_VALUE"""),0.563657407408754)</f>
        <v>0.56365740740875403</v>
      </c>
      <c r="F986" s="1">
        <f ca="1">IFERROR(__xludf.DUMMYFUNCTION("""COMPUTED_VALUE"""),30505)</f>
        <v>30505</v>
      </c>
      <c r="G986" s="1" t="str">
        <f ca="1">IFERROR(__xludf.DUMMYFUNCTION("""COMPUTED_VALUE"""),"13.0368/77.5894")</f>
        <v>13.0368/77.5894</v>
      </c>
      <c r="H986" s="1" t="str">
        <f ca="1">IFERROR(__xludf.DUMMYFUNCTION("""COMPUTED_VALUE"""),"Royal Orchid Resort &amp; Convention Centre")</f>
        <v>Royal Orchid Resort &amp; Convention Centre</v>
      </c>
      <c r="I986" s="1"/>
      <c r="J986" s="1" t="str">
        <f ca="1">IFERROR(__xludf.DUMMYFUNCTION("""COMPUTED_VALUE"""),"39d 16h 53m")</f>
        <v>39d 16h 53m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>
      <c r="A987" s="1">
        <f ca="1">IFERROR(__xludf.DUMMYFUNCTION("""COMPUTED_VALUE"""),136)</f>
        <v>136</v>
      </c>
      <c r="B987" s="1" t="str">
        <f ca="1">IFERROR(__xludf.DUMMYFUNCTION("""COMPUTED_VALUE"""),"NE3_KA049930_Tanker")</f>
        <v>NE3_KA049930_Tanker</v>
      </c>
      <c r="C987" s="1" t="str">
        <f ca="1">IFERROR(__xludf.DUMMYFUNCTION("""COMPUTED_VALUE"""),"ne3_ka049930_tanker")</f>
        <v>ne3_ka049930_tanker</v>
      </c>
      <c r="D987" s="2">
        <f ca="1">IFERROR(__xludf.DUMMYFUNCTION("""COMPUTED_VALUE"""),44796)</f>
        <v>44796</v>
      </c>
      <c r="E987" s="3">
        <f ca="1">IFERROR(__xludf.DUMMYFUNCTION("""COMPUTED_VALUE"""),0.439398148148029)</f>
        <v>0.43939814814802902</v>
      </c>
      <c r="F987" s="1">
        <f ca="1">IFERROR(__xludf.DUMMYFUNCTION("""COMPUTED_VALUE"""),30526)</f>
        <v>30526</v>
      </c>
      <c r="G987" s="1" t="str">
        <f ca="1">IFERROR(__xludf.DUMMYFUNCTION("""COMPUTED_VALUE"""),"13.0149/77.5734")</f>
        <v>13.0149/77.5734</v>
      </c>
      <c r="H987" s="1" t="str">
        <f ca="1">IFERROR(__xludf.DUMMYFUNCTION("""COMPUTED_VALUE"""),"Sankeys Reservoir")</f>
        <v>Sankeys Reservoir</v>
      </c>
      <c r="I987" s="1"/>
      <c r="J987" s="1" t="str">
        <f ca="1">IFERROR(__xludf.DUMMYFUNCTION("""COMPUTED_VALUE"""),"39d 16h 54m")</f>
        <v>39d 16h 54m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>
      <c r="A988" s="1">
        <f ca="1">IFERROR(__xludf.DUMMYFUNCTION("""COMPUTED_VALUE"""),90)</f>
        <v>90</v>
      </c>
      <c r="B988" s="1" t="str">
        <f ca="1">IFERROR(__xludf.DUMMYFUNCTION("""COMPUTED_VALUE"""),"NE3_KA049930_Tanker")</f>
        <v>NE3_KA049930_Tanker</v>
      </c>
      <c r="C988" s="1" t="str">
        <f ca="1">IFERROR(__xludf.DUMMYFUNCTION("""COMPUTED_VALUE"""),"ne3_ka049930_tanker")</f>
        <v>ne3_ka049930_tanker</v>
      </c>
      <c r="D988" s="2">
        <f ca="1">IFERROR(__xludf.DUMMYFUNCTION("""COMPUTED_VALUE"""),44813)</f>
        <v>44813</v>
      </c>
      <c r="E988" s="3">
        <f ca="1">IFERROR(__xludf.DUMMYFUNCTION("""COMPUTED_VALUE"""),0.69481481481489)</f>
        <v>0.69481481481489005</v>
      </c>
      <c r="F988" s="1">
        <f ca="1">IFERROR(__xludf.DUMMYFUNCTION("""COMPUTED_VALUE"""),30533)</f>
        <v>30533</v>
      </c>
      <c r="G988" s="1" t="str">
        <f ca="1">IFERROR(__xludf.DUMMYFUNCTION("""COMPUTED_VALUE"""),"13.0080/77.5693")</f>
        <v>13.0080/77.5693</v>
      </c>
      <c r="H988" s="1" t="str">
        <f ca="1">IFERROR(__xludf.DUMMYFUNCTION("""COMPUTED_VALUE"""),"Malleshwaram")</f>
        <v>Malleshwaram</v>
      </c>
      <c r="I988" s="1"/>
      <c r="J988" s="1" t="str">
        <f ca="1">IFERROR(__xludf.DUMMYFUNCTION("""COMPUTED_VALUE"""),"39d 16h 55m")</f>
        <v>39d 16h 55m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>
      <c r="A989" s="1">
        <f ca="1">IFERROR(__xludf.DUMMYFUNCTION("""COMPUTED_VALUE"""),111)</f>
        <v>111</v>
      </c>
      <c r="B989" s="1" t="str">
        <f ca="1">IFERROR(__xludf.DUMMYFUNCTION("""COMPUTED_VALUE"""),"NE3_KA049930_Tanker")</f>
        <v>NE3_KA049930_Tanker</v>
      </c>
      <c r="C989" s="1" t="str">
        <f ca="1">IFERROR(__xludf.DUMMYFUNCTION("""COMPUTED_VALUE"""),"ne3_ka049930_tanker")</f>
        <v>ne3_ka049930_tanker</v>
      </c>
      <c r="D989" s="2">
        <f ca="1">IFERROR(__xludf.DUMMYFUNCTION("""COMPUTED_VALUE"""),44859)</f>
        <v>44859</v>
      </c>
      <c r="E989" s="3">
        <f ca="1">IFERROR(__xludf.DUMMYFUNCTION("""COMPUTED_VALUE"""),0.507777777776937)</f>
        <v>0.507777777776937</v>
      </c>
      <c r="F989" s="1">
        <f ca="1">IFERROR(__xludf.DUMMYFUNCTION("""COMPUTED_VALUE"""),30540)</f>
        <v>30540</v>
      </c>
      <c r="G989" s="1" t="str">
        <f ca="1">IFERROR(__xludf.DUMMYFUNCTION("""COMPUTED_VALUE"""),"13.0107/77.5674")</f>
        <v>13.0107/77.5674</v>
      </c>
      <c r="H989" s="1" t="str">
        <f ca="1">IFERROR(__xludf.DUMMYFUNCTION("""COMPUTED_VALUE"""),"Malleshwaram")</f>
        <v>Malleshwaram</v>
      </c>
      <c r="I989" s="1"/>
      <c r="J989" s="1" t="str">
        <f ca="1">IFERROR(__xludf.DUMMYFUNCTION("""COMPUTED_VALUE"""),"39d 16h 56m")</f>
        <v>39d 16h 56m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>
      <c r="A990" s="1">
        <f ca="1">IFERROR(__xludf.DUMMYFUNCTION("""COMPUTED_VALUE"""),106)</f>
        <v>106</v>
      </c>
      <c r="B990" s="1" t="str">
        <f ca="1">IFERROR(__xludf.DUMMYFUNCTION("""COMPUTED_VALUE"""),"NE3_KA04A3042_Jetting")</f>
        <v>NE3_KA04A3042_Jetting</v>
      </c>
      <c r="C990" s="1" t="str">
        <f ca="1">IFERROR(__xludf.DUMMYFUNCTION("""COMPUTED_VALUE"""),"ne3_ka04a3042_jetting")</f>
        <v>ne3_ka04a3042_jetting</v>
      </c>
      <c r="D990" s="2">
        <f ca="1">IFERROR(__xludf.DUMMYFUNCTION("""COMPUTED_VALUE"""),44705)</f>
        <v>44705</v>
      </c>
      <c r="E990" s="3">
        <f ca="1">IFERROR(__xludf.DUMMYFUNCTION("""COMPUTED_VALUE"""),0.387511574073869)</f>
        <v>0.38751157407386899</v>
      </c>
      <c r="F990" s="1">
        <f ca="1">IFERROR(__xludf.DUMMYFUNCTION("""COMPUTED_VALUE"""),1594036)</f>
        <v>1594036</v>
      </c>
      <c r="G990" s="1" t="str">
        <f ca="1">IFERROR(__xludf.DUMMYFUNCTION("""COMPUTED_VALUE"""),"13.0109/77.5674")</f>
        <v>13.0109/77.5674</v>
      </c>
      <c r="H990" s="1" t="str">
        <f ca="1">IFERROR(__xludf.DUMMYFUNCTION("""COMPUTED_VALUE"""),"Malleshwaram")</f>
        <v>Malleshwaram</v>
      </c>
      <c r="I990" s="1"/>
      <c r="J990" s="1" t="str">
        <f ca="1">IFERROR(__xludf.DUMMYFUNCTION("""COMPUTED_VALUE"""),"0d 23h 45m")</f>
        <v>0d 23h 45m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>
      <c r="A991" s="1">
        <f ca="1">IFERROR(__xludf.DUMMYFUNCTION("""COMPUTED_VALUE"""),109)</f>
        <v>109</v>
      </c>
      <c r="B991" s="1" t="str">
        <f ca="1">IFERROR(__xludf.DUMMYFUNCTION("""COMPUTED_VALUE"""),"NE3_KA04A3042_Jetting")</f>
        <v>NE3_KA04A3042_Jetting</v>
      </c>
      <c r="C991" s="1" t="str">
        <f ca="1">IFERROR(__xludf.DUMMYFUNCTION("""COMPUTED_VALUE"""),"ne3_ka04a3042_jetting")</f>
        <v>ne3_ka04a3042_jetting</v>
      </c>
      <c r="D991" s="2">
        <f ca="1">IFERROR(__xludf.DUMMYFUNCTION("""COMPUTED_VALUE"""),44736)</f>
        <v>44736</v>
      </c>
      <c r="E991" s="3">
        <f ca="1">IFERROR(__xludf.DUMMYFUNCTION("""COMPUTED_VALUE"""),0.30299768518671)</f>
        <v>0.30299768518671</v>
      </c>
      <c r="F991" s="1">
        <f ca="1">IFERROR(__xludf.DUMMYFUNCTION("""COMPUTED_VALUE"""),1594036)</f>
        <v>1594036</v>
      </c>
      <c r="G991" s="1" t="str">
        <f ca="1">IFERROR(__xludf.DUMMYFUNCTION("""COMPUTED_VALUE"""),"13.0300/77.5701")</f>
        <v>13.0300/77.5701</v>
      </c>
      <c r="H991" s="1" t="str">
        <f ca="1">IFERROR(__xludf.DUMMYFUNCTION("""COMPUTED_VALUE"""),"Gedalhalli")</f>
        <v>Gedalhalli</v>
      </c>
      <c r="I991" s="1"/>
      <c r="J991" s="1" t="str">
        <f ca="1">IFERROR(__xludf.DUMMYFUNCTION("""COMPUTED_VALUE"""),"0d 23h 47m")</f>
        <v>0d 23h 47m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>
      <c r="A992" s="1">
        <f ca="1">IFERROR(__xludf.DUMMYFUNCTION("""COMPUTED_VALUE"""),68)</f>
        <v>68</v>
      </c>
      <c r="B992" s="1" t="str">
        <f ca="1">IFERROR(__xludf.DUMMYFUNCTION("""COMPUTED_VALUE"""),"NE3_KA04A3042_Jetting")</f>
        <v>NE3_KA04A3042_Jetting</v>
      </c>
      <c r="C992" s="1" t="str">
        <f ca="1">IFERROR(__xludf.DUMMYFUNCTION("""COMPUTED_VALUE"""),"ne3_ka04a3042_jetting")</f>
        <v>ne3_ka04a3042_jetting</v>
      </c>
      <c r="D992" s="2">
        <f ca="1">IFERROR(__xludf.DUMMYFUNCTION("""COMPUTED_VALUE"""),44736)</f>
        <v>44736</v>
      </c>
      <c r="E992" s="3">
        <f ca="1">IFERROR(__xludf.DUMMYFUNCTION("""COMPUTED_VALUE"""),0.30299768518671)</f>
        <v>0.30299768518671</v>
      </c>
      <c r="F992" s="1">
        <f ca="1">IFERROR(__xludf.DUMMYFUNCTION("""COMPUTED_VALUE"""),1594036)</f>
        <v>1594036</v>
      </c>
      <c r="G992" s="1" t="str">
        <f ca="1">IFERROR(__xludf.DUMMYFUNCTION("""COMPUTED_VALUE"""),"13.0300/77.5701")</f>
        <v>13.0300/77.5701</v>
      </c>
      <c r="H992" s="1" t="str">
        <f ca="1">IFERROR(__xludf.DUMMYFUNCTION("""COMPUTED_VALUE"""),"Gedalhalli")</f>
        <v>Gedalhalli</v>
      </c>
      <c r="I992" s="1"/>
      <c r="J992" s="1" t="str">
        <f ca="1">IFERROR(__xludf.DUMMYFUNCTION("""COMPUTED_VALUE"""),"0d 23h 47m")</f>
        <v>0d 23h 47m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>
      <c r="A993" s="1">
        <f ca="1">IFERROR(__xludf.DUMMYFUNCTION("""COMPUTED_VALUE"""),113)</f>
        <v>113</v>
      </c>
      <c r="B993" s="1" t="str">
        <f ca="1">IFERROR(__xludf.DUMMYFUNCTION("""COMPUTED_VALUE"""),"NE3_KA04A3042_Jetting")</f>
        <v>NE3_KA04A3042_Jetting</v>
      </c>
      <c r="C993" s="1" t="str">
        <f ca="1">IFERROR(__xludf.DUMMYFUNCTION("""COMPUTED_VALUE"""),"ne3_ka04a3042_jetting")</f>
        <v>ne3_ka04a3042_jetting</v>
      </c>
      <c r="D993" s="2">
        <f ca="1">IFERROR(__xludf.DUMMYFUNCTION("""COMPUTED_VALUE"""),44786)</f>
        <v>44786</v>
      </c>
      <c r="E993" s="3">
        <f ca="1">IFERROR(__xludf.DUMMYFUNCTION("""COMPUTED_VALUE"""),0.4847800925927)</f>
        <v>0.4847800925927</v>
      </c>
      <c r="F993" s="1">
        <f ca="1">IFERROR(__xludf.DUMMYFUNCTION("""COMPUTED_VALUE"""),1594039)</f>
        <v>1594039</v>
      </c>
      <c r="G993" s="1" t="str">
        <f ca="1">IFERROR(__xludf.DUMMYFUNCTION("""COMPUTED_VALUE"""),"13.0355/77.5696")</f>
        <v>13.0355/77.5696</v>
      </c>
      <c r="H993" s="1" t="str">
        <f ca="1">IFERROR(__xludf.DUMMYFUNCTION("""COMPUTED_VALUE"""),"Dollars Colony")</f>
        <v>Dollars Colony</v>
      </c>
      <c r="I993" s="1"/>
      <c r="J993" s="1" t="str">
        <f ca="1">IFERROR(__xludf.DUMMYFUNCTION("""COMPUTED_VALUE"""),"0d 23h 48m")</f>
        <v>0d 23h 48m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>
      <c r="A994" s="1">
        <f ca="1">IFERROR(__xludf.DUMMYFUNCTION("""COMPUTED_VALUE"""),74)</f>
        <v>74</v>
      </c>
      <c r="B994" s="1" t="str">
        <f ca="1">IFERROR(__xludf.DUMMYFUNCTION("""COMPUTED_VALUE"""),"NE3_KA04A3042_Jetting")</f>
        <v>NE3_KA04A3042_Jetting</v>
      </c>
      <c r="C994" s="1" t="str">
        <f ca="1">IFERROR(__xludf.DUMMYFUNCTION("""COMPUTED_VALUE"""),"ne3_ka04a3042_jetting")</f>
        <v>ne3_ka04a3042_jetting</v>
      </c>
      <c r="D994" s="2">
        <f ca="1">IFERROR(__xludf.DUMMYFUNCTION("""COMPUTED_VALUE"""),44786)</f>
        <v>44786</v>
      </c>
      <c r="E994" s="3">
        <f ca="1">IFERROR(__xludf.DUMMYFUNCTION("""COMPUTED_VALUE"""),0.4847800925927)</f>
        <v>0.4847800925927</v>
      </c>
      <c r="F994" s="1">
        <f ca="1">IFERROR(__xludf.DUMMYFUNCTION("""COMPUTED_VALUE"""),1594039)</f>
        <v>1594039</v>
      </c>
      <c r="G994" s="1" t="str">
        <f ca="1">IFERROR(__xludf.DUMMYFUNCTION("""COMPUTED_VALUE"""),"13.0355/77.5696")</f>
        <v>13.0355/77.5696</v>
      </c>
      <c r="H994" s="1" t="str">
        <f ca="1">IFERROR(__xludf.DUMMYFUNCTION("""COMPUTED_VALUE"""),"Dollars Colony")</f>
        <v>Dollars Colony</v>
      </c>
      <c r="I994" s="1"/>
      <c r="J994" s="1" t="str">
        <f ca="1">IFERROR(__xludf.DUMMYFUNCTION("""COMPUTED_VALUE"""),"0d 23h 49m")</f>
        <v>0d 23h 49m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>
      <c r="A995" s="1">
        <f ca="1">IFERROR(__xludf.DUMMYFUNCTION("""COMPUTED_VALUE"""),93)</f>
        <v>93</v>
      </c>
      <c r="B995" s="1" t="str">
        <f ca="1">IFERROR(__xludf.DUMMYFUNCTION("""COMPUTED_VALUE"""),"NE3_KA04A3042_Jetting")</f>
        <v>NE3_KA04A3042_Jetting</v>
      </c>
      <c r="C995" s="1" t="str">
        <f ca="1">IFERROR(__xludf.DUMMYFUNCTION("""COMPUTED_VALUE"""),"ne3_ka04a3042_jetting")</f>
        <v>ne3_ka04a3042_jetting</v>
      </c>
      <c r="D995" s="2">
        <f ca="1">IFERROR(__xludf.DUMMYFUNCTION("""COMPUTED_VALUE"""),44854)</f>
        <v>44854</v>
      </c>
      <c r="E995" s="3">
        <f ca="1">IFERROR(__xludf.DUMMYFUNCTION("""COMPUTED_VALUE"""),0.524895833332266)</f>
        <v>0.52489583333226597</v>
      </c>
      <c r="F995" s="1">
        <f ca="1">IFERROR(__xludf.DUMMYFUNCTION("""COMPUTED_VALUE"""),1594036)</f>
        <v>1594036</v>
      </c>
      <c r="G995" s="1"/>
      <c r="H995" s="1"/>
      <c r="I995" s="1"/>
      <c r="J995" s="1" t="str">
        <f ca="1">IFERROR(__xludf.DUMMYFUNCTION("""COMPUTED_VALUE"""),"0d 23h 50m")</f>
        <v>0d 23h 50m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>
      <c r="A996" s="1">
        <f ca="1">IFERROR(__xludf.DUMMYFUNCTION("""COMPUTED_VALUE"""),18)</f>
        <v>18</v>
      </c>
      <c r="B996" s="1" t="str">
        <f ca="1">IFERROR(__xludf.DUMMYFUNCTION("""COMPUTED_VALUE"""),"NE3_KA04A6215_Jetting")</f>
        <v>NE3_KA04A6215_Jetting</v>
      </c>
      <c r="C996" s="1" t="str">
        <f ca="1">IFERROR(__xludf.DUMMYFUNCTION("""COMPUTED_VALUE"""),"ne3_ka04a6215_jetting")</f>
        <v>ne3_ka04a6215_jetting</v>
      </c>
      <c r="D996" s="2">
        <f ca="1">IFERROR(__xludf.DUMMYFUNCTION("""COMPUTED_VALUE"""),43846)</f>
        <v>43846</v>
      </c>
      <c r="E996" s="3">
        <f ca="1">IFERROR(__xludf.DUMMYFUNCTION("""COMPUTED_VALUE"""),0.511284722222626)</f>
        <v>0.511284722222626</v>
      </c>
      <c r="F996" s="1">
        <f ca="1">IFERROR(__xludf.DUMMYFUNCTION("""COMPUTED_VALUE"""),17587)</f>
        <v>17587</v>
      </c>
      <c r="G996" s="1" t="str">
        <f ca="1">IFERROR(__xludf.DUMMYFUNCTION("""COMPUTED_VALUE"""),"13.0199/77.6093")</f>
        <v>13.0199/77.6093</v>
      </c>
      <c r="H996" s="1" t="str">
        <f ca="1">IFERROR(__xludf.DUMMYFUNCTION("""COMPUTED_VALUE"""),"KÄval Bhairsandra")</f>
        <v>KÄval Bhairsandra</v>
      </c>
      <c r="I996" s="1"/>
      <c r="J996" s="1" t="str">
        <f ca="1">IFERROR(__xludf.DUMMYFUNCTION("""COMPUTED_VALUE"""),"366d 20h 53m")</f>
        <v>366d 20h 53m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>
      <c r="A997" s="1">
        <f ca="1">IFERROR(__xludf.DUMMYFUNCTION("""COMPUTED_VALUE"""),18)</f>
        <v>18</v>
      </c>
      <c r="B997" s="1" t="str">
        <f ca="1">IFERROR(__xludf.DUMMYFUNCTION("""COMPUTED_VALUE"""),"NE3_KA04A6215_Jetting")</f>
        <v>NE3_KA04A6215_Jetting</v>
      </c>
      <c r="C997" s="1" t="str">
        <f ca="1">IFERROR(__xludf.DUMMYFUNCTION("""COMPUTED_VALUE"""),"ne3_ka04a6215_jetting")</f>
        <v>ne3_ka04a6215_jetting</v>
      </c>
      <c r="D997" s="2">
        <f ca="1">IFERROR(__xludf.DUMMYFUNCTION("""COMPUTED_VALUE"""),43846)</f>
        <v>43846</v>
      </c>
      <c r="E997" s="3">
        <f ca="1">IFERROR(__xludf.DUMMYFUNCTION("""COMPUTED_VALUE"""),0.511284722222626)</f>
        <v>0.511284722222626</v>
      </c>
      <c r="F997" s="1">
        <f ca="1">IFERROR(__xludf.DUMMYFUNCTION("""COMPUTED_VALUE"""),17587)</f>
        <v>17587</v>
      </c>
      <c r="G997" s="1" t="str">
        <f ca="1">IFERROR(__xludf.DUMMYFUNCTION("""COMPUTED_VALUE"""),"13.0199/77.6093")</f>
        <v>13.0199/77.6093</v>
      </c>
      <c r="H997" s="1" t="str">
        <f ca="1">IFERROR(__xludf.DUMMYFUNCTION("""COMPUTED_VALUE"""),"Keval Bhairsandra")</f>
        <v>Keval Bhairsandra</v>
      </c>
      <c r="I997" s="1"/>
      <c r="J997" s="1" t="str">
        <f ca="1">IFERROR(__xludf.DUMMYFUNCTION("""COMPUTED_VALUE"""),"366d 20h 54m")</f>
        <v>366d 20h 54m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>
      <c r="A998" s="1">
        <f ca="1">IFERROR(__xludf.DUMMYFUNCTION("""COMPUTED_VALUE"""),18)</f>
        <v>18</v>
      </c>
      <c r="B998" s="1" t="str">
        <f ca="1">IFERROR(__xludf.DUMMYFUNCTION("""COMPUTED_VALUE"""),"NE3_KA04A6215_Jetting")</f>
        <v>NE3_KA04A6215_Jetting</v>
      </c>
      <c r="C998" s="1" t="str">
        <f ca="1">IFERROR(__xludf.DUMMYFUNCTION("""COMPUTED_VALUE"""),"ne3_ka04a6215_jetting")</f>
        <v>ne3_ka04a6215_jetting</v>
      </c>
      <c r="D998" s="2">
        <f ca="1">IFERROR(__xludf.DUMMYFUNCTION("""COMPUTED_VALUE"""),43846)</f>
        <v>43846</v>
      </c>
      <c r="E998" s="3">
        <f ca="1">IFERROR(__xludf.DUMMYFUNCTION("""COMPUTED_VALUE"""),0.511284722222626)</f>
        <v>0.511284722222626</v>
      </c>
      <c r="F998" s="1">
        <f ca="1">IFERROR(__xludf.DUMMYFUNCTION("""COMPUTED_VALUE"""),17587)</f>
        <v>17587</v>
      </c>
      <c r="G998" s="1" t="str">
        <f ca="1">IFERROR(__xludf.DUMMYFUNCTION("""COMPUTED_VALUE"""),"13.0199/77.6093")</f>
        <v>13.0199/77.6093</v>
      </c>
      <c r="H998" s="1" t="str">
        <f ca="1">IFERROR(__xludf.DUMMYFUNCTION("""COMPUTED_VALUE"""),"Keval Bhairsandra")</f>
        <v>Keval Bhairsandra</v>
      </c>
      <c r="I998" s="1"/>
      <c r="J998" s="1" t="str">
        <f ca="1">IFERROR(__xludf.DUMMYFUNCTION("""COMPUTED_VALUE"""),"366d 20h 54m")</f>
        <v>366d 20h 54m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>
      <c r="A999" s="1">
        <f ca="1">IFERROR(__xludf.DUMMYFUNCTION("""COMPUTED_VALUE"""),18)</f>
        <v>18</v>
      </c>
      <c r="B999" s="1" t="str">
        <f ca="1">IFERROR(__xludf.DUMMYFUNCTION("""COMPUTED_VALUE"""),"NE3_KA04A6215_Jetting")</f>
        <v>NE3_KA04A6215_Jetting</v>
      </c>
      <c r="C999" s="1" t="str">
        <f ca="1">IFERROR(__xludf.DUMMYFUNCTION("""COMPUTED_VALUE"""),"ne3_ka04a6215_jetting")</f>
        <v>ne3_ka04a6215_jetting</v>
      </c>
      <c r="D999" s="2">
        <f ca="1">IFERROR(__xludf.DUMMYFUNCTION("""COMPUTED_VALUE"""),43846)</f>
        <v>43846</v>
      </c>
      <c r="E999" s="3">
        <f ca="1">IFERROR(__xludf.DUMMYFUNCTION("""COMPUTED_VALUE"""),0.511284722222626)</f>
        <v>0.511284722222626</v>
      </c>
      <c r="F999" s="1">
        <f ca="1">IFERROR(__xludf.DUMMYFUNCTION("""COMPUTED_VALUE"""),17587)</f>
        <v>17587</v>
      </c>
      <c r="G999" s="1" t="str">
        <f ca="1">IFERROR(__xludf.DUMMYFUNCTION("""COMPUTED_VALUE"""),"13.0199/77.6093")</f>
        <v>13.0199/77.6093</v>
      </c>
      <c r="H999" s="1" t="str">
        <f ca="1">IFERROR(__xludf.DUMMYFUNCTION("""COMPUTED_VALUE"""),"Keval Bhairsandra")</f>
        <v>Keval Bhairsandra</v>
      </c>
      <c r="I999" s="1"/>
      <c r="J999" s="1" t="str">
        <f ca="1">IFERROR(__xludf.DUMMYFUNCTION("""COMPUTED_VALUE"""),"366d 20h 55m")</f>
        <v>366d 20h 55m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2">
      <c r="A1000" s="1">
        <f ca="1">IFERROR(__xludf.DUMMYFUNCTION("""COMPUTED_VALUE"""),18)</f>
        <v>18</v>
      </c>
      <c r="B1000" s="1" t="str">
        <f ca="1">IFERROR(__xludf.DUMMYFUNCTION("""COMPUTED_VALUE"""),"NE3_KA04A6215_Jetting")</f>
        <v>NE3_KA04A6215_Jetting</v>
      </c>
      <c r="C1000" s="1" t="str">
        <f ca="1">IFERROR(__xludf.DUMMYFUNCTION("""COMPUTED_VALUE"""),"ne3_ka04a6215_jetting")</f>
        <v>ne3_ka04a6215_jetting</v>
      </c>
      <c r="D1000" s="2">
        <f ca="1">IFERROR(__xludf.DUMMYFUNCTION("""COMPUTED_VALUE"""),43846)</f>
        <v>43846</v>
      </c>
      <c r="E1000" s="3">
        <f ca="1">IFERROR(__xludf.DUMMYFUNCTION("""COMPUTED_VALUE"""),0.511284722222626)</f>
        <v>0.511284722222626</v>
      </c>
      <c r="F1000" s="1">
        <f ca="1">IFERROR(__xludf.DUMMYFUNCTION("""COMPUTED_VALUE"""),17587)</f>
        <v>17587</v>
      </c>
      <c r="G1000" s="1" t="str">
        <f ca="1">IFERROR(__xludf.DUMMYFUNCTION("""COMPUTED_VALUE"""),"13.0199/77.6093")</f>
        <v>13.0199/77.6093</v>
      </c>
      <c r="H1000" s="1" t="str">
        <f ca="1">IFERROR(__xludf.DUMMYFUNCTION("""COMPUTED_VALUE"""),"Keval Bhairsandra")</f>
        <v>Keval Bhairsandra</v>
      </c>
      <c r="I1000" s="1"/>
      <c r="J1000" s="1" t="str">
        <f ca="1">IFERROR(__xludf.DUMMYFUNCTION("""COMPUTED_VALUE"""),"366d 20h 56m")</f>
        <v>366d 20h 56m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.2">
      <c r="A1001" s="1">
        <f ca="1">IFERROR(__xludf.DUMMYFUNCTION("""COMPUTED_VALUE"""),18)</f>
        <v>18</v>
      </c>
      <c r="B1001" s="1" t="str">
        <f ca="1">IFERROR(__xludf.DUMMYFUNCTION("""COMPUTED_VALUE"""),"NE3_KA04A6215_Jetting")</f>
        <v>NE3_KA04A6215_Jetting</v>
      </c>
      <c r="C1001" s="1" t="str">
        <f ca="1">IFERROR(__xludf.DUMMYFUNCTION("""COMPUTED_VALUE"""),"ne3_ka04a6215_jetting")</f>
        <v>ne3_ka04a6215_jetting</v>
      </c>
      <c r="D1001" s="2">
        <f ca="1">IFERROR(__xludf.DUMMYFUNCTION("""COMPUTED_VALUE"""),43846)</f>
        <v>43846</v>
      </c>
      <c r="E1001" s="3">
        <f ca="1">IFERROR(__xludf.DUMMYFUNCTION("""COMPUTED_VALUE"""),0.511284722222626)</f>
        <v>0.511284722222626</v>
      </c>
      <c r="F1001" s="1">
        <f ca="1">IFERROR(__xludf.DUMMYFUNCTION("""COMPUTED_VALUE"""),17587)</f>
        <v>17587</v>
      </c>
      <c r="G1001" s="1" t="str">
        <f ca="1">IFERROR(__xludf.DUMMYFUNCTION("""COMPUTED_VALUE"""),"13.0199/77.6093")</f>
        <v>13.0199/77.6093</v>
      </c>
      <c r="H1001" s="1" t="str">
        <f ca="1">IFERROR(__xludf.DUMMYFUNCTION("""COMPUTED_VALUE"""),"Keval Bhairsandra")</f>
        <v>Keval Bhairsandra</v>
      </c>
      <c r="I1001" s="1"/>
      <c r="J1001" s="1" t="str">
        <f ca="1">IFERROR(__xludf.DUMMYFUNCTION("""COMPUTED_VALUE"""),"366d 20h 57m")</f>
        <v>366d 20h 57m</v>
      </c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.2">
      <c r="A1002" s="1">
        <f ca="1">IFERROR(__xludf.DUMMYFUNCTION("""COMPUTED_VALUE"""),132)</f>
        <v>132</v>
      </c>
      <c r="B1002" s="1" t="str">
        <f ca="1">IFERROR(__xludf.DUMMYFUNCTION("""COMPUTED_VALUE"""),"NE3_KA04AA1780_Desilting")</f>
        <v>NE3_KA04AA1780_Desilting</v>
      </c>
      <c r="C1002" s="1" t="str">
        <f ca="1">IFERROR(__xludf.DUMMYFUNCTION("""COMPUTED_VALUE"""),"ne3_ka04aa1780_desilting")</f>
        <v>ne3_ka04aa1780_desilting</v>
      </c>
      <c r="D1002" s="2">
        <f ca="1">IFERROR(__xludf.DUMMYFUNCTION("""COMPUTED_VALUE"""),44707)</f>
        <v>44707</v>
      </c>
      <c r="E1002" s="3">
        <f ca="1">IFERROR(__xludf.DUMMYFUNCTION("""COMPUTED_VALUE"""),0.674328703702485)</f>
        <v>0.67432870370248499</v>
      </c>
      <c r="F1002" s="1">
        <f ca="1">IFERROR(__xludf.DUMMYFUNCTION("""COMPUTED_VALUE"""),14122)</f>
        <v>14122</v>
      </c>
      <c r="G1002" s="1" t="str">
        <f ca="1">IFERROR(__xludf.DUMMYFUNCTION("""COMPUTED_VALUE"""),"13.0340/77.5991")</f>
        <v>13.0340/77.5991</v>
      </c>
      <c r="H1002" s="1" t="str">
        <f ca="1">IFERROR(__xludf.DUMMYFUNCTION("""COMPUTED_VALUE"""),"CholnÄikanhalli")</f>
        <v>CholnÄikanhalli</v>
      </c>
      <c r="I1002" s="1"/>
      <c r="J1002" s="1" t="str">
        <f ca="1">IFERROR(__xludf.DUMMYFUNCTION("""COMPUTED_VALUE"""),"0d 01h 10m")</f>
        <v>0d 01h 10m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.2">
      <c r="A1003" s="1">
        <f ca="1">IFERROR(__xludf.DUMMYFUNCTION("""COMPUTED_VALUE"""),98)</f>
        <v>98</v>
      </c>
      <c r="B1003" s="1" t="str">
        <f ca="1">IFERROR(__xludf.DUMMYFUNCTION("""COMPUTED_VALUE"""),"NE3_KA04AA1780_Desilting")</f>
        <v>NE3_KA04AA1780_Desilting</v>
      </c>
      <c r="C1003" s="1" t="str">
        <f ca="1">IFERROR(__xludf.DUMMYFUNCTION("""COMPUTED_VALUE"""),"ne3_ka04aa1780_desilting")</f>
        <v>ne3_ka04aa1780_desilting</v>
      </c>
      <c r="D1003" s="2">
        <f ca="1">IFERROR(__xludf.DUMMYFUNCTION("""COMPUTED_VALUE"""),44733)</f>
        <v>44733</v>
      </c>
      <c r="E1003" s="3">
        <f ca="1">IFERROR(__xludf.DUMMYFUNCTION("""COMPUTED_VALUE"""),0.4018402777765)</f>
        <v>0.4018402777765</v>
      </c>
      <c r="F1003" s="1">
        <f ca="1">IFERROR(__xludf.DUMMYFUNCTION("""COMPUTED_VALUE"""),14157)</f>
        <v>14157</v>
      </c>
      <c r="G1003" s="1" t="str">
        <f ca="1">IFERROR(__xludf.DUMMYFUNCTION("""COMPUTED_VALUE"""),"13.0316/77.5899")</f>
        <v>13.0316/77.5899</v>
      </c>
      <c r="H1003" s="1" t="str">
        <f ca="1">IFERROR(__xludf.DUMMYFUNCTION("""COMPUTED_VALUE"""),"Ananda Nagar")</f>
        <v>Ananda Nagar</v>
      </c>
      <c r="I1003" s="1"/>
      <c r="J1003" s="1" t="str">
        <f ca="1">IFERROR(__xludf.DUMMYFUNCTION("""COMPUTED_VALUE"""),"0d 01h 11m")</f>
        <v>0d 01h 11m</v>
      </c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.2">
      <c r="A1004" s="1">
        <f ca="1">IFERROR(__xludf.DUMMYFUNCTION("""COMPUTED_VALUE"""),98)</f>
        <v>98</v>
      </c>
      <c r="B1004" s="1" t="str">
        <f ca="1">IFERROR(__xludf.DUMMYFUNCTION("""COMPUTED_VALUE"""),"NE3_KA04AA1780_Desilting")</f>
        <v>NE3_KA04AA1780_Desilting</v>
      </c>
      <c r="C1004" s="1" t="str">
        <f ca="1">IFERROR(__xludf.DUMMYFUNCTION("""COMPUTED_VALUE"""),"ne3_ka04aa1780_desilting")</f>
        <v>ne3_ka04aa1780_desilting</v>
      </c>
      <c r="D1004" s="2">
        <f ca="1">IFERROR(__xludf.DUMMYFUNCTION("""COMPUTED_VALUE"""),44757)</f>
        <v>44757</v>
      </c>
      <c r="E1004" s="3">
        <f ca="1">IFERROR(__xludf.DUMMYFUNCTION("""COMPUTED_VALUE"""),0.554548611111386)</f>
        <v>0.55454861111138598</v>
      </c>
      <c r="F1004" s="1">
        <f ca="1">IFERROR(__xludf.DUMMYFUNCTION("""COMPUTED_VALUE"""),14763)</f>
        <v>14763</v>
      </c>
      <c r="G1004" s="1" t="str">
        <f ca="1">IFERROR(__xludf.DUMMYFUNCTION("""COMPUTED_VALUE"""),"13.1572/77.6855")</f>
        <v>13.1572/77.6855</v>
      </c>
      <c r="H1004" s="1" t="str">
        <f ca="1">IFERROR(__xludf.DUMMYFUNCTION("""COMPUTED_VALUE"""),"Huvinaikanhalli")</f>
        <v>Huvinaikanhalli</v>
      </c>
      <c r="I1004" s="1"/>
      <c r="J1004" s="1" t="str">
        <f ca="1">IFERROR(__xludf.DUMMYFUNCTION("""COMPUTED_VALUE"""),"0d 01h 12m")</f>
        <v>0d 01h 12m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.2">
      <c r="A1005" s="1">
        <f ca="1">IFERROR(__xludf.DUMMYFUNCTION("""COMPUTED_VALUE"""),130)</f>
        <v>130</v>
      </c>
      <c r="B1005" s="1" t="str">
        <f ca="1">IFERROR(__xludf.DUMMYFUNCTION("""COMPUTED_VALUE"""),"NE3_KA04AA1780_Desilting")</f>
        <v>NE3_KA04AA1780_Desilting</v>
      </c>
      <c r="C1005" s="1" t="str">
        <f ca="1">IFERROR(__xludf.DUMMYFUNCTION("""COMPUTED_VALUE"""),"ne3_ka04aa1780_desilting")</f>
        <v>ne3_ka04aa1780_desilting</v>
      </c>
      <c r="D1005" s="2">
        <f ca="1">IFERROR(__xludf.DUMMYFUNCTION("""COMPUTED_VALUE"""),44795)</f>
        <v>44795</v>
      </c>
      <c r="E1005" s="3">
        <f ca="1">IFERROR(__xludf.DUMMYFUNCTION("""COMPUTED_VALUE"""),0.51171296296161)</f>
        <v>0.51171296296160995</v>
      </c>
      <c r="F1005" s="1">
        <f ca="1">IFERROR(__xludf.DUMMYFUNCTION("""COMPUTED_VALUE"""),14822)</f>
        <v>14822</v>
      </c>
      <c r="G1005" s="1" t="str">
        <f ca="1">IFERROR(__xludf.DUMMYFUNCTION("""COMPUTED_VALUE"""),"13.0367/77.6038")</f>
        <v>13.0367/77.6038</v>
      </c>
      <c r="H1005" s="1" t="str">
        <f ca="1">IFERROR(__xludf.DUMMYFUNCTION("""COMPUTED_VALUE"""),"Kanaka Nagar")</f>
        <v>Kanaka Nagar</v>
      </c>
      <c r="I1005" s="1"/>
      <c r="J1005" s="1" t="str">
        <f ca="1">IFERROR(__xludf.DUMMYFUNCTION("""COMPUTED_VALUE"""),"0d 01h 13m")</f>
        <v>0d 01h 13m</v>
      </c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.2">
      <c r="A1006" s="1">
        <f ca="1">IFERROR(__xludf.DUMMYFUNCTION("""COMPUTED_VALUE"""),125)</f>
        <v>125</v>
      </c>
      <c r="B1006" s="1" t="str">
        <f ca="1">IFERROR(__xludf.DUMMYFUNCTION("""COMPUTED_VALUE"""),"NE3_KA04AA1780_Desilting")</f>
        <v>NE3_KA04AA1780_Desilting</v>
      </c>
      <c r="C1006" s="1" t="str">
        <f ca="1">IFERROR(__xludf.DUMMYFUNCTION("""COMPUTED_VALUE"""),"ne3_ka04aa1780_desilting")</f>
        <v>ne3_ka04aa1780_desilting</v>
      </c>
      <c r="D1006" s="2">
        <f ca="1">IFERROR(__xludf.DUMMYFUNCTION("""COMPUTED_VALUE"""),44827)</f>
        <v>44827</v>
      </c>
      <c r="E1006" s="3">
        <f ca="1">IFERROR(__xludf.DUMMYFUNCTION("""COMPUTED_VALUE"""),0.670046296298096)</f>
        <v>0.67004629629809598</v>
      </c>
      <c r="F1006" s="1">
        <f ca="1">IFERROR(__xludf.DUMMYFUNCTION("""COMPUTED_VALUE"""),14852)</f>
        <v>14852</v>
      </c>
      <c r="G1006" s="1" t="str">
        <f ca="1">IFERROR(__xludf.DUMMYFUNCTION("""COMPUTED_VALUE"""),"13.0254/77.5831")</f>
        <v>13.0254/77.5831</v>
      </c>
      <c r="H1006" s="1" t="str">
        <f ca="1">IFERROR(__xludf.DUMMYFUNCTION("""COMPUTED_VALUE"""),"CBI")</f>
        <v>CBI</v>
      </c>
      <c r="I1006" s="1"/>
      <c r="J1006" s="1" t="str">
        <f ca="1">IFERROR(__xludf.DUMMYFUNCTION("""COMPUTED_VALUE"""),"0d 01h 13m")</f>
        <v>0d 01h 13m</v>
      </c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.2">
      <c r="A1007" s="1">
        <f ca="1">IFERROR(__xludf.DUMMYFUNCTION("""COMPUTED_VALUE"""),86)</f>
        <v>86</v>
      </c>
      <c r="B1007" s="1" t="str">
        <f ca="1">IFERROR(__xludf.DUMMYFUNCTION("""COMPUTED_VALUE"""),"NE3_KA04AA1780_Desilting")</f>
        <v>NE3_KA04AA1780_Desilting</v>
      </c>
      <c r="C1007" s="1" t="str">
        <f ca="1">IFERROR(__xludf.DUMMYFUNCTION("""COMPUTED_VALUE"""),"ne3_ka04aa1780_desilting")</f>
        <v>ne3_ka04aa1780_desilting</v>
      </c>
      <c r="D1007" s="2">
        <f ca="1">IFERROR(__xludf.DUMMYFUNCTION("""COMPUTED_VALUE"""),44849)</f>
        <v>44849</v>
      </c>
      <c r="E1007" s="3">
        <f ca="1">IFERROR(__xludf.DUMMYFUNCTION("""COMPUTED_VALUE"""),0.471585648148902)</f>
        <v>0.47158564814890203</v>
      </c>
      <c r="F1007" s="1">
        <f ca="1">IFERROR(__xludf.DUMMYFUNCTION("""COMPUTED_VALUE"""),14858)</f>
        <v>14858</v>
      </c>
      <c r="G1007" s="1" t="str">
        <f ca="1">IFERROR(__xludf.DUMMYFUNCTION("""COMPUTED_VALUE"""),"13.0090/77.5634")</f>
        <v>13.0090/77.5634</v>
      </c>
      <c r="H1007" s="1" t="str">
        <f ca="1">IFERROR(__xludf.DUMMYFUNCTION("""COMPUTED_VALUE"""),"Malleshwaram")</f>
        <v>Malleshwaram</v>
      </c>
      <c r="I1007" s="1"/>
      <c r="J1007" s="1" t="str">
        <f ca="1">IFERROR(__xludf.DUMMYFUNCTION("""COMPUTED_VALUE"""),"0d 01h 14m")</f>
        <v>0d 01h 14m</v>
      </c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.2">
      <c r="A1008" s="1">
        <f ca="1">IFERROR(__xludf.DUMMYFUNCTION("""COMPUTED_VALUE"""),98)</f>
        <v>98</v>
      </c>
      <c r="B1008" s="1" t="str">
        <f ca="1">IFERROR(__xludf.DUMMYFUNCTION("""COMPUTED_VALUE"""),"NE3_KA04AA1781_Desilting")</f>
        <v>NE3_KA04AA1781_Desilting</v>
      </c>
      <c r="C1008" s="1" t="str">
        <f ca="1">IFERROR(__xludf.DUMMYFUNCTION("""COMPUTED_VALUE"""),"ne3_ka04aa1781_desilting")</f>
        <v>ne3_ka04aa1781_desilting</v>
      </c>
      <c r="D1008" s="2">
        <f ca="1">IFERROR(__xludf.DUMMYFUNCTION("""COMPUTED_VALUE"""),44702)</f>
        <v>44702</v>
      </c>
      <c r="E1008" s="3">
        <f ca="1">IFERROR(__xludf.DUMMYFUNCTION("""COMPUTED_VALUE"""),0.875625000000582)</f>
        <v>0.87562500000058197</v>
      </c>
      <c r="F1008" s="1">
        <f ca="1">IFERROR(__xludf.DUMMYFUNCTION("""COMPUTED_VALUE"""),12788)</f>
        <v>12788</v>
      </c>
      <c r="G1008" s="1"/>
      <c r="H1008" s="1"/>
      <c r="I1008" s="1"/>
      <c r="J1008" s="1" t="str">
        <f ca="1">IFERROR(__xludf.DUMMYFUNCTION("""COMPUTED_VALUE"""),"0d 00h 00m")</f>
        <v>0d 00h 00m</v>
      </c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.2">
      <c r="A1009" s="1">
        <f ca="1">IFERROR(__xludf.DUMMYFUNCTION("""COMPUTED_VALUE"""),116)</f>
        <v>116</v>
      </c>
      <c r="B1009" s="1" t="str">
        <f ca="1">IFERROR(__xludf.DUMMYFUNCTION("""COMPUTED_VALUE"""),"NE3_KA04AA1781_Desilting")</f>
        <v>NE3_KA04AA1781_Desilting</v>
      </c>
      <c r="C1009" s="1" t="str">
        <f ca="1">IFERROR(__xludf.DUMMYFUNCTION("""COMPUTED_VALUE"""),"ne3_ka04aa1781_desilting")</f>
        <v>ne3_ka04aa1781_desilting</v>
      </c>
      <c r="D1009" s="2">
        <f ca="1">IFERROR(__xludf.DUMMYFUNCTION("""COMPUTED_VALUE"""),44737)</f>
        <v>44737</v>
      </c>
      <c r="E1009" s="3">
        <f ca="1">IFERROR(__xludf.DUMMYFUNCTION("""COMPUTED_VALUE"""),0.368391203704959)</f>
        <v>0.36839120370495898</v>
      </c>
      <c r="F1009" s="1">
        <f ca="1">IFERROR(__xludf.DUMMYFUNCTION("""COMPUTED_VALUE"""),12823)</f>
        <v>12823</v>
      </c>
      <c r="G1009" s="1" t="str">
        <f ca="1">IFERROR(__xludf.DUMMYFUNCTION("""COMPUTED_VALUE"""),"13.0232/77.5937")</f>
        <v>13.0232/77.5937</v>
      </c>
      <c r="H1009" s="1" t="str">
        <f ca="1">IFERROR(__xludf.DUMMYFUNCTION("""COMPUTED_VALUE"""),"Coreltree")</f>
        <v>Coreltree</v>
      </c>
      <c r="I1009" s="1"/>
      <c r="J1009" s="1" t="str">
        <f ca="1">IFERROR(__xludf.DUMMYFUNCTION("""COMPUTED_VALUE"""),"0d 00h 00m")</f>
        <v>0d 00h 00m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.2">
      <c r="A1010" s="1">
        <f ca="1">IFERROR(__xludf.DUMMYFUNCTION("""COMPUTED_VALUE"""),192)</f>
        <v>192</v>
      </c>
      <c r="B1010" s="1" t="str">
        <f ca="1">IFERROR(__xludf.DUMMYFUNCTION("""COMPUTED_VALUE"""),"NE3_KA04AA1781_Desilting")</f>
        <v>NE3_KA04AA1781_Desilting</v>
      </c>
      <c r="C1010" s="1" t="str">
        <f ca="1">IFERROR(__xludf.DUMMYFUNCTION("""COMPUTED_VALUE"""),"ne3_ka04aa1781_desilting")</f>
        <v>ne3_ka04aa1781_desilting</v>
      </c>
      <c r="D1010" s="2">
        <f ca="1">IFERROR(__xludf.DUMMYFUNCTION("""COMPUTED_VALUE"""),44768)</f>
        <v>44768</v>
      </c>
      <c r="E1010" s="3">
        <f ca="1">IFERROR(__xludf.DUMMYFUNCTION("""COMPUTED_VALUE"""),0.999085648149048)</f>
        <v>0.99908564814904799</v>
      </c>
      <c r="F1010" s="1">
        <f ca="1">IFERROR(__xludf.DUMMYFUNCTION("""COMPUTED_VALUE"""),13122)</f>
        <v>13122</v>
      </c>
      <c r="G1010" s="1" t="str">
        <f ca="1">IFERROR(__xludf.DUMMYFUNCTION("""COMPUTED_VALUE"""),"13.0233/77.5937")</f>
        <v>13.0233/77.5937</v>
      </c>
      <c r="H1010" s="1" t="str">
        <f ca="1">IFERROR(__xludf.DUMMYFUNCTION("""COMPUTED_VALUE"""),"Coreltree")</f>
        <v>Coreltree</v>
      </c>
      <c r="I1010" s="1"/>
      <c r="J1010" s="1" t="str">
        <f ca="1">IFERROR(__xludf.DUMMYFUNCTION("""COMPUTED_VALUE"""),"0d 00h 00m")</f>
        <v>0d 00h 00m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.2">
      <c r="A1011" s="1">
        <f ca="1">IFERROR(__xludf.DUMMYFUNCTION("""COMPUTED_VALUE"""),200)</f>
        <v>200</v>
      </c>
      <c r="B1011" s="1" t="str">
        <f ca="1">IFERROR(__xludf.DUMMYFUNCTION("""COMPUTED_VALUE"""),"NE3_KA04AA1781_Desilting")</f>
        <v>NE3_KA04AA1781_Desilting</v>
      </c>
      <c r="C1011" s="1" t="str">
        <f ca="1">IFERROR(__xludf.DUMMYFUNCTION("""COMPUTED_VALUE"""),"ne3_ka04aa1781_desilting")</f>
        <v>ne3_ka04aa1781_desilting</v>
      </c>
      <c r="D1011" s="2">
        <f ca="1">IFERROR(__xludf.DUMMYFUNCTION("""COMPUTED_VALUE"""),44799)</f>
        <v>44799</v>
      </c>
      <c r="E1011" s="3">
        <f ca="1">IFERROR(__xludf.DUMMYFUNCTION("""COMPUTED_VALUE"""),0.999120370372111)</f>
        <v>0.99912037037211099</v>
      </c>
      <c r="F1011" s="1">
        <f ca="1">IFERROR(__xludf.DUMMYFUNCTION("""COMPUTED_VALUE"""),13539)</f>
        <v>13539</v>
      </c>
      <c r="G1011" s="1" t="str">
        <f ca="1">IFERROR(__xludf.DUMMYFUNCTION("""COMPUTED_VALUE"""),"13.0238/77.5944")</f>
        <v>13.0238/77.5944</v>
      </c>
      <c r="H1011" s="1" t="str">
        <f ca="1">IFERROR(__xludf.DUMMYFUNCTION("""COMPUTED_VALUE"""),"HMT Layout")</f>
        <v>HMT Layout</v>
      </c>
      <c r="I1011" s="1"/>
      <c r="J1011" s="1" t="str">
        <f ca="1">IFERROR(__xludf.DUMMYFUNCTION("""COMPUTED_VALUE"""),"0d 00h 00m")</f>
        <v>0d 00h 00m</v>
      </c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.2">
      <c r="A1012" s="1">
        <f ca="1">IFERROR(__xludf.DUMMYFUNCTION("""COMPUTED_VALUE"""),214)</f>
        <v>214</v>
      </c>
      <c r="B1012" s="1" t="str">
        <f ca="1">IFERROR(__xludf.DUMMYFUNCTION("""COMPUTED_VALUE"""),"NE3_KA04AA1781_Desilting")</f>
        <v>NE3_KA04AA1781_Desilting</v>
      </c>
      <c r="C1012" s="1" t="str">
        <f ca="1">IFERROR(__xludf.DUMMYFUNCTION("""COMPUTED_VALUE"""),"ne3_ka04aa1781_desilting")</f>
        <v>ne3_ka04aa1781_desilting</v>
      </c>
      <c r="D1012" s="2">
        <f ca="1">IFERROR(__xludf.DUMMYFUNCTION("""COMPUTED_VALUE"""),44830)</f>
        <v>44830</v>
      </c>
      <c r="E1012" s="3">
        <f ca="1">IFERROR(__xludf.DUMMYFUNCTION("""COMPUTED_VALUE"""),0.99921296296452)</f>
        <v>0.99921296296452</v>
      </c>
      <c r="F1012" s="1">
        <f ca="1">IFERROR(__xludf.DUMMYFUNCTION("""COMPUTED_VALUE"""),13781)</f>
        <v>13781</v>
      </c>
      <c r="G1012" s="1" t="str">
        <f ca="1">IFERROR(__xludf.DUMMYFUNCTION("""COMPUTED_VALUE"""),"13.0231/77.5938")</f>
        <v>13.0231/77.5938</v>
      </c>
      <c r="H1012" s="1" t="str">
        <f ca="1">IFERROR(__xludf.DUMMYFUNCTION("""COMPUTED_VALUE"""),"Coreltree")</f>
        <v>Coreltree</v>
      </c>
      <c r="I1012" s="1"/>
      <c r="J1012" s="1" t="str">
        <f ca="1">IFERROR(__xludf.DUMMYFUNCTION("""COMPUTED_VALUE"""),"0d 00h 00m")</f>
        <v>0d 00h 00m</v>
      </c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.2">
      <c r="A1013" s="1">
        <f ca="1">IFERROR(__xludf.DUMMYFUNCTION("""COMPUTED_VALUE"""),109)</f>
        <v>109</v>
      </c>
      <c r="B1013" s="1" t="str">
        <f ca="1">IFERROR(__xludf.DUMMYFUNCTION("""COMPUTED_VALUE"""),"NE3_KA04AA1781_Desilting")</f>
        <v>NE3_KA04AA1781_Desilting</v>
      </c>
      <c r="C1013" s="1" t="str">
        <f ca="1">IFERROR(__xludf.DUMMYFUNCTION("""COMPUTED_VALUE"""),"ne3_ka04aa1781_desilting")</f>
        <v>ne3_ka04aa1781_desilting</v>
      </c>
      <c r="D1013" s="2">
        <f ca="1">IFERROR(__xludf.DUMMYFUNCTION("""COMPUTED_VALUE"""),44859)</f>
        <v>44859</v>
      </c>
      <c r="E1013" s="3">
        <f ca="1">IFERROR(__xludf.DUMMYFUNCTION("""COMPUTED_VALUE"""),0.412280092594301)</f>
        <v>0.41228009259430098</v>
      </c>
      <c r="F1013" s="1">
        <f ca="1">IFERROR(__xludf.DUMMYFUNCTION("""COMPUTED_VALUE"""),13944)</f>
        <v>13944</v>
      </c>
      <c r="G1013" s="1" t="str">
        <f ca="1">IFERROR(__xludf.DUMMYFUNCTION("""COMPUTED_VALUE"""),"13.0231/77.5938")</f>
        <v>13.0231/77.5938</v>
      </c>
      <c r="H1013" s="1" t="str">
        <f ca="1">IFERROR(__xludf.DUMMYFUNCTION("""COMPUTED_VALUE"""),"Coreltree")</f>
        <v>Coreltree</v>
      </c>
      <c r="I1013" s="1"/>
      <c r="J1013" s="1" t="str">
        <f ca="1">IFERROR(__xludf.DUMMYFUNCTION("""COMPUTED_VALUE"""),"0d 00h 00m")</f>
        <v>0d 00h 00m</v>
      </c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.2">
      <c r="A1014" s="1">
        <f ca="1">IFERROR(__xludf.DUMMYFUNCTION("""COMPUTED_VALUE"""),121)</f>
        <v>121</v>
      </c>
      <c r="B1014" s="1" t="str">
        <f ca="1">IFERROR(__xludf.DUMMYFUNCTION("""COMPUTED_VALUE"""),"NE3_KA04AA1782_Desilting")</f>
        <v>NE3_KA04AA1782_Desilting</v>
      </c>
      <c r="C1014" s="1" t="str">
        <f ca="1">IFERROR(__xludf.DUMMYFUNCTION("""COMPUTED_VALUE"""),"ne3_ka04aa1782_desilting")</f>
        <v>ne3_ka04aa1782_desilting</v>
      </c>
      <c r="D1014" s="2">
        <f ca="1">IFERROR(__xludf.DUMMYFUNCTION("""COMPUTED_VALUE"""),44707)</f>
        <v>44707</v>
      </c>
      <c r="E1014" s="3">
        <f ca="1">IFERROR(__xludf.DUMMYFUNCTION("""COMPUTED_VALUE"""),0.346180555556202)</f>
        <v>0.34618055555620197</v>
      </c>
      <c r="F1014" s="1">
        <f ca="1">IFERROR(__xludf.DUMMYFUNCTION("""COMPUTED_VALUE"""),18134)</f>
        <v>18134</v>
      </c>
      <c r="G1014" s="1" t="str">
        <f ca="1">IFERROR(__xludf.DUMMYFUNCTION("""COMPUTED_VALUE"""),"13.0296/77.5702")</f>
        <v>13.0296/77.5702</v>
      </c>
      <c r="H1014" s="1" t="str">
        <f ca="1">IFERROR(__xludf.DUMMYFUNCTION("""COMPUTED_VALUE"""),"Gedalhalli")</f>
        <v>Gedalhalli</v>
      </c>
      <c r="I1014" s="1"/>
      <c r="J1014" s="1" t="str">
        <f ca="1">IFERROR(__xludf.DUMMYFUNCTION("""COMPUTED_VALUE"""),"0d 07h 57m")</f>
        <v>0d 07h 57m</v>
      </c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.2">
      <c r="A1015" s="1">
        <f ca="1">IFERROR(__xludf.DUMMYFUNCTION("""COMPUTED_VALUE"""),108)</f>
        <v>108</v>
      </c>
      <c r="B1015" s="1" t="str">
        <f ca="1">IFERROR(__xludf.DUMMYFUNCTION("""COMPUTED_VALUE"""),"NE3_KA04AA1782_Desilting")</f>
        <v>NE3_KA04AA1782_Desilting</v>
      </c>
      <c r="C1015" s="1" t="str">
        <f ca="1">IFERROR(__xludf.DUMMYFUNCTION("""COMPUTED_VALUE"""),"ne3_ka04aa1782_desilting")</f>
        <v>ne3_ka04aa1782_desilting</v>
      </c>
      <c r="D1015" s="2">
        <f ca="1">IFERROR(__xludf.DUMMYFUNCTION("""COMPUTED_VALUE"""),44735)</f>
        <v>44735</v>
      </c>
      <c r="E1015" s="3">
        <f ca="1">IFERROR(__xludf.DUMMYFUNCTION("""COMPUTED_VALUE"""),0.538576388888031)</f>
        <v>0.53857638888803105</v>
      </c>
      <c r="F1015" s="1">
        <f ca="1">IFERROR(__xludf.DUMMYFUNCTION("""COMPUTED_VALUE"""),18183)</f>
        <v>18183</v>
      </c>
      <c r="G1015" s="1" t="str">
        <f ca="1">IFERROR(__xludf.DUMMYFUNCTION("""COMPUTED_VALUE"""),"13.0456/77.5927")</f>
        <v>13.0456/77.5927</v>
      </c>
      <c r="H1015" s="1" t="str">
        <f ca="1">IFERROR(__xludf.DUMMYFUNCTION("""COMPUTED_VALUE"""),"Bellary Rd")</f>
        <v>Bellary Rd</v>
      </c>
      <c r="I1015" s="1"/>
      <c r="J1015" s="1" t="str">
        <f ca="1">IFERROR(__xludf.DUMMYFUNCTION("""COMPUTED_VALUE"""),"0d 07h 58m")</f>
        <v>0d 07h 58m</v>
      </c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.2">
      <c r="A1016" s="1">
        <f ca="1">IFERROR(__xludf.DUMMYFUNCTION("""COMPUTED_VALUE"""),97)</f>
        <v>97</v>
      </c>
      <c r="B1016" s="1" t="str">
        <f ca="1">IFERROR(__xludf.DUMMYFUNCTION("""COMPUTED_VALUE"""),"NE3_KA04AA1782_Desilting")</f>
        <v>NE3_KA04AA1782_Desilting</v>
      </c>
      <c r="C1016" s="1" t="str">
        <f ca="1">IFERROR(__xludf.DUMMYFUNCTION("""COMPUTED_VALUE"""),"ne3_ka04aa1782_desilting")</f>
        <v>ne3_ka04aa1782_desilting</v>
      </c>
      <c r="D1016" s="2">
        <f ca="1">IFERROR(__xludf.DUMMYFUNCTION("""COMPUTED_VALUE"""),44756)</f>
        <v>44756</v>
      </c>
      <c r="E1016" s="3">
        <f ca="1">IFERROR(__xludf.DUMMYFUNCTION("""COMPUTED_VALUE"""),0.647766203703213)</f>
        <v>0.64776620370321303</v>
      </c>
      <c r="F1016" s="1">
        <f ca="1">IFERROR(__xludf.DUMMYFUNCTION("""COMPUTED_VALUE"""),18197)</f>
        <v>18197</v>
      </c>
      <c r="G1016" s="1" t="str">
        <f ca="1">IFERROR(__xludf.DUMMYFUNCTION("""COMPUTED_VALUE"""),"13.0284/77.5719")</f>
        <v>13.0284/77.5719</v>
      </c>
      <c r="H1016" s="1" t="str">
        <f ca="1">IFERROR(__xludf.DUMMYFUNCTION("""COMPUTED_VALUE"""),"Gedalhalli")</f>
        <v>Gedalhalli</v>
      </c>
      <c r="I1016" s="1"/>
      <c r="J1016" s="1" t="str">
        <f ca="1">IFERROR(__xludf.DUMMYFUNCTION("""COMPUTED_VALUE"""),"0d 07h 59m")</f>
        <v>0d 07h 59m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.2">
      <c r="A1017" s="1">
        <f ca="1">IFERROR(__xludf.DUMMYFUNCTION("""COMPUTED_VALUE"""),76)</f>
        <v>76</v>
      </c>
      <c r="B1017" s="1" t="str">
        <f ca="1">IFERROR(__xludf.DUMMYFUNCTION("""COMPUTED_VALUE"""),"NE3_KA04AA1782_Desilting")</f>
        <v>NE3_KA04AA1782_Desilting</v>
      </c>
      <c r="C1017" s="1" t="str">
        <f ca="1">IFERROR(__xludf.DUMMYFUNCTION("""COMPUTED_VALUE"""),"ne3_ka04aa1782_desilting")</f>
        <v>ne3_ka04aa1782_desilting</v>
      </c>
      <c r="D1017" s="2">
        <f ca="1">IFERROR(__xludf.DUMMYFUNCTION("""COMPUTED_VALUE"""),44756)</f>
        <v>44756</v>
      </c>
      <c r="E1017" s="3">
        <f ca="1">IFERROR(__xludf.DUMMYFUNCTION("""COMPUTED_VALUE"""),0.647766203703213)</f>
        <v>0.64776620370321303</v>
      </c>
      <c r="F1017" s="1">
        <f ca="1">IFERROR(__xludf.DUMMYFUNCTION("""COMPUTED_VALUE"""),18197)</f>
        <v>18197</v>
      </c>
      <c r="G1017" s="1" t="str">
        <f ca="1">IFERROR(__xludf.DUMMYFUNCTION("""COMPUTED_VALUE"""),"13.0284/77.5719")</f>
        <v>13.0284/77.5719</v>
      </c>
      <c r="H1017" s="1" t="str">
        <f ca="1">IFERROR(__xludf.DUMMYFUNCTION("""COMPUTED_VALUE"""),"Gedalhalli")</f>
        <v>Gedalhalli</v>
      </c>
      <c r="I1017" s="1"/>
      <c r="J1017" s="1" t="str">
        <f ca="1">IFERROR(__xludf.DUMMYFUNCTION("""COMPUTED_VALUE"""),"0d 08h 00m")</f>
        <v>0d 08h 00m</v>
      </c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.2">
      <c r="A1018" s="1">
        <f ca="1">IFERROR(__xludf.DUMMYFUNCTION("""COMPUTED_VALUE"""),131)</f>
        <v>131</v>
      </c>
      <c r="B1018" s="1" t="str">
        <f ca="1">IFERROR(__xludf.DUMMYFUNCTION("""COMPUTED_VALUE"""),"NE3_KA04AA1782_Desilting")</f>
        <v>NE3_KA04AA1782_Desilting</v>
      </c>
      <c r="C1018" s="1" t="str">
        <f ca="1">IFERROR(__xludf.DUMMYFUNCTION("""COMPUTED_VALUE"""),"ne3_ka04aa1782_desilting")</f>
        <v>ne3_ka04aa1782_desilting</v>
      </c>
      <c r="D1018" s="2">
        <f ca="1">IFERROR(__xludf.DUMMYFUNCTION("""COMPUTED_VALUE"""),44828)</f>
        <v>44828</v>
      </c>
      <c r="E1018" s="3">
        <f ca="1">IFERROR(__xludf.DUMMYFUNCTION("""COMPUTED_VALUE"""),0.490254629628907)</f>
        <v>0.49025462962890698</v>
      </c>
      <c r="F1018" s="1">
        <f ca="1">IFERROR(__xludf.DUMMYFUNCTION("""COMPUTED_VALUE"""),18296)</f>
        <v>18296</v>
      </c>
      <c r="G1018" s="1" t="str">
        <f ca="1">IFERROR(__xludf.DUMMYFUNCTION("""COMPUTED_VALUE"""),"13.0201/77.5618")</f>
        <v>13.0201/77.5618</v>
      </c>
      <c r="H1018" s="1" t="str">
        <f ca="1">IFERROR(__xludf.DUMMYFUNCTION("""COMPUTED_VALUE"""),"Subahddar Chattram")</f>
        <v>Subahddar Chattram</v>
      </c>
      <c r="I1018" s="1"/>
      <c r="J1018" s="1" t="str">
        <f ca="1">IFERROR(__xludf.DUMMYFUNCTION("""COMPUTED_VALUE"""),"0d 08h 01m")</f>
        <v>0d 08h 01m</v>
      </c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.2">
      <c r="A1019" s="1">
        <f ca="1">IFERROR(__xludf.DUMMYFUNCTION("""COMPUTED_VALUE"""),129)</f>
        <v>129</v>
      </c>
      <c r="B1019" s="1" t="str">
        <f ca="1">IFERROR(__xludf.DUMMYFUNCTION("""COMPUTED_VALUE"""),"NE3_KA04AA1782_Desilting")</f>
        <v>NE3_KA04AA1782_Desilting</v>
      </c>
      <c r="C1019" s="1" t="str">
        <f ca="1">IFERROR(__xludf.DUMMYFUNCTION("""COMPUTED_VALUE"""),"ne3_ka04aa1782_desilting")</f>
        <v>ne3_ka04aa1782_desilting</v>
      </c>
      <c r="D1019" s="2">
        <f ca="1">IFERROR(__xludf.DUMMYFUNCTION("""COMPUTED_VALUE"""),44860)</f>
        <v>44860</v>
      </c>
      <c r="E1019" s="3">
        <f ca="1">IFERROR(__xludf.DUMMYFUNCTION("""COMPUTED_VALUE"""),0.528622685185837)</f>
        <v>0.52862268518583699</v>
      </c>
      <c r="F1019" s="1">
        <f ca="1">IFERROR(__xludf.DUMMYFUNCTION("""COMPUTED_VALUE"""),18330)</f>
        <v>18330</v>
      </c>
      <c r="G1019" s="1" t="str">
        <f ca="1">IFERROR(__xludf.DUMMYFUNCTION("""COMPUTED_VALUE"""),"13.0371/77.5662")</f>
        <v>13.0371/77.5662</v>
      </c>
      <c r="H1019" s="1" t="str">
        <f ca="1">IFERROR(__xludf.DUMMYFUNCTION("""COMPUTED_VALUE"""),"Dollars Colony")</f>
        <v>Dollars Colony</v>
      </c>
      <c r="I1019" s="1"/>
      <c r="J1019" s="1" t="str">
        <f ca="1">IFERROR(__xludf.DUMMYFUNCTION("""COMPUTED_VALUE"""),"0d 08h 01m")</f>
        <v>0d 08h 01m</v>
      </c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.2">
      <c r="A1020" s="1">
        <f ca="1">IFERROR(__xludf.DUMMYFUNCTION("""COMPUTED_VALUE"""),19)</f>
        <v>19</v>
      </c>
      <c r="B1020" s="1" t="str">
        <f ca="1">IFERROR(__xludf.DUMMYFUNCTION("""COMPUTED_VALUE"""),"NE3_KA04AA1783_Desilting")</f>
        <v>NE3_KA04AA1783_Desilting</v>
      </c>
      <c r="C1020" s="1" t="str">
        <f ca="1">IFERROR(__xludf.DUMMYFUNCTION("""COMPUTED_VALUE"""),"ne3_ka04aa1783_desilting")</f>
        <v>ne3_ka04aa1783_desilting</v>
      </c>
      <c r="D1020" s="2">
        <f ca="1">IFERROR(__xludf.DUMMYFUNCTION("""COMPUTED_VALUE"""),43846)</f>
        <v>43846</v>
      </c>
      <c r="E1020" s="3">
        <f ca="1">IFERROR(__xludf.DUMMYFUNCTION("""COMPUTED_VALUE"""),0.564236111109494)</f>
        <v>0.56423611110949401</v>
      </c>
      <c r="F1020" s="1">
        <f ca="1">IFERROR(__xludf.DUMMYFUNCTION("""COMPUTED_VALUE"""),23445)</f>
        <v>23445</v>
      </c>
      <c r="G1020" s="1" t="str">
        <f ca="1">IFERROR(__xludf.DUMMYFUNCTION("""COMPUTED_VALUE"""),"13.0298/77.5887")</f>
        <v>13.0298/77.5887</v>
      </c>
      <c r="H1020" s="1" t="str">
        <f ca="1">IFERROR(__xludf.DUMMYFUNCTION("""COMPUTED_VALUE"""),"CBI")</f>
        <v>CBI</v>
      </c>
      <c r="I1020" s="1"/>
      <c r="J1020" s="1" t="str">
        <f ca="1">IFERROR(__xludf.DUMMYFUNCTION("""COMPUTED_VALUE"""),"424d 23h 37m")</f>
        <v>424d 23h 37m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.2">
      <c r="A1021" s="1">
        <f ca="1">IFERROR(__xludf.DUMMYFUNCTION("""COMPUTED_VALUE"""),19)</f>
        <v>19</v>
      </c>
      <c r="B1021" s="1" t="str">
        <f ca="1">IFERROR(__xludf.DUMMYFUNCTION("""COMPUTED_VALUE"""),"NE3_KA04AA1783_Desilting")</f>
        <v>NE3_KA04AA1783_Desilting</v>
      </c>
      <c r="C1021" s="1" t="str">
        <f ca="1">IFERROR(__xludf.DUMMYFUNCTION("""COMPUTED_VALUE"""),"ne3_ka04aa1783_desilting")</f>
        <v>ne3_ka04aa1783_desilting</v>
      </c>
      <c r="D1021" s="2">
        <f ca="1">IFERROR(__xludf.DUMMYFUNCTION("""COMPUTED_VALUE"""),43846)</f>
        <v>43846</v>
      </c>
      <c r="E1021" s="3">
        <f ca="1">IFERROR(__xludf.DUMMYFUNCTION("""COMPUTED_VALUE"""),0.564236111109494)</f>
        <v>0.56423611110949401</v>
      </c>
      <c r="F1021" s="1">
        <f ca="1">IFERROR(__xludf.DUMMYFUNCTION("""COMPUTED_VALUE"""),23445)</f>
        <v>23445</v>
      </c>
      <c r="G1021" s="1" t="str">
        <f ca="1">IFERROR(__xludf.DUMMYFUNCTION("""COMPUTED_VALUE"""),"13.0298/77.5887")</f>
        <v>13.0298/77.5887</v>
      </c>
      <c r="H1021" s="1" t="str">
        <f ca="1">IFERROR(__xludf.DUMMYFUNCTION("""COMPUTED_VALUE"""),"CBI")</f>
        <v>CBI</v>
      </c>
      <c r="I1021" s="1"/>
      <c r="J1021" s="1" t="str">
        <f ca="1">IFERROR(__xludf.DUMMYFUNCTION("""COMPUTED_VALUE"""),"424d 23h 38m")</f>
        <v>424d 23h 38m</v>
      </c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.2">
      <c r="A1022" s="1">
        <f ca="1">IFERROR(__xludf.DUMMYFUNCTION("""COMPUTED_VALUE"""),19)</f>
        <v>19</v>
      </c>
      <c r="B1022" s="1" t="str">
        <f ca="1">IFERROR(__xludf.DUMMYFUNCTION("""COMPUTED_VALUE"""),"NE3_KA04AA1783_Desilting")</f>
        <v>NE3_KA04AA1783_Desilting</v>
      </c>
      <c r="C1022" s="1" t="str">
        <f ca="1">IFERROR(__xludf.DUMMYFUNCTION("""COMPUTED_VALUE"""),"ne3_ka04aa1783_desilting")</f>
        <v>ne3_ka04aa1783_desilting</v>
      </c>
      <c r="D1022" s="2">
        <f ca="1">IFERROR(__xludf.DUMMYFUNCTION("""COMPUTED_VALUE"""),43846)</f>
        <v>43846</v>
      </c>
      <c r="E1022" s="3">
        <f ca="1">IFERROR(__xludf.DUMMYFUNCTION("""COMPUTED_VALUE"""),0.564236111109494)</f>
        <v>0.56423611110949401</v>
      </c>
      <c r="F1022" s="1">
        <f ca="1">IFERROR(__xludf.DUMMYFUNCTION("""COMPUTED_VALUE"""),23445)</f>
        <v>23445</v>
      </c>
      <c r="G1022" s="1" t="str">
        <f ca="1">IFERROR(__xludf.DUMMYFUNCTION("""COMPUTED_VALUE"""),"13.0298/77.5887")</f>
        <v>13.0298/77.5887</v>
      </c>
      <c r="H1022" s="1" t="str">
        <f ca="1">IFERROR(__xludf.DUMMYFUNCTION("""COMPUTED_VALUE"""),"CBI")</f>
        <v>CBI</v>
      </c>
      <c r="I1022" s="1"/>
      <c r="J1022" s="1" t="str">
        <f ca="1">IFERROR(__xludf.DUMMYFUNCTION("""COMPUTED_VALUE"""),"424d 23h 38m")</f>
        <v>424d 23h 38m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.2">
      <c r="A1023" s="1">
        <f ca="1">IFERROR(__xludf.DUMMYFUNCTION("""COMPUTED_VALUE"""),19)</f>
        <v>19</v>
      </c>
      <c r="B1023" s="1" t="str">
        <f ca="1">IFERROR(__xludf.DUMMYFUNCTION("""COMPUTED_VALUE"""),"NE3_KA04AA1783_Desilting")</f>
        <v>NE3_KA04AA1783_Desilting</v>
      </c>
      <c r="C1023" s="1" t="str">
        <f ca="1">IFERROR(__xludf.DUMMYFUNCTION("""COMPUTED_VALUE"""),"ne3_ka04aa1783_desilting")</f>
        <v>ne3_ka04aa1783_desilting</v>
      </c>
      <c r="D1023" s="2">
        <f ca="1">IFERROR(__xludf.DUMMYFUNCTION("""COMPUTED_VALUE"""),43846)</f>
        <v>43846</v>
      </c>
      <c r="E1023" s="3">
        <f ca="1">IFERROR(__xludf.DUMMYFUNCTION("""COMPUTED_VALUE"""),0.564236111109494)</f>
        <v>0.56423611110949401</v>
      </c>
      <c r="F1023" s="1">
        <f ca="1">IFERROR(__xludf.DUMMYFUNCTION("""COMPUTED_VALUE"""),23445)</f>
        <v>23445</v>
      </c>
      <c r="G1023" s="1" t="str">
        <f ca="1">IFERROR(__xludf.DUMMYFUNCTION("""COMPUTED_VALUE"""),"13.0298/77.5887")</f>
        <v>13.0298/77.5887</v>
      </c>
      <c r="H1023" s="1" t="str">
        <f ca="1">IFERROR(__xludf.DUMMYFUNCTION("""COMPUTED_VALUE"""),"CBI")</f>
        <v>CBI</v>
      </c>
      <c r="I1023" s="1"/>
      <c r="J1023" s="1" t="str">
        <f ca="1">IFERROR(__xludf.DUMMYFUNCTION("""COMPUTED_VALUE"""),"424d 23h 39m")</f>
        <v>424d 23h 39m</v>
      </c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.2">
      <c r="A1024" s="1">
        <f ca="1">IFERROR(__xludf.DUMMYFUNCTION("""COMPUTED_VALUE"""),19)</f>
        <v>19</v>
      </c>
      <c r="B1024" s="1" t="str">
        <f ca="1">IFERROR(__xludf.DUMMYFUNCTION("""COMPUTED_VALUE"""),"NE3_KA04AA1783_Desilting")</f>
        <v>NE3_KA04AA1783_Desilting</v>
      </c>
      <c r="C1024" s="1" t="str">
        <f ca="1">IFERROR(__xludf.DUMMYFUNCTION("""COMPUTED_VALUE"""),"ne3_ka04aa1783_desilting")</f>
        <v>ne3_ka04aa1783_desilting</v>
      </c>
      <c r="D1024" s="2">
        <f ca="1">IFERROR(__xludf.DUMMYFUNCTION("""COMPUTED_VALUE"""),43846)</f>
        <v>43846</v>
      </c>
      <c r="E1024" s="3">
        <f ca="1">IFERROR(__xludf.DUMMYFUNCTION("""COMPUTED_VALUE"""),0.564236111109494)</f>
        <v>0.56423611110949401</v>
      </c>
      <c r="F1024" s="1">
        <f ca="1">IFERROR(__xludf.DUMMYFUNCTION("""COMPUTED_VALUE"""),23445)</f>
        <v>23445</v>
      </c>
      <c r="G1024" s="1" t="str">
        <f ca="1">IFERROR(__xludf.DUMMYFUNCTION("""COMPUTED_VALUE"""),"13.0298/77.5887")</f>
        <v>13.0298/77.5887</v>
      </c>
      <c r="H1024" s="1" t="str">
        <f ca="1">IFERROR(__xludf.DUMMYFUNCTION("""COMPUTED_VALUE"""),"CBI")</f>
        <v>CBI</v>
      </c>
      <c r="I1024" s="1"/>
      <c r="J1024" s="1" t="str">
        <f ca="1">IFERROR(__xludf.DUMMYFUNCTION("""COMPUTED_VALUE"""),"424d 23h 40m")</f>
        <v>424d 23h 40m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.2">
      <c r="A1025" s="1">
        <f ca="1">IFERROR(__xludf.DUMMYFUNCTION("""COMPUTED_VALUE"""),19)</f>
        <v>19</v>
      </c>
      <c r="B1025" s="1" t="str">
        <f ca="1">IFERROR(__xludf.DUMMYFUNCTION("""COMPUTED_VALUE"""),"NE3_KA04AA1783_Desilting")</f>
        <v>NE3_KA04AA1783_Desilting</v>
      </c>
      <c r="C1025" s="1" t="str">
        <f ca="1">IFERROR(__xludf.DUMMYFUNCTION("""COMPUTED_VALUE"""),"ne3_ka04aa1783_desilting")</f>
        <v>ne3_ka04aa1783_desilting</v>
      </c>
      <c r="D1025" s="2">
        <f ca="1">IFERROR(__xludf.DUMMYFUNCTION("""COMPUTED_VALUE"""),43846)</f>
        <v>43846</v>
      </c>
      <c r="E1025" s="3">
        <f ca="1">IFERROR(__xludf.DUMMYFUNCTION("""COMPUTED_VALUE"""),0.564236111109494)</f>
        <v>0.56423611110949401</v>
      </c>
      <c r="F1025" s="1">
        <f ca="1">IFERROR(__xludf.DUMMYFUNCTION("""COMPUTED_VALUE"""),23445)</f>
        <v>23445</v>
      </c>
      <c r="G1025" s="1" t="str">
        <f ca="1">IFERROR(__xludf.DUMMYFUNCTION("""COMPUTED_VALUE"""),"13.0298/77.5887")</f>
        <v>13.0298/77.5887</v>
      </c>
      <c r="H1025" s="1" t="str">
        <f ca="1">IFERROR(__xludf.DUMMYFUNCTION("""COMPUTED_VALUE"""),"CBI")</f>
        <v>CBI</v>
      </c>
      <c r="I1025" s="1"/>
      <c r="J1025" s="1" t="str">
        <f ca="1">IFERROR(__xludf.DUMMYFUNCTION("""COMPUTED_VALUE"""),"424d 23h 41m")</f>
        <v>424d 23h 41m</v>
      </c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.2">
      <c r="A1026" s="1">
        <f ca="1">IFERROR(__xludf.DUMMYFUNCTION("""COMPUTED_VALUE"""),56)</f>
        <v>56</v>
      </c>
      <c r="B1026" s="1" t="str">
        <f ca="1">IFERROR(__xludf.DUMMYFUNCTION("""COMPUTED_VALUE"""),"NE3_KA04AA1784_Desilting")</f>
        <v>NE3_KA04AA1784_Desilting</v>
      </c>
      <c r="C1026" s="1" t="str">
        <f ca="1">IFERROR(__xludf.DUMMYFUNCTION("""COMPUTED_VALUE"""),"ne3_ka04aa1784_desilting")</f>
        <v>ne3_ka04aa1784_desilting</v>
      </c>
      <c r="D1026" s="2">
        <f ca="1">IFERROR(__xludf.DUMMYFUNCTION("""COMPUTED_VALUE"""),44659)</f>
        <v>44659</v>
      </c>
      <c r="E1026" s="3">
        <f ca="1">IFERROR(__xludf.DUMMYFUNCTION("""COMPUTED_VALUE"""),0.516909722220589)</f>
        <v>0.51690972222058895</v>
      </c>
      <c r="F1026" s="1">
        <f ca="1">IFERROR(__xludf.DUMMYFUNCTION("""COMPUTED_VALUE"""),15080)</f>
        <v>15080</v>
      </c>
      <c r="G1026" s="1" t="str">
        <f ca="1">IFERROR(__xludf.DUMMYFUNCTION("""COMPUTED_VALUE"""),"13.0140/77.5672")</f>
        <v>13.0140/77.5672</v>
      </c>
      <c r="H1026" s="1" t="str">
        <f ca="1">IFERROR(__xludf.DUMMYFUNCTION("""COMPUTED_VALUE"""),"Indian Institute of Science")</f>
        <v>Indian Institute of Science</v>
      </c>
      <c r="I1026" s="1"/>
      <c r="J1026" s="1" t="str">
        <f ca="1">IFERROR(__xludf.DUMMYFUNCTION("""COMPUTED_VALUE"""),"1d 20h 47m")</f>
        <v>1d 20h 47m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.2">
      <c r="A1027" s="1">
        <f ca="1">IFERROR(__xludf.DUMMYFUNCTION("""COMPUTED_VALUE"""),123)</f>
        <v>123</v>
      </c>
      <c r="B1027" s="1" t="str">
        <f ca="1">IFERROR(__xludf.DUMMYFUNCTION("""COMPUTED_VALUE"""),"NE3_KA04AA1784_Desilting")</f>
        <v>NE3_KA04AA1784_Desilting</v>
      </c>
      <c r="C1027" s="1" t="str">
        <f ca="1">IFERROR(__xludf.DUMMYFUNCTION("""COMPUTED_VALUE"""),"ne3_ka04aa1784_desilting")</f>
        <v>ne3_ka04aa1784_desilting</v>
      </c>
      <c r="D1027" s="2">
        <f ca="1">IFERROR(__xludf.DUMMYFUNCTION("""COMPUTED_VALUE"""),44737)</f>
        <v>44737</v>
      </c>
      <c r="E1027" s="3">
        <f ca="1">IFERROR(__xludf.DUMMYFUNCTION("""COMPUTED_VALUE"""),0.512418981481459)</f>
        <v>0.51241898148145903</v>
      </c>
      <c r="F1027" s="1">
        <f ca="1">IFERROR(__xludf.DUMMYFUNCTION("""COMPUTED_VALUE"""),15087)</f>
        <v>15087</v>
      </c>
      <c r="G1027" s="1" t="str">
        <f ca="1">IFERROR(__xludf.DUMMYFUNCTION("""COMPUTED_VALUE"""),"13.0281/77.6139")</f>
        <v>13.0281/77.6139</v>
      </c>
      <c r="H1027" s="1" t="str">
        <f ca="1">IFERROR(__xludf.DUMMYFUNCTION("""COMPUTED_VALUE"""),"Shampura")</f>
        <v>Shampura</v>
      </c>
      <c r="I1027" s="1"/>
      <c r="J1027" s="1" t="str">
        <f ca="1">IFERROR(__xludf.DUMMYFUNCTION("""COMPUTED_VALUE"""),"1d 20h 49m")</f>
        <v>1d 20h 49m</v>
      </c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.2">
      <c r="A1028" s="1">
        <f ca="1">IFERROR(__xludf.DUMMYFUNCTION("""COMPUTED_VALUE"""),140)</f>
        <v>140</v>
      </c>
      <c r="B1028" s="1" t="str">
        <f ca="1">IFERROR(__xludf.DUMMYFUNCTION("""COMPUTED_VALUE"""),"NE3_KA04AA1784_Desilting")</f>
        <v>NE3_KA04AA1784_Desilting</v>
      </c>
      <c r="C1028" s="1" t="str">
        <f ca="1">IFERROR(__xludf.DUMMYFUNCTION("""COMPUTED_VALUE"""),"ne3_ka04aa1784_desilting")</f>
        <v>ne3_ka04aa1784_desilting</v>
      </c>
      <c r="D1028" s="2">
        <f ca="1">IFERROR(__xludf.DUMMYFUNCTION("""COMPUTED_VALUE"""),44768)</f>
        <v>44768</v>
      </c>
      <c r="E1028" s="3">
        <f ca="1">IFERROR(__xludf.DUMMYFUNCTION("""COMPUTED_VALUE"""),0.647476851852843)</f>
        <v>0.64747685185284298</v>
      </c>
      <c r="F1028" s="1">
        <f ca="1">IFERROR(__xludf.DUMMYFUNCTION("""COMPUTED_VALUE"""),15132)</f>
        <v>15132</v>
      </c>
      <c r="G1028" s="1" t="str">
        <f ca="1">IFERROR(__xludf.DUMMYFUNCTION("""COMPUTED_VALUE"""),"13.0245/77.6006")</f>
        <v>13.0245/77.6006</v>
      </c>
      <c r="H1028" s="1" t="str">
        <f ca="1">IFERROR(__xludf.DUMMYFUNCTION("""COMPUTED_VALUE"""),"Mannarayanapallya")</f>
        <v>Mannarayanapallya</v>
      </c>
      <c r="I1028" s="1"/>
      <c r="J1028" s="1" t="str">
        <f ca="1">IFERROR(__xludf.DUMMYFUNCTION("""COMPUTED_VALUE"""),"1d 20h 49m")</f>
        <v>1d 20h 49m</v>
      </c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.2">
      <c r="A1029" s="1">
        <f ca="1">IFERROR(__xludf.DUMMYFUNCTION("""COMPUTED_VALUE"""),142)</f>
        <v>142</v>
      </c>
      <c r="B1029" s="1" t="str">
        <f ca="1">IFERROR(__xludf.DUMMYFUNCTION("""COMPUTED_VALUE"""),"NE3_KA04AA1784_Desilting")</f>
        <v>NE3_KA04AA1784_Desilting</v>
      </c>
      <c r="C1029" s="1" t="str">
        <f ca="1">IFERROR(__xludf.DUMMYFUNCTION("""COMPUTED_VALUE"""),"ne3_ka04aa1784_desilting")</f>
        <v>ne3_ka04aa1784_desilting</v>
      </c>
      <c r="D1029" s="2">
        <f ca="1">IFERROR(__xludf.DUMMYFUNCTION("""COMPUTED_VALUE"""),44798)</f>
        <v>44798</v>
      </c>
      <c r="E1029" s="3">
        <f ca="1">IFERROR(__xludf.DUMMYFUNCTION("""COMPUTED_VALUE"""),0.573912037038098)</f>
        <v>0.57391203703809801</v>
      </c>
      <c r="F1029" s="1">
        <f ca="1">IFERROR(__xludf.DUMMYFUNCTION("""COMPUTED_VALUE"""),15163)</f>
        <v>15163</v>
      </c>
      <c r="G1029" s="1" t="str">
        <f ca="1">IFERROR(__xludf.DUMMYFUNCTION("""COMPUTED_VALUE"""),"13.0314/77.6022")</f>
        <v>13.0314/77.6022</v>
      </c>
      <c r="H1029" s="1" t="str">
        <f ca="1">IFERROR(__xludf.DUMMYFUNCTION("""COMPUTED_VALUE"""),"Sultan Palya")</f>
        <v>Sultan Palya</v>
      </c>
      <c r="I1029" s="1"/>
      <c r="J1029" s="1" t="str">
        <f ca="1">IFERROR(__xludf.DUMMYFUNCTION("""COMPUTED_VALUE"""),"1d 20h 50m")</f>
        <v>1d 20h 50m</v>
      </c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.2">
      <c r="A1030" s="1">
        <f ca="1">IFERROR(__xludf.DUMMYFUNCTION("""COMPUTED_VALUE"""),145)</f>
        <v>145</v>
      </c>
      <c r="B1030" s="1" t="str">
        <f ca="1">IFERROR(__xludf.DUMMYFUNCTION("""COMPUTED_VALUE"""),"NE3_KA04AA1784_Desilting")</f>
        <v>NE3_KA04AA1784_Desilting</v>
      </c>
      <c r="C1030" s="1" t="str">
        <f ca="1">IFERROR(__xludf.DUMMYFUNCTION("""COMPUTED_VALUE"""),"ne3_ka04aa1784_desilting")</f>
        <v>ne3_ka04aa1784_desilting</v>
      </c>
      <c r="D1030" s="2">
        <f ca="1">IFERROR(__xludf.DUMMYFUNCTION("""COMPUTED_VALUE"""),44830)</f>
        <v>44830</v>
      </c>
      <c r="E1030" s="3">
        <f ca="1">IFERROR(__xludf.DUMMYFUNCTION("""COMPUTED_VALUE"""),0.607662037036789)</f>
        <v>0.607662037036789</v>
      </c>
      <c r="F1030" s="1">
        <f ca="1">IFERROR(__xludf.DUMMYFUNCTION("""COMPUTED_VALUE"""),15187)</f>
        <v>15187</v>
      </c>
      <c r="G1030" s="1" t="str">
        <f ca="1">IFERROR(__xludf.DUMMYFUNCTION("""COMPUTED_VALUE"""),"13.0095/77.5628")</f>
        <v>13.0095/77.5628</v>
      </c>
      <c r="H1030" s="1" t="str">
        <f ca="1">IFERROR(__xludf.DUMMYFUNCTION("""COMPUTED_VALUE"""),"Malleshwaram")</f>
        <v>Malleshwaram</v>
      </c>
      <c r="I1030" s="1"/>
      <c r="J1030" s="1" t="str">
        <f ca="1">IFERROR(__xludf.DUMMYFUNCTION("""COMPUTED_VALUE"""),"1d 20h 51m")</f>
        <v>1d 20h 51m</v>
      </c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.2">
      <c r="A1031" s="1">
        <f ca="1">IFERROR(__xludf.DUMMYFUNCTION("""COMPUTED_VALUE"""),127)</f>
        <v>127</v>
      </c>
      <c r="B1031" s="1" t="str">
        <f ca="1">IFERROR(__xludf.DUMMYFUNCTION("""COMPUTED_VALUE"""),"NE3_KA04AA1784_Desilting")</f>
        <v>NE3_KA04AA1784_Desilting</v>
      </c>
      <c r="C1031" s="1" t="str">
        <f ca="1">IFERROR(__xludf.DUMMYFUNCTION("""COMPUTED_VALUE"""),"ne3_ka04aa1784_desilting")</f>
        <v>ne3_ka04aa1784_desilting</v>
      </c>
      <c r="D1031" s="2">
        <f ca="1">IFERROR(__xludf.DUMMYFUNCTION("""COMPUTED_VALUE"""),44860)</f>
        <v>44860</v>
      </c>
      <c r="E1031" s="3">
        <f ca="1">IFERROR(__xludf.DUMMYFUNCTION("""COMPUTED_VALUE"""),0.47527777777941)</f>
        <v>0.47527777777940999</v>
      </c>
      <c r="F1031" s="1">
        <f ca="1">IFERROR(__xludf.DUMMYFUNCTION("""COMPUTED_VALUE"""),15212)</f>
        <v>15212</v>
      </c>
      <c r="G1031" s="1" t="str">
        <f ca="1">IFERROR(__xludf.DUMMYFUNCTION("""COMPUTED_VALUE"""),"13.0320/77.6054")</f>
        <v>13.0320/77.6054</v>
      </c>
      <c r="H1031" s="1" t="str">
        <f ca="1">IFERROR(__xludf.DUMMYFUNCTION("""COMPUTED_VALUE"""),"Sultan Palya")</f>
        <v>Sultan Palya</v>
      </c>
      <c r="I1031" s="1"/>
      <c r="J1031" s="1" t="str">
        <f ca="1">IFERROR(__xludf.DUMMYFUNCTION("""COMPUTED_VALUE"""),"1d 20h 52m")</f>
        <v>1d 20h 52m</v>
      </c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.2">
      <c r="A1032" s="1">
        <f ca="1">IFERROR(__xludf.DUMMYFUNCTION("""COMPUTED_VALUE"""),5)</f>
        <v>5</v>
      </c>
      <c r="B1032" s="1" t="str">
        <f ca="1">IFERROR(__xludf.DUMMYFUNCTION("""COMPUTED_VALUE"""),"NE3_KA04AA1789_Desilting")</f>
        <v>NE3_KA04AA1789_Desilting</v>
      </c>
      <c r="C1032" s="1" t="str">
        <f ca="1">IFERROR(__xludf.DUMMYFUNCTION("""COMPUTED_VALUE"""),"ne3_ka04aa1789_desilting")</f>
        <v>ne3_ka04aa1789_desilting</v>
      </c>
      <c r="D1032" s="2">
        <f ca="1">IFERROR(__xludf.DUMMYFUNCTION("""COMPUTED_VALUE"""),43403)</f>
        <v>43403</v>
      </c>
      <c r="E1032" s="3">
        <f ca="1">IFERROR(__xludf.DUMMYFUNCTION("""COMPUTED_VALUE"""),0.609687500000291)</f>
        <v>0.60968750000029104</v>
      </c>
      <c r="F1032" s="1"/>
      <c r="G1032" s="1" t="str">
        <f ca="1">IFERROR(__xludf.DUMMYFUNCTION("""COMPUTED_VALUE"""),"13.0247/77.5948")</f>
        <v>13.0247/77.5948</v>
      </c>
      <c r="H1032" s="1" t="str">
        <f ca="1">IFERROR(__xludf.DUMMYFUNCTION("""COMPUTED_VALUE"""),"RT Nagar")</f>
        <v>RT Nagar</v>
      </c>
      <c r="I1032" s="1"/>
      <c r="J1032" s="1" t="str">
        <f ca="1">IFERROR(__xludf.DUMMYFUNCTION("""COMPUTED_VALUE"""),"1513d 19h 53m")</f>
        <v>1513d 19h 53m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.2">
      <c r="A1033" s="1">
        <f ca="1">IFERROR(__xludf.DUMMYFUNCTION("""COMPUTED_VALUE"""),5)</f>
        <v>5</v>
      </c>
      <c r="B1033" s="1" t="str">
        <f ca="1">IFERROR(__xludf.DUMMYFUNCTION("""COMPUTED_VALUE"""),"NE3_KA04AA1789_Desilting")</f>
        <v>NE3_KA04AA1789_Desilting</v>
      </c>
      <c r="C1033" s="1" t="str">
        <f ca="1">IFERROR(__xludf.DUMMYFUNCTION("""COMPUTED_VALUE"""),"ne3_ka04aa1789_desilting")</f>
        <v>ne3_ka04aa1789_desilting</v>
      </c>
      <c r="D1033" s="2">
        <f ca="1">IFERROR(__xludf.DUMMYFUNCTION("""COMPUTED_VALUE"""),43403)</f>
        <v>43403</v>
      </c>
      <c r="E1033" s="3">
        <f ca="1">IFERROR(__xludf.DUMMYFUNCTION("""COMPUTED_VALUE"""),0.609687500000291)</f>
        <v>0.60968750000029104</v>
      </c>
      <c r="F1033" s="1"/>
      <c r="G1033" s="1" t="str">
        <f ca="1">IFERROR(__xludf.DUMMYFUNCTION("""COMPUTED_VALUE"""),"13.0247/77.5948")</f>
        <v>13.0247/77.5948</v>
      </c>
      <c r="H1033" s="1" t="str">
        <f ca="1">IFERROR(__xludf.DUMMYFUNCTION("""COMPUTED_VALUE"""),"RT Nagar")</f>
        <v>RT Nagar</v>
      </c>
      <c r="I1033" s="1"/>
      <c r="J1033" s="1" t="str">
        <f ca="1">IFERROR(__xludf.DUMMYFUNCTION("""COMPUTED_VALUE"""),"1513d 19h 54m")</f>
        <v>1513d 19h 54m</v>
      </c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.2">
      <c r="A1034" s="1">
        <f ca="1">IFERROR(__xludf.DUMMYFUNCTION("""COMPUTED_VALUE"""),5)</f>
        <v>5</v>
      </c>
      <c r="B1034" s="1" t="str">
        <f ca="1">IFERROR(__xludf.DUMMYFUNCTION("""COMPUTED_VALUE"""),"NE3_KA04AA1789_Desilting")</f>
        <v>NE3_KA04AA1789_Desilting</v>
      </c>
      <c r="C1034" s="1" t="str">
        <f ca="1">IFERROR(__xludf.DUMMYFUNCTION("""COMPUTED_VALUE"""),"ne3_ka04aa1789_desilting")</f>
        <v>ne3_ka04aa1789_desilting</v>
      </c>
      <c r="D1034" s="2">
        <f ca="1">IFERROR(__xludf.DUMMYFUNCTION("""COMPUTED_VALUE"""),43403)</f>
        <v>43403</v>
      </c>
      <c r="E1034" s="3">
        <f ca="1">IFERROR(__xludf.DUMMYFUNCTION("""COMPUTED_VALUE"""),0.609687500000291)</f>
        <v>0.60968750000029104</v>
      </c>
      <c r="F1034" s="1"/>
      <c r="G1034" s="1" t="str">
        <f ca="1">IFERROR(__xludf.DUMMYFUNCTION("""COMPUTED_VALUE"""),"13.0247/77.5948")</f>
        <v>13.0247/77.5948</v>
      </c>
      <c r="H1034" s="1" t="str">
        <f ca="1">IFERROR(__xludf.DUMMYFUNCTION("""COMPUTED_VALUE"""),"RT Nagar")</f>
        <v>RT Nagar</v>
      </c>
      <c r="I1034" s="1"/>
      <c r="J1034" s="1" t="str">
        <f ca="1">IFERROR(__xludf.DUMMYFUNCTION("""COMPUTED_VALUE"""),"1513d 19h 55m")</f>
        <v>1513d 19h 55m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.2">
      <c r="A1035" s="1">
        <f ca="1">IFERROR(__xludf.DUMMYFUNCTION("""COMPUTED_VALUE"""),5)</f>
        <v>5</v>
      </c>
      <c r="B1035" s="1" t="str">
        <f ca="1">IFERROR(__xludf.DUMMYFUNCTION("""COMPUTED_VALUE"""),"NE3_KA04AA1789_Desilting")</f>
        <v>NE3_KA04AA1789_Desilting</v>
      </c>
      <c r="C1035" s="1" t="str">
        <f ca="1">IFERROR(__xludf.DUMMYFUNCTION("""COMPUTED_VALUE"""),"ne3_ka04aa1789_desilting")</f>
        <v>ne3_ka04aa1789_desilting</v>
      </c>
      <c r="D1035" s="2">
        <f ca="1">IFERROR(__xludf.DUMMYFUNCTION("""COMPUTED_VALUE"""),43403)</f>
        <v>43403</v>
      </c>
      <c r="E1035" s="3">
        <f ca="1">IFERROR(__xludf.DUMMYFUNCTION("""COMPUTED_VALUE"""),0.609687500000291)</f>
        <v>0.60968750000029104</v>
      </c>
      <c r="F1035" s="1"/>
      <c r="G1035" s="1" t="str">
        <f ca="1">IFERROR(__xludf.DUMMYFUNCTION("""COMPUTED_VALUE"""),"13.0247/77.5948")</f>
        <v>13.0247/77.5948</v>
      </c>
      <c r="H1035" s="1" t="str">
        <f ca="1">IFERROR(__xludf.DUMMYFUNCTION("""COMPUTED_VALUE"""),"RT Nagar")</f>
        <v>RT Nagar</v>
      </c>
      <c r="I1035" s="1"/>
      <c r="J1035" s="1" t="str">
        <f ca="1">IFERROR(__xludf.DUMMYFUNCTION("""COMPUTED_VALUE"""),"1513d 19h 55m")</f>
        <v>1513d 19h 55m</v>
      </c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.2">
      <c r="A1036" s="1">
        <f ca="1">IFERROR(__xludf.DUMMYFUNCTION("""COMPUTED_VALUE"""),5)</f>
        <v>5</v>
      </c>
      <c r="B1036" s="1" t="str">
        <f ca="1">IFERROR(__xludf.DUMMYFUNCTION("""COMPUTED_VALUE"""),"NE3_KA04AA1789_Desilting")</f>
        <v>NE3_KA04AA1789_Desilting</v>
      </c>
      <c r="C1036" s="1" t="str">
        <f ca="1">IFERROR(__xludf.DUMMYFUNCTION("""COMPUTED_VALUE"""),"ne3_ka04aa1789_desilting")</f>
        <v>ne3_ka04aa1789_desilting</v>
      </c>
      <c r="D1036" s="2">
        <f ca="1">IFERROR(__xludf.DUMMYFUNCTION("""COMPUTED_VALUE"""),43403)</f>
        <v>43403</v>
      </c>
      <c r="E1036" s="3">
        <f ca="1">IFERROR(__xludf.DUMMYFUNCTION("""COMPUTED_VALUE"""),0.609687500000291)</f>
        <v>0.60968750000029104</v>
      </c>
      <c r="F1036" s="1"/>
      <c r="G1036" s="1" t="str">
        <f ca="1">IFERROR(__xludf.DUMMYFUNCTION("""COMPUTED_VALUE"""),"13.0247/77.5948")</f>
        <v>13.0247/77.5948</v>
      </c>
      <c r="H1036" s="1" t="str">
        <f ca="1">IFERROR(__xludf.DUMMYFUNCTION("""COMPUTED_VALUE"""),"RT Nagar")</f>
        <v>RT Nagar</v>
      </c>
      <c r="I1036" s="1"/>
      <c r="J1036" s="1" t="str">
        <f ca="1">IFERROR(__xludf.DUMMYFUNCTION("""COMPUTED_VALUE"""),"1513d 19h 56m")</f>
        <v>1513d 19h 56m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13.2">
      <c r="A1037" s="1">
        <f ca="1">IFERROR(__xludf.DUMMYFUNCTION("""COMPUTED_VALUE"""),5)</f>
        <v>5</v>
      </c>
      <c r="B1037" s="1" t="str">
        <f ca="1">IFERROR(__xludf.DUMMYFUNCTION("""COMPUTED_VALUE"""),"NE3_KA04AA1789_Desilting")</f>
        <v>NE3_KA04AA1789_Desilting</v>
      </c>
      <c r="C1037" s="1" t="str">
        <f ca="1">IFERROR(__xludf.DUMMYFUNCTION("""COMPUTED_VALUE"""),"ne3_ka04aa1789_desilting")</f>
        <v>ne3_ka04aa1789_desilting</v>
      </c>
      <c r="D1037" s="2">
        <f ca="1">IFERROR(__xludf.DUMMYFUNCTION("""COMPUTED_VALUE"""),43403)</f>
        <v>43403</v>
      </c>
      <c r="E1037" s="3">
        <f ca="1">IFERROR(__xludf.DUMMYFUNCTION("""COMPUTED_VALUE"""),0.609687500000291)</f>
        <v>0.60968750000029104</v>
      </c>
      <c r="F1037" s="1"/>
      <c r="G1037" s="1" t="str">
        <f ca="1">IFERROR(__xludf.DUMMYFUNCTION("""COMPUTED_VALUE"""),"13.0247/77.5948")</f>
        <v>13.0247/77.5948</v>
      </c>
      <c r="H1037" s="1" t="str">
        <f ca="1">IFERROR(__xludf.DUMMYFUNCTION("""COMPUTED_VALUE"""),"RT Nagar")</f>
        <v>RT Nagar</v>
      </c>
      <c r="I1037" s="1"/>
      <c r="J1037" s="1" t="str">
        <f ca="1">IFERROR(__xludf.DUMMYFUNCTION("""COMPUTED_VALUE"""),"1513d 19h 57m")</f>
        <v>1513d 19h 57m</v>
      </c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13.2">
      <c r="A1038" s="1">
        <f ca="1">IFERROR(__xludf.DUMMYFUNCTION("""COMPUTED_VALUE"""),99)</f>
        <v>99</v>
      </c>
      <c r="B1038" s="1" t="str">
        <f ca="1">IFERROR(__xludf.DUMMYFUNCTION("""COMPUTED_VALUE"""),"NE3_KA04AA1789_DESILTING")</f>
        <v>NE3_KA04AA1789_DESILTING</v>
      </c>
      <c r="C1038" s="1" t="str">
        <f ca="1">IFERROR(__xludf.DUMMYFUNCTION("""COMPUTED_VALUE"""),"ne3_ka04aa1789_desilting")</f>
        <v>ne3_ka04aa1789_desilting</v>
      </c>
      <c r="D1038" s="2">
        <f ca="1">IFERROR(__xludf.DUMMYFUNCTION("""COMPUTED_VALUE"""),43403)</f>
        <v>43403</v>
      </c>
      <c r="E1038" s="3">
        <f ca="1">IFERROR(__xludf.DUMMYFUNCTION("""COMPUTED_VALUE"""),0.609687500000291)</f>
        <v>0.60968750000029104</v>
      </c>
      <c r="F1038" s="1"/>
      <c r="G1038" s="1" t="str">
        <f ca="1">IFERROR(__xludf.DUMMYFUNCTION("""COMPUTED_VALUE"""),"13.0247/77.5948")</f>
        <v>13.0247/77.5948</v>
      </c>
      <c r="H1038" s="1" t="str">
        <f ca="1">IFERROR(__xludf.DUMMYFUNCTION("""COMPUTED_VALUE"""),"RT Nagar")</f>
        <v>RT Nagar</v>
      </c>
      <c r="I1038" s="1"/>
      <c r="J1038" s="1" t="str">
        <f ca="1">IFERROR(__xludf.DUMMYFUNCTION("""COMPUTED_VALUE"""),"1967d 20h 46m")</f>
        <v>1967d 20h 46m</v>
      </c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13.2">
      <c r="A1039" s="1">
        <f ca="1">IFERROR(__xludf.DUMMYFUNCTION("""COMPUTED_VALUE"""),99)</f>
        <v>99</v>
      </c>
      <c r="B1039" s="1" t="str">
        <f ca="1">IFERROR(__xludf.DUMMYFUNCTION("""COMPUTED_VALUE"""),"NE3_KA04AA1789_DESILTING")</f>
        <v>NE3_KA04AA1789_DESILTING</v>
      </c>
      <c r="C1039" s="1" t="str">
        <f ca="1">IFERROR(__xludf.DUMMYFUNCTION("""COMPUTED_VALUE"""),"ne3_ka04aa1789_desilting")</f>
        <v>ne3_ka04aa1789_desilting</v>
      </c>
      <c r="D1039" s="2">
        <f ca="1">IFERROR(__xludf.DUMMYFUNCTION("""COMPUTED_VALUE"""),43403)</f>
        <v>43403</v>
      </c>
      <c r="E1039" s="3">
        <f ca="1">IFERROR(__xludf.DUMMYFUNCTION("""COMPUTED_VALUE"""),0.609687500000291)</f>
        <v>0.60968750000029104</v>
      </c>
      <c r="F1039" s="1"/>
      <c r="G1039" s="1" t="str">
        <f ca="1">IFERROR(__xludf.DUMMYFUNCTION("""COMPUTED_VALUE"""),"13.0247/77.5948")</f>
        <v>13.0247/77.5948</v>
      </c>
      <c r="H1039" s="1" t="str">
        <f ca="1">IFERROR(__xludf.DUMMYFUNCTION("""COMPUTED_VALUE"""),"RT Nagar")</f>
        <v>RT Nagar</v>
      </c>
      <c r="I1039" s="1"/>
      <c r="J1039" s="1" t="str">
        <f ca="1">IFERROR(__xludf.DUMMYFUNCTION("""COMPUTED_VALUE"""),"1967d 20h 47m")</f>
        <v>1967d 20h 47m</v>
      </c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13.2">
      <c r="A1040" s="1">
        <f ca="1">IFERROR(__xludf.DUMMYFUNCTION("""COMPUTED_VALUE"""),96)</f>
        <v>96</v>
      </c>
      <c r="B1040" s="1" t="str">
        <f ca="1">IFERROR(__xludf.DUMMYFUNCTION("""COMPUTED_VALUE"""),"NE3_KA04AA1789_DESILTING")</f>
        <v>NE3_KA04AA1789_DESILTING</v>
      </c>
      <c r="C1040" s="1" t="str">
        <f ca="1">IFERROR(__xludf.DUMMYFUNCTION("""COMPUTED_VALUE"""),"ne3_ka04aa1789_desilting")</f>
        <v>ne3_ka04aa1789_desilting</v>
      </c>
      <c r="D1040" s="2">
        <f ca="1">IFERROR(__xludf.DUMMYFUNCTION("""COMPUTED_VALUE"""),43403)</f>
        <v>43403</v>
      </c>
      <c r="E1040" s="3">
        <f ca="1">IFERROR(__xludf.DUMMYFUNCTION("""COMPUTED_VALUE"""),0.609687500000291)</f>
        <v>0.60968750000029104</v>
      </c>
      <c r="F1040" s="1"/>
      <c r="G1040" s="1" t="str">
        <f ca="1">IFERROR(__xludf.DUMMYFUNCTION("""COMPUTED_VALUE"""),"13.0247/77.5948")</f>
        <v>13.0247/77.5948</v>
      </c>
      <c r="H1040" s="1" t="str">
        <f ca="1">IFERROR(__xludf.DUMMYFUNCTION("""COMPUTED_VALUE"""),"RT Nagar")</f>
        <v>RT Nagar</v>
      </c>
      <c r="I1040" s="1"/>
      <c r="J1040" s="1" t="str">
        <f ca="1">IFERROR(__xludf.DUMMYFUNCTION("""COMPUTED_VALUE"""),"1967d 20h 50m")</f>
        <v>1967d 20h 50m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13.2">
      <c r="A1041" s="1">
        <f ca="1">IFERROR(__xludf.DUMMYFUNCTION("""COMPUTED_VALUE"""),96)</f>
        <v>96</v>
      </c>
      <c r="B1041" s="1" t="str">
        <f ca="1">IFERROR(__xludf.DUMMYFUNCTION("""COMPUTED_VALUE"""),"NE3_KA04AA1789_DESILTING")</f>
        <v>NE3_KA04AA1789_DESILTING</v>
      </c>
      <c r="C1041" s="1" t="str">
        <f ca="1">IFERROR(__xludf.DUMMYFUNCTION("""COMPUTED_VALUE"""),"ne3_ka04aa1789_desilting")</f>
        <v>ne3_ka04aa1789_desilting</v>
      </c>
      <c r="D1041" s="2">
        <f ca="1">IFERROR(__xludf.DUMMYFUNCTION("""COMPUTED_VALUE"""),43403)</f>
        <v>43403</v>
      </c>
      <c r="E1041" s="3">
        <f ca="1">IFERROR(__xludf.DUMMYFUNCTION("""COMPUTED_VALUE"""),0.609687500000291)</f>
        <v>0.60968750000029104</v>
      </c>
      <c r="F1041" s="1"/>
      <c r="G1041" s="1" t="str">
        <f ca="1">IFERROR(__xludf.DUMMYFUNCTION("""COMPUTED_VALUE"""),"13.0247/77.5948")</f>
        <v>13.0247/77.5948</v>
      </c>
      <c r="H1041" s="1" t="str">
        <f ca="1">IFERROR(__xludf.DUMMYFUNCTION("""COMPUTED_VALUE"""),"RT Nagar")</f>
        <v>RT Nagar</v>
      </c>
      <c r="I1041" s="1"/>
      <c r="J1041" s="1" t="str">
        <f ca="1">IFERROR(__xludf.DUMMYFUNCTION("""COMPUTED_VALUE"""),"1967d 20h 51m")</f>
        <v>1967d 20h 51m</v>
      </c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13.2">
      <c r="A1042" s="1">
        <f ca="1">IFERROR(__xludf.DUMMYFUNCTION("""COMPUTED_VALUE"""),96)</f>
        <v>96</v>
      </c>
      <c r="B1042" s="1" t="str">
        <f ca="1">IFERROR(__xludf.DUMMYFUNCTION("""COMPUTED_VALUE"""),"NE3_KA04AA1789_DESILTING")</f>
        <v>NE3_KA04AA1789_DESILTING</v>
      </c>
      <c r="C1042" s="1" t="str">
        <f ca="1">IFERROR(__xludf.DUMMYFUNCTION("""COMPUTED_VALUE"""),"ne3_ka04aa1789_desilting")</f>
        <v>ne3_ka04aa1789_desilting</v>
      </c>
      <c r="D1042" s="2">
        <f ca="1">IFERROR(__xludf.DUMMYFUNCTION("""COMPUTED_VALUE"""),43403)</f>
        <v>43403</v>
      </c>
      <c r="E1042" s="3">
        <f ca="1">IFERROR(__xludf.DUMMYFUNCTION("""COMPUTED_VALUE"""),0.609687500000291)</f>
        <v>0.60968750000029104</v>
      </c>
      <c r="F1042" s="1"/>
      <c r="G1042" s="1" t="str">
        <f ca="1">IFERROR(__xludf.DUMMYFUNCTION("""COMPUTED_VALUE"""),"13.0247/77.5948")</f>
        <v>13.0247/77.5948</v>
      </c>
      <c r="H1042" s="1" t="str">
        <f ca="1">IFERROR(__xludf.DUMMYFUNCTION("""COMPUTED_VALUE"""),"RT Nagar")</f>
        <v>RT Nagar</v>
      </c>
      <c r="I1042" s="1"/>
      <c r="J1042" s="1" t="str">
        <f ca="1">IFERROR(__xludf.DUMMYFUNCTION("""COMPUTED_VALUE"""),"1967d 20h 52m")</f>
        <v>1967d 20h 52m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13.2">
      <c r="A1043" s="1">
        <f ca="1">IFERROR(__xludf.DUMMYFUNCTION("""COMPUTED_VALUE"""),96)</f>
        <v>96</v>
      </c>
      <c r="B1043" s="1" t="str">
        <f ca="1">IFERROR(__xludf.DUMMYFUNCTION("""COMPUTED_VALUE"""),"NE3_KA04AA1789_DESILTING")</f>
        <v>NE3_KA04AA1789_DESILTING</v>
      </c>
      <c r="C1043" s="1" t="str">
        <f ca="1">IFERROR(__xludf.DUMMYFUNCTION("""COMPUTED_VALUE"""),"ne3_ka04aa1789_desilting")</f>
        <v>ne3_ka04aa1789_desilting</v>
      </c>
      <c r="D1043" s="2">
        <f ca="1">IFERROR(__xludf.DUMMYFUNCTION("""COMPUTED_VALUE"""),43403)</f>
        <v>43403</v>
      </c>
      <c r="E1043" s="3">
        <f ca="1">IFERROR(__xludf.DUMMYFUNCTION("""COMPUTED_VALUE"""),0.609687500000291)</f>
        <v>0.60968750000029104</v>
      </c>
      <c r="F1043" s="1"/>
      <c r="G1043" s="1" t="str">
        <f ca="1">IFERROR(__xludf.DUMMYFUNCTION("""COMPUTED_VALUE"""),"13.0247/77.5948")</f>
        <v>13.0247/77.5948</v>
      </c>
      <c r="H1043" s="1" t="str">
        <f ca="1">IFERROR(__xludf.DUMMYFUNCTION("""COMPUTED_VALUE"""),"RT Nagar")</f>
        <v>RT Nagar</v>
      </c>
      <c r="I1043" s="1"/>
      <c r="J1043" s="1" t="str">
        <f ca="1">IFERROR(__xludf.DUMMYFUNCTION("""COMPUTED_VALUE"""),"1967d 20h 53m")</f>
        <v>1967d 20h 53m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13.2">
      <c r="A1044" s="1">
        <f ca="1">IFERROR(__xludf.DUMMYFUNCTION("""COMPUTED_VALUE"""),96)</f>
        <v>96</v>
      </c>
      <c r="B1044" s="1" t="str">
        <f ca="1">IFERROR(__xludf.DUMMYFUNCTION("""COMPUTED_VALUE"""),"NE3_KA04AA1789_DESILTING")</f>
        <v>NE3_KA04AA1789_DESILTING</v>
      </c>
      <c r="C1044" s="1" t="str">
        <f ca="1">IFERROR(__xludf.DUMMYFUNCTION("""COMPUTED_VALUE"""),"ne3_ka04aa1789_desilting")</f>
        <v>ne3_ka04aa1789_desilting</v>
      </c>
      <c r="D1044" s="2">
        <f ca="1">IFERROR(__xludf.DUMMYFUNCTION("""COMPUTED_VALUE"""),43403)</f>
        <v>43403</v>
      </c>
      <c r="E1044" s="3">
        <f ca="1">IFERROR(__xludf.DUMMYFUNCTION("""COMPUTED_VALUE"""),0.609687500000291)</f>
        <v>0.60968750000029104</v>
      </c>
      <c r="F1044" s="1"/>
      <c r="G1044" s="1" t="str">
        <f ca="1">IFERROR(__xludf.DUMMYFUNCTION("""COMPUTED_VALUE"""),"13.0247/77.5948")</f>
        <v>13.0247/77.5948</v>
      </c>
      <c r="H1044" s="1" t="str">
        <f ca="1">IFERROR(__xludf.DUMMYFUNCTION("""COMPUTED_VALUE"""),"RT Nagar")</f>
        <v>RT Nagar</v>
      </c>
      <c r="I1044" s="1"/>
      <c r="J1044" s="1" t="str">
        <f ca="1">IFERROR(__xludf.DUMMYFUNCTION("""COMPUTED_VALUE"""),"1967d 20h 54m")</f>
        <v>1967d 20h 54m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13.2">
      <c r="A1045" s="1">
        <f ca="1">IFERROR(__xludf.DUMMYFUNCTION("""COMPUTED_VALUE"""),114)</f>
        <v>114</v>
      </c>
      <c r="B1045" s="1" t="str">
        <f ca="1">IFERROR(__xludf.DUMMYFUNCTION("""COMPUTED_VALUE"""),"NE3_KA04B7114_Tanker")</f>
        <v>NE3_KA04B7114_Tanker</v>
      </c>
      <c r="C1045" s="1" t="str">
        <f ca="1">IFERROR(__xludf.DUMMYFUNCTION("""COMPUTED_VALUE"""),"ne3_ka04b7114_tanker")</f>
        <v>ne3_ka04b7114_tanker</v>
      </c>
      <c r="D1045" s="2">
        <f ca="1">IFERROR(__xludf.DUMMYFUNCTION("""COMPUTED_VALUE"""),44706)</f>
        <v>44706</v>
      </c>
      <c r="E1045" s="3">
        <f ca="1">IFERROR(__xludf.DUMMYFUNCTION("""COMPUTED_VALUE"""),0.580902777779556)</f>
        <v>0.58090277777955601</v>
      </c>
      <c r="F1045" s="1">
        <f ca="1">IFERROR(__xludf.DUMMYFUNCTION("""COMPUTED_VALUE"""),42588)</f>
        <v>42588</v>
      </c>
      <c r="G1045" s="1" t="str">
        <f ca="1">IFERROR(__xludf.DUMMYFUNCTION("""COMPUTED_VALUE"""),"13.0111/77.5672")</f>
        <v>13.0111/77.5672</v>
      </c>
      <c r="H1045" s="1" t="str">
        <f ca="1">IFERROR(__xludf.DUMMYFUNCTION("""COMPUTED_VALUE"""),"Malleshwaram")</f>
        <v>Malleshwaram</v>
      </c>
      <c r="I1045" s="1"/>
      <c r="J1045" s="1" t="str">
        <f ca="1">IFERROR(__xludf.DUMMYFUNCTION("""COMPUTED_VALUE"""),"28d 22h 47m")</f>
        <v>28d 22h 47m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13.2">
      <c r="A1046" s="1">
        <f ca="1">IFERROR(__xludf.DUMMYFUNCTION("""COMPUTED_VALUE"""),111)</f>
        <v>111</v>
      </c>
      <c r="B1046" s="1" t="str">
        <f ca="1">IFERROR(__xludf.DUMMYFUNCTION("""COMPUTED_VALUE"""),"NE3_KA04B7114_Tanker")</f>
        <v>NE3_KA04B7114_Tanker</v>
      </c>
      <c r="C1046" s="1" t="str">
        <f ca="1">IFERROR(__xludf.DUMMYFUNCTION("""COMPUTED_VALUE"""),"ne3_ka04b7114_tanker")</f>
        <v>ne3_ka04b7114_tanker</v>
      </c>
      <c r="D1046" s="2">
        <f ca="1">IFERROR(__xludf.DUMMYFUNCTION("""COMPUTED_VALUE"""),44736)</f>
        <v>44736</v>
      </c>
      <c r="E1046" s="3">
        <f ca="1">IFERROR(__xludf.DUMMYFUNCTION("""COMPUTED_VALUE"""),0.502881944445107)</f>
        <v>0.50288194444510703</v>
      </c>
      <c r="F1046" s="1">
        <f ca="1">IFERROR(__xludf.DUMMYFUNCTION("""COMPUTED_VALUE"""),44678)</f>
        <v>44678</v>
      </c>
      <c r="G1046" s="1" t="str">
        <f ca="1">IFERROR(__xludf.DUMMYFUNCTION("""COMPUTED_VALUE"""),"13.0104/77.5673")</f>
        <v>13.0104/77.5673</v>
      </c>
      <c r="H1046" s="1" t="str">
        <f ca="1">IFERROR(__xludf.DUMMYFUNCTION("""COMPUTED_VALUE"""),"Malleshwaram")</f>
        <v>Malleshwaram</v>
      </c>
      <c r="I1046" s="1"/>
      <c r="J1046" s="1" t="str">
        <f ca="1">IFERROR(__xludf.DUMMYFUNCTION("""COMPUTED_VALUE"""),"28d 22h 48m")</f>
        <v>28d 22h 48m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13.2">
      <c r="A1047" s="1">
        <f ca="1">IFERROR(__xludf.DUMMYFUNCTION("""COMPUTED_VALUE"""),128)</f>
        <v>128</v>
      </c>
      <c r="B1047" s="1" t="str">
        <f ca="1">IFERROR(__xludf.DUMMYFUNCTION("""COMPUTED_VALUE"""),"NE3_KA04B7114_Tanker")</f>
        <v>NE3_KA04B7114_Tanker</v>
      </c>
      <c r="C1047" s="1" t="str">
        <f ca="1">IFERROR(__xludf.DUMMYFUNCTION("""COMPUTED_VALUE"""),"ne3_ka04b7114_tanker")</f>
        <v>ne3_ka04b7114_tanker</v>
      </c>
      <c r="D1047" s="2">
        <f ca="1">IFERROR(__xludf.DUMMYFUNCTION("""COMPUTED_VALUE"""),44767)</f>
        <v>44767</v>
      </c>
      <c r="E1047" s="3">
        <f ca="1">IFERROR(__xludf.DUMMYFUNCTION("""COMPUTED_VALUE"""),0.68950231481358)</f>
        <v>0.68950231481358004</v>
      </c>
      <c r="F1047" s="1">
        <f ca="1">IFERROR(__xludf.DUMMYFUNCTION("""COMPUTED_VALUE"""),45423)</f>
        <v>45423</v>
      </c>
      <c r="G1047" s="1" t="str">
        <f ca="1">IFERROR(__xludf.DUMMYFUNCTION("""COMPUTED_VALUE"""),"13.0110/77.5673")</f>
        <v>13.0110/77.5673</v>
      </c>
      <c r="H1047" s="1" t="str">
        <f ca="1">IFERROR(__xludf.DUMMYFUNCTION("""COMPUTED_VALUE"""),"Malleshwaram")</f>
        <v>Malleshwaram</v>
      </c>
      <c r="I1047" s="1"/>
      <c r="J1047" s="1" t="str">
        <f ca="1">IFERROR(__xludf.DUMMYFUNCTION("""COMPUTED_VALUE"""),"28d 22h 49m")</f>
        <v>28d 22h 49m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13.2">
      <c r="A1048" s="1">
        <f ca="1">IFERROR(__xludf.DUMMYFUNCTION("""COMPUTED_VALUE"""),143)</f>
        <v>143</v>
      </c>
      <c r="B1048" s="1" t="str">
        <f ca="1">IFERROR(__xludf.DUMMYFUNCTION("""COMPUTED_VALUE"""),"NE3_KA04B7114_Tanker")</f>
        <v>NE3_KA04B7114_Tanker</v>
      </c>
      <c r="C1048" s="1" t="str">
        <f ca="1">IFERROR(__xludf.DUMMYFUNCTION("""COMPUTED_VALUE"""),"ne3_ka04b7114_tanker")</f>
        <v>ne3_ka04b7114_tanker</v>
      </c>
      <c r="D1048" s="2">
        <f ca="1">IFERROR(__xludf.DUMMYFUNCTION("""COMPUTED_VALUE"""),44798)</f>
        <v>44798</v>
      </c>
      <c r="E1048" s="3">
        <f ca="1">IFERROR(__xludf.DUMMYFUNCTION("""COMPUTED_VALUE"""),0.605891203704231)</f>
        <v>0.605891203704231</v>
      </c>
      <c r="F1048" s="1">
        <f ca="1">IFERROR(__xludf.DUMMYFUNCTION("""COMPUTED_VALUE"""),45802)</f>
        <v>45802</v>
      </c>
      <c r="G1048" s="1" t="str">
        <f ca="1">IFERROR(__xludf.DUMMYFUNCTION("""COMPUTED_VALUE"""),"13.0111/77.5674")</f>
        <v>13.0111/77.5674</v>
      </c>
      <c r="H1048" s="1" t="str">
        <f ca="1">IFERROR(__xludf.DUMMYFUNCTION("""COMPUTED_VALUE"""),"Malleshwaram")</f>
        <v>Malleshwaram</v>
      </c>
      <c r="I1048" s="1"/>
      <c r="J1048" s="1" t="str">
        <f ca="1">IFERROR(__xludf.DUMMYFUNCTION("""COMPUTED_VALUE"""),"28d 22h 49m")</f>
        <v>28d 22h 49m</v>
      </c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13.2">
      <c r="A1049" s="1">
        <f ca="1">IFERROR(__xludf.DUMMYFUNCTION("""COMPUTED_VALUE"""),100)</f>
        <v>100</v>
      </c>
      <c r="B1049" s="1" t="str">
        <f ca="1">IFERROR(__xludf.DUMMYFUNCTION("""COMPUTED_VALUE"""),"NE3_KA04B7114_Tanker")</f>
        <v>NE3_KA04B7114_Tanker</v>
      </c>
      <c r="C1049" s="1" t="str">
        <f ca="1">IFERROR(__xludf.DUMMYFUNCTION("""COMPUTED_VALUE"""),"ne3_ka04b7114_tanker")</f>
        <v>ne3_ka04b7114_tanker</v>
      </c>
      <c r="D1049" s="2">
        <f ca="1">IFERROR(__xludf.DUMMYFUNCTION("""COMPUTED_VALUE"""),44818)</f>
        <v>44818</v>
      </c>
      <c r="E1049" s="3">
        <f ca="1">IFERROR(__xludf.DUMMYFUNCTION("""COMPUTED_VALUE"""),0.779409722221316)</f>
        <v>0.77940972222131599</v>
      </c>
      <c r="F1049" s="1">
        <f ca="1">IFERROR(__xludf.DUMMYFUNCTION("""COMPUTED_VALUE"""),46168)</f>
        <v>46168</v>
      </c>
      <c r="G1049" s="1" t="str">
        <f ca="1">IFERROR(__xludf.DUMMYFUNCTION("""COMPUTED_VALUE"""),"13.0190/77.5839")</f>
        <v>13.0190/77.5839</v>
      </c>
      <c r="H1049" s="1" t="str">
        <f ca="1">IFERROR(__xludf.DUMMYFUNCTION("""COMPUTED_VALUE"""),"Kaisar-i Hind Mills")</f>
        <v>Kaisar-i Hind Mills</v>
      </c>
      <c r="I1049" s="1"/>
      <c r="J1049" s="1" t="str">
        <f ca="1">IFERROR(__xludf.DUMMYFUNCTION("""COMPUTED_VALUE"""),"28d 22h 50m")</f>
        <v>28d 22h 50m</v>
      </c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13.2">
      <c r="A1050" s="1">
        <f ca="1">IFERROR(__xludf.DUMMYFUNCTION("""COMPUTED_VALUE"""),112)</f>
        <v>112</v>
      </c>
      <c r="B1050" s="1" t="str">
        <f ca="1">IFERROR(__xludf.DUMMYFUNCTION("""COMPUTED_VALUE"""),"NE3_KA04B7114_Tanker")</f>
        <v>NE3_KA04B7114_Tanker</v>
      </c>
      <c r="C1050" s="1" t="str">
        <f ca="1">IFERROR(__xludf.DUMMYFUNCTION("""COMPUTED_VALUE"""),"ne3_ka04b7114_tanker")</f>
        <v>ne3_ka04b7114_tanker</v>
      </c>
      <c r="D1050" s="2">
        <f ca="1">IFERROR(__xludf.DUMMYFUNCTION("""COMPUTED_VALUE"""),44859)</f>
        <v>44859</v>
      </c>
      <c r="E1050" s="3">
        <f ca="1">IFERROR(__xludf.DUMMYFUNCTION("""COMPUTED_VALUE"""),0.568993055556347)</f>
        <v>0.56899305555634705</v>
      </c>
      <c r="F1050" s="1">
        <f ca="1">IFERROR(__xludf.DUMMYFUNCTION("""COMPUTED_VALUE"""),46485)</f>
        <v>46485</v>
      </c>
      <c r="G1050" s="1" t="str">
        <f ca="1">IFERROR(__xludf.DUMMYFUNCTION("""COMPUTED_VALUE"""),"13.0109/77.5672")</f>
        <v>13.0109/77.5672</v>
      </c>
      <c r="H1050" s="1" t="str">
        <f ca="1">IFERROR(__xludf.DUMMYFUNCTION("""COMPUTED_VALUE"""),"Malleshwaram")</f>
        <v>Malleshwaram</v>
      </c>
      <c r="I1050" s="1"/>
      <c r="J1050" s="1" t="str">
        <f ca="1">IFERROR(__xludf.DUMMYFUNCTION("""COMPUTED_VALUE"""),"28d 22h 51m")</f>
        <v>28d 22h 51m</v>
      </c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13.2">
      <c r="A1051" s="1">
        <f ca="1">IFERROR(__xludf.DUMMYFUNCTION("""COMPUTED_VALUE"""),133)</f>
        <v>133</v>
      </c>
      <c r="B1051" s="1" t="str">
        <f ca="1">IFERROR(__xludf.DUMMYFUNCTION("""COMPUTED_VALUE"""),"NE3_KA04C3715_Jetting")</f>
        <v>NE3_KA04C3715_Jetting</v>
      </c>
      <c r="C1051" s="1" t="str">
        <f ca="1">IFERROR(__xludf.DUMMYFUNCTION("""COMPUTED_VALUE"""),"ne3_ka04c3715_jetting")</f>
        <v>ne3_ka04c3715_jetting</v>
      </c>
      <c r="D1051" s="2">
        <f ca="1">IFERROR(__xludf.DUMMYFUNCTION("""COMPUTED_VALUE"""),44707)</f>
        <v>44707</v>
      </c>
      <c r="E1051" s="3">
        <f ca="1">IFERROR(__xludf.DUMMYFUNCTION("""COMPUTED_VALUE"""),0.689340277778683)</f>
        <v>0.68934027777868301</v>
      </c>
      <c r="F1051" s="1">
        <f ca="1">IFERROR(__xludf.DUMMYFUNCTION("""COMPUTED_VALUE"""),18077)</f>
        <v>18077</v>
      </c>
      <c r="G1051" s="1" t="str">
        <f ca="1">IFERROR(__xludf.DUMMYFUNCTION("""COMPUTED_VALUE"""),"13.0334/77.5898")</f>
        <v>13.0334/77.5898</v>
      </c>
      <c r="H1051" s="1" t="str">
        <f ca="1">IFERROR(__xludf.DUMMYFUNCTION("""COMPUTED_VALUE"""),"Ananda Nagar")</f>
        <v>Ananda Nagar</v>
      </c>
      <c r="I1051" s="1"/>
      <c r="J1051" s="1" t="str">
        <f ca="1">IFERROR(__xludf.DUMMYFUNCTION("""COMPUTED_VALUE"""),"0d 00h 00m")</f>
        <v>0d 00h 00m</v>
      </c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13.2">
      <c r="A1052" s="1">
        <f ca="1">IFERROR(__xludf.DUMMYFUNCTION("""COMPUTED_VALUE"""),107)</f>
        <v>107</v>
      </c>
      <c r="B1052" s="1" t="str">
        <f ca="1">IFERROR(__xludf.DUMMYFUNCTION("""COMPUTED_VALUE"""),"NE3_KA04C3715_Jetting")</f>
        <v>NE3_KA04C3715_Jetting</v>
      </c>
      <c r="C1052" s="1" t="str">
        <f ca="1">IFERROR(__xludf.DUMMYFUNCTION("""COMPUTED_VALUE"""),"ne3_ka04c3715_jetting")</f>
        <v>ne3_ka04c3715_jetting</v>
      </c>
      <c r="D1052" s="2">
        <f ca="1">IFERROR(__xludf.DUMMYFUNCTION("""COMPUTED_VALUE"""),44735)</f>
        <v>44735</v>
      </c>
      <c r="E1052" s="3">
        <f ca="1">IFERROR(__xludf.DUMMYFUNCTION("""COMPUTED_VALUE"""),0.517418981482478)</f>
        <v>0.517418981482478</v>
      </c>
      <c r="F1052" s="1">
        <f ca="1">IFERROR(__xludf.DUMMYFUNCTION("""COMPUTED_VALUE"""),18093)</f>
        <v>18093</v>
      </c>
      <c r="G1052" s="1" t="str">
        <f ca="1">IFERROR(__xludf.DUMMYFUNCTION("""COMPUTED_VALUE"""),"13.0351/77.6004")</f>
        <v>13.0351/77.6004</v>
      </c>
      <c r="H1052" s="1" t="str">
        <f ca="1">IFERROR(__xludf.DUMMYFUNCTION("""COMPUTED_VALUE"""),"Not found!")</f>
        <v>Not found!</v>
      </c>
      <c r="I1052" s="1"/>
      <c r="J1052" s="1" t="str">
        <f ca="1">IFERROR(__xludf.DUMMYFUNCTION("""COMPUTED_VALUE"""),"0d 00h 00m")</f>
        <v>0d 00h 00m</v>
      </c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13.2">
      <c r="A1053" s="1">
        <f ca="1">IFERROR(__xludf.DUMMYFUNCTION("""COMPUTED_VALUE"""),139)</f>
        <v>139</v>
      </c>
      <c r="B1053" s="1" t="str">
        <f ca="1">IFERROR(__xludf.DUMMYFUNCTION("""COMPUTED_VALUE"""),"NE3_KA04C3715_Jetting")</f>
        <v>NE3_KA04C3715_Jetting</v>
      </c>
      <c r="C1053" s="1" t="str">
        <f ca="1">IFERROR(__xludf.DUMMYFUNCTION("""COMPUTED_VALUE"""),"ne3_ka04c3715_jetting")</f>
        <v>ne3_ka04c3715_jetting</v>
      </c>
      <c r="D1053" s="2">
        <f ca="1">IFERROR(__xludf.DUMMYFUNCTION("""COMPUTED_VALUE"""),44768)</f>
        <v>44768</v>
      </c>
      <c r="E1053" s="3">
        <f ca="1">IFERROR(__xludf.DUMMYFUNCTION("""COMPUTED_VALUE"""),0.577222222222189)</f>
        <v>0.577222222222189</v>
      </c>
      <c r="F1053" s="1">
        <f ca="1">IFERROR(__xludf.DUMMYFUNCTION("""COMPUTED_VALUE"""),18094)</f>
        <v>18094</v>
      </c>
      <c r="G1053" s="1" t="str">
        <f ca="1">IFERROR(__xludf.DUMMYFUNCTION("""COMPUTED_VALUE"""),"13.0342/77.6060")</f>
        <v>13.0342/77.6060</v>
      </c>
      <c r="H1053" s="1" t="str">
        <f ca="1">IFERROR(__xludf.DUMMYFUNCTION("""COMPUTED_VALUE"""),"Kanaka Nagar")</f>
        <v>Kanaka Nagar</v>
      </c>
      <c r="I1053" s="1"/>
      <c r="J1053" s="1" t="str">
        <f ca="1">IFERROR(__xludf.DUMMYFUNCTION("""COMPUTED_VALUE"""),"0d 00h 00m")</f>
        <v>0d 00h 00m</v>
      </c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13.2">
      <c r="A1054" s="1">
        <f ca="1">IFERROR(__xludf.DUMMYFUNCTION("""COMPUTED_VALUE"""),85)</f>
        <v>85</v>
      </c>
      <c r="B1054" s="1" t="str">
        <f ca="1">IFERROR(__xludf.DUMMYFUNCTION("""COMPUTED_VALUE"""),"NE3_KA04C3715_Jetting")</f>
        <v>NE3_KA04C3715_Jetting</v>
      </c>
      <c r="C1054" s="1" t="str">
        <f ca="1">IFERROR(__xludf.DUMMYFUNCTION("""COMPUTED_VALUE"""),"ne3_ka04c3715_jetting")</f>
        <v>ne3_ka04c3715_jetting</v>
      </c>
      <c r="D1054" s="2">
        <f ca="1">IFERROR(__xludf.DUMMYFUNCTION("""COMPUTED_VALUE"""),44768)</f>
        <v>44768</v>
      </c>
      <c r="E1054" s="3">
        <f ca="1">IFERROR(__xludf.DUMMYFUNCTION("""COMPUTED_VALUE"""),0.577222222222189)</f>
        <v>0.577222222222189</v>
      </c>
      <c r="F1054" s="1">
        <f ca="1">IFERROR(__xludf.DUMMYFUNCTION("""COMPUTED_VALUE"""),18094)</f>
        <v>18094</v>
      </c>
      <c r="G1054" s="1" t="str">
        <f ca="1">IFERROR(__xludf.DUMMYFUNCTION("""COMPUTED_VALUE"""),"13.0342/77.6060")</f>
        <v>13.0342/77.6060</v>
      </c>
      <c r="H1054" s="1" t="str">
        <f ca="1">IFERROR(__xludf.DUMMYFUNCTION("""COMPUTED_VALUE"""),"Kanaka Nagar")</f>
        <v>Kanaka Nagar</v>
      </c>
      <c r="I1054" s="1"/>
      <c r="J1054" s="1" t="str">
        <f ca="1">IFERROR(__xludf.DUMMYFUNCTION("""COMPUTED_VALUE"""),"0d 00h 00m")</f>
        <v>0d 00h 00m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13.2">
      <c r="A1055" s="1">
        <f ca="1">IFERROR(__xludf.DUMMYFUNCTION("""COMPUTED_VALUE"""),213)</f>
        <v>213</v>
      </c>
      <c r="B1055" s="1" t="str">
        <f ca="1">IFERROR(__xludf.DUMMYFUNCTION("""COMPUTED_VALUE"""),"NE3_KA04C3715_Jetting")</f>
        <v>NE3_KA04C3715_Jetting</v>
      </c>
      <c r="C1055" s="1" t="str">
        <f ca="1">IFERROR(__xludf.DUMMYFUNCTION("""COMPUTED_VALUE"""),"ne3_ka04c3715_jetting")</f>
        <v>ne3_ka04c3715_jetting</v>
      </c>
      <c r="D1055" s="2">
        <f ca="1">IFERROR(__xludf.DUMMYFUNCTION("""COMPUTED_VALUE"""),44830)</f>
        <v>44830</v>
      </c>
      <c r="E1055" s="3">
        <f ca="1">IFERROR(__xludf.DUMMYFUNCTION("""COMPUTED_VALUE"""),0.99921296296452)</f>
        <v>0.99921296296452</v>
      </c>
      <c r="F1055" s="1">
        <f ca="1">IFERROR(__xludf.DUMMYFUNCTION("""COMPUTED_VALUE"""),18201)</f>
        <v>18201</v>
      </c>
      <c r="G1055" s="1" t="str">
        <f ca="1">IFERROR(__xludf.DUMMYFUNCTION("""COMPUTED_VALUE"""),"13.0115/77.5659")</f>
        <v>13.0115/77.5659</v>
      </c>
      <c r="H1055" s="1" t="str">
        <f ca="1">IFERROR(__xludf.DUMMYFUNCTION("""COMPUTED_VALUE"""),"Malleshwaram")</f>
        <v>Malleshwaram</v>
      </c>
      <c r="I1055" s="1"/>
      <c r="J1055" s="1" t="str">
        <f ca="1">IFERROR(__xludf.DUMMYFUNCTION("""COMPUTED_VALUE"""),"0d 00h 00m")</f>
        <v>0d 00h 00m</v>
      </c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13.2">
      <c r="A1056" s="1">
        <f ca="1">IFERROR(__xludf.DUMMYFUNCTION("""COMPUTED_VALUE"""),221)</f>
        <v>221</v>
      </c>
      <c r="B1056" s="1" t="str">
        <f ca="1">IFERROR(__xludf.DUMMYFUNCTION("""COMPUTED_VALUE"""),"NE3_KA04C3715_Jetting")</f>
        <v>NE3_KA04C3715_Jetting</v>
      </c>
      <c r="C1056" s="1" t="str">
        <f ca="1">IFERROR(__xludf.DUMMYFUNCTION("""COMPUTED_VALUE"""),"ne3_ka04c3715_jetting")</f>
        <v>ne3_ka04c3715_jetting</v>
      </c>
      <c r="D1056" s="2">
        <f ca="1">IFERROR(__xludf.DUMMYFUNCTION("""COMPUTED_VALUE"""),44860)</f>
        <v>44860</v>
      </c>
      <c r="E1056" s="3">
        <f ca="1">IFERROR(__xludf.DUMMYFUNCTION("""COMPUTED_VALUE"""),0.999236111110803)</f>
        <v>0.99923611111080302</v>
      </c>
      <c r="F1056" s="1">
        <f ca="1">IFERROR(__xludf.DUMMYFUNCTION("""COMPUTED_VALUE"""),18631)</f>
        <v>18631</v>
      </c>
      <c r="G1056" s="1" t="str">
        <f ca="1">IFERROR(__xludf.DUMMYFUNCTION("""COMPUTED_VALUE"""),"13.0108/77.5669")</f>
        <v>13.0108/77.5669</v>
      </c>
      <c r="H1056" s="1" t="str">
        <f ca="1">IFERROR(__xludf.DUMMYFUNCTION("""COMPUTED_VALUE"""),"Malleshwaram")</f>
        <v>Malleshwaram</v>
      </c>
      <c r="I1056" s="1"/>
      <c r="J1056" s="1" t="str">
        <f ca="1">IFERROR(__xludf.DUMMYFUNCTION("""COMPUTED_VALUE"""),"0d 00h 00m")</f>
        <v>0d 00h 00m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13.2">
      <c r="A1057" s="1">
        <f ca="1">IFERROR(__xludf.DUMMYFUNCTION("""COMPUTED_VALUE"""),237)</f>
        <v>237</v>
      </c>
      <c r="B1057" s="1" t="str">
        <f ca="1">IFERROR(__xludf.DUMMYFUNCTION("""COMPUTED_VALUE"""),"NE3_KA04C5140_Jetting")</f>
        <v>NE3_KA04C5140_Jetting</v>
      </c>
      <c r="C1057" s="1" t="str">
        <f ca="1">IFERROR(__xludf.DUMMYFUNCTION("""COMPUTED_VALUE"""),"ne3_ka04c5140_jetting")</f>
        <v>ne3_ka04c5140_jetting</v>
      </c>
      <c r="D1057" s="2">
        <f ca="1">IFERROR(__xludf.DUMMYFUNCTION("""COMPUTED_VALUE"""),44707)</f>
        <v>44707</v>
      </c>
      <c r="E1057" s="3">
        <f ca="1">IFERROR(__xludf.DUMMYFUNCTION("""COMPUTED_VALUE"""),0.999317129630071)</f>
        <v>0.99931712963007102</v>
      </c>
      <c r="F1057" s="1">
        <f ca="1">IFERROR(__xludf.DUMMYFUNCTION("""COMPUTED_VALUE"""),23205)</f>
        <v>23205</v>
      </c>
      <c r="G1057" s="1" t="str">
        <f ca="1">IFERROR(__xludf.DUMMYFUNCTION("""COMPUTED_VALUE"""),"13.0104/77.5670")</f>
        <v>13.0104/77.5670</v>
      </c>
      <c r="H1057" s="1" t="str">
        <f ca="1">IFERROR(__xludf.DUMMYFUNCTION("""COMPUTED_VALUE"""),"Malleshwaram")</f>
        <v>Malleshwaram</v>
      </c>
      <c r="I1057" s="1"/>
      <c r="J1057" s="1" t="str">
        <f ca="1">IFERROR(__xludf.DUMMYFUNCTION("""COMPUTED_VALUE"""),"2d 00h 49m")</f>
        <v>2d 00h 49m</v>
      </c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13.2">
      <c r="A1058" s="1">
        <f ca="1">IFERROR(__xludf.DUMMYFUNCTION("""COMPUTED_VALUE"""),167)</f>
        <v>167</v>
      </c>
      <c r="B1058" s="1" t="str">
        <f ca="1">IFERROR(__xludf.DUMMYFUNCTION("""COMPUTED_VALUE"""),"NE3_KA04C5140_Jetting")</f>
        <v>NE3_KA04C5140_Jetting</v>
      </c>
      <c r="C1058" s="1" t="str">
        <f ca="1">IFERROR(__xludf.DUMMYFUNCTION("""COMPUTED_VALUE"""),"ne3_ka04c5140_jetting")</f>
        <v>ne3_ka04c5140_jetting</v>
      </c>
      <c r="D1058" s="2">
        <f ca="1">IFERROR(__xludf.DUMMYFUNCTION("""COMPUTED_VALUE"""),44738)</f>
        <v>44738</v>
      </c>
      <c r="E1058" s="3">
        <f ca="1">IFERROR(__xludf.DUMMYFUNCTION("""COMPUTED_VALUE"""),0.99900462962978)</f>
        <v>0.99900462962977998</v>
      </c>
      <c r="F1058" s="1">
        <f ca="1">IFERROR(__xludf.DUMMYFUNCTION("""COMPUTED_VALUE"""),23645)</f>
        <v>23645</v>
      </c>
      <c r="G1058" s="1" t="str">
        <f ca="1">IFERROR(__xludf.DUMMYFUNCTION("""COMPUTED_VALUE"""),"13.0103/77.5669")</f>
        <v>13.0103/77.5669</v>
      </c>
      <c r="H1058" s="1" t="str">
        <f ca="1">IFERROR(__xludf.DUMMYFUNCTION("""COMPUTED_VALUE"""),"Malleshwaram")</f>
        <v>Malleshwaram</v>
      </c>
      <c r="I1058" s="1"/>
      <c r="J1058" s="1" t="str">
        <f ca="1">IFERROR(__xludf.DUMMYFUNCTION("""COMPUTED_VALUE"""),"2d 00h 51m")</f>
        <v>2d 00h 51m</v>
      </c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13.2">
      <c r="A1059" s="1">
        <f ca="1">IFERROR(__xludf.DUMMYFUNCTION("""COMPUTED_VALUE"""),221)</f>
        <v>221</v>
      </c>
      <c r="B1059" s="1" t="str">
        <f ca="1">IFERROR(__xludf.DUMMYFUNCTION("""COMPUTED_VALUE"""),"NE3_KA04C5140_Jetting")</f>
        <v>NE3_KA04C5140_Jetting</v>
      </c>
      <c r="C1059" s="1" t="str">
        <f ca="1">IFERROR(__xludf.DUMMYFUNCTION("""COMPUTED_VALUE"""),"ne3_ka04c5140_jetting")</f>
        <v>ne3_ka04c5140_jetting</v>
      </c>
      <c r="D1059" s="2">
        <f ca="1">IFERROR(__xludf.DUMMYFUNCTION("""COMPUTED_VALUE"""),44768)</f>
        <v>44768</v>
      </c>
      <c r="E1059" s="3">
        <f ca="1">IFERROR(__xludf.DUMMYFUNCTION("""COMPUTED_VALUE"""),0.999247685183945)</f>
        <v>0.99924768518394502</v>
      </c>
      <c r="F1059" s="1">
        <f ca="1">IFERROR(__xludf.DUMMYFUNCTION("""COMPUTED_VALUE"""),24375)</f>
        <v>24375</v>
      </c>
      <c r="G1059" s="1" t="str">
        <f ca="1">IFERROR(__xludf.DUMMYFUNCTION("""COMPUTED_VALUE"""),"13.0106/77.5671")</f>
        <v>13.0106/77.5671</v>
      </c>
      <c r="H1059" s="1" t="str">
        <f ca="1">IFERROR(__xludf.DUMMYFUNCTION("""COMPUTED_VALUE"""),"Malleshwaram")</f>
        <v>Malleshwaram</v>
      </c>
      <c r="I1059" s="1"/>
      <c r="J1059" s="1" t="str">
        <f ca="1">IFERROR(__xludf.DUMMYFUNCTION("""COMPUTED_VALUE"""),"2d 00h 51m")</f>
        <v>2d 00h 51m</v>
      </c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13.2">
      <c r="A1060" s="1">
        <f ca="1">IFERROR(__xludf.DUMMYFUNCTION("""COMPUTED_VALUE"""),190)</f>
        <v>190</v>
      </c>
      <c r="B1060" s="1" t="str">
        <f ca="1">IFERROR(__xludf.DUMMYFUNCTION("""COMPUTED_VALUE"""),"NE3_KA04C5140_Jetting")</f>
        <v>NE3_KA04C5140_Jetting</v>
      </c>
      <c r="C1060" s="1" t="str">
        <f ca="1">IFERROR(__xludf.DUMMYFUNCTION("""COMPUTED_VALUE"""),"ne3_ka04c5140_jetting")</f>
        <v>ne3_ka04c5140_jetting</v>
      </c>
      <c r="D1060" s="2">
        <f ca="1">IFERROR(__xludf.DUMMYFUNCTION("""COMPUTED_VALUE"""),44799)</f>
        <v>44799</v>
      </c>
      <c r="E1060" s="3">
        <f ca="1">IFERROR(__xludf.DUMMYFUNCTION("""COMPUTED_VALUE"""),0.999062499999126)</f>
        <v>0.999062499999126</v>
      </c>
      <c r="F1060" s="1">
        <f ca="1">IFERROR(__xludf.DUMMYFUNCTION("""COMPUTED_VALUE"""),24717)</f>
        <v>24717</v>
      </c>
      <c r="G1060" s="1" t="str">
        <f ca="1">IFERROR(__xludf.DUMMYFUNCTION("""COMPUTED_VALUE"""),"13.0104/77.5669")</f>
        <v>13.0104/77.5669</v>
      </c>
      <c r="H1060" s="1" t="str">
        <f ca="1">IFERROR(__xludf.DUMMYFUNCTION("""COMPUTED_VALUE"""),"Malleshwaram")</f>
        <v>Malleshwaram</v>
      </c>
      <c r="I1060" s="1"/>
      <c r="J1060" s="1" t="str">
        <f ca="1">IFERROR(__xludf.DUMMYFUNCTION("""COMPUTED_VALUE"""),"2d 00h 52m")</f>
        <v>2d 00h 52m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13.2">
      <c r="A1061" s="1">
        <f ca="1">IFERROR(__xludf.DUMMYFUNCTION("""COMPUTED_VALUE"""),200)</f>
        <v>200</v>
      </c>
      <c r="B1061" s="1" t="str">
        <f ca="1">IFERROR(__xludf.DUMMYFUNCTION("""COMPUTED_VALUE"""),"NE3_KA04C5140_Jetting")</f>
        <v>NE3_KA04C5140_Jetting</v>
      </c>
      <c r="C1061" s="1" t="str">
        <f ca="1">IFERROR(__xludf.DUMMYFUNCTION("""COMPUTED_VALUE"""),"ne3_ka04c5140_jetting")</f>
        <v>ne3_ka04c5140_jetting</v>
      </c>
      <c r="D1061" s="2">
        <f ca="1">IFERROR(__xludf.DUMMYFUNCTION("""COMPUTED_VALUE"""),44830)</f>
        <v>44830</v>
      </c>
      <c r="E1061" s="3">
        <f ca="1">IFERROR(__xludf.DUMMYFUNCTION("""COMPUTED_VALUE"""),0.999131944445252)</f>
        <v>0.999131944445252</v>
      </c>
      <c r="F1061" s="1">
        <f ca="1">IFERROR(__xludf.DUMMYFUNCTION("""COMPUTED_VALUE"""),25199)</f>
        <v>25199</v>
      </c>
      <c r="G1061" s="1" t="str">
        <f ca="1">IFERROR(__xludf.DUMMYFUNCTION("""COMPUTED_VALUE"""),"13.0104/77.5669")</f>
        <v>13.0104/77.5669</v>
      </c>
      <c r="H1061" s="1" t="str">
        <f ca="1">IFERROR(__xludf.DUMMYFUNCTION("""COMPUTED_VALUE"""),"Malleshwaram")</f>
        <v>Malleshwaram</v>
      </c>
      <c r="I1061" s="1"/>
      <c r="J1061" s="1" t="str">
        <f ca="1">IFERROR(__xludf.DUMMYFUNCTION("""COMPUTED_VALUE"""),"2d 00h 53m")</f>
        <v>2d 00h 53m</v>
      </c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13.2">
      <c r="A1062" s="1">
        <f ca="1">IFERROR(__xludf.DUMMYFUNCTION("""COMPUTED_VALUE"""),196)</f>
        <v>196</v>
      </c>
      <c r="B1062" s="1" t="str">
        <f ca="1">IFERROR(__xludf.DUMMYFUNCTION("""COMPUTED_VALUE"""),"NE3_KA04C5140_Jetting")</f>
        <v>NE3_KA04C5140_Jetting</v>
      </c>
      <c r="C1062" s="1" t="str">
        <f ca="1">IFERROR(__xludf.DUMMYFUNCTION("""COMPUTED_VALUE"""),"ne3_ka04c5140_jetting")</f>
        <v>ne3_ka04c5140_jetting</v>
      </c>
      <c r="D1062" s="2">
        <f ca="1">IFERROR(__xludf.DUMMYFUNCTION("""COMPUTED_VALUE"""),44860)</f>
        <v>44860</v>
      </c>
      <c r="E1062" s="3">
        <f ca="1">IFERROR(__xludf.DUMMYFUNCTION("""COMPUTED_VALUE"""),0.999131944445252)</f>
        <v>0.999131944445252</v>
      </c>
      <c r="F1062" s="1">
        <f ca="1">IFERROR(__xludf.DUMMYFUNCTION("""COMPUTED_VALUE"""),25603)</f>
        <v>25603</v>
      </c>
      <c r="G1062" s="1" t="str">
        <f ca="1">IFERROR(__xludf.DUMMYFUNCTION("""COMPUTED_VALUE"""),"13.0104/77.5669")</f>
        <v>13.0104/77.5669</v>
      </c>
      <c r="H1062" s="1" t="str">
        <f ca="1">IFERROR(__xludf.DUMMYFUNCTION("""COMPUTED_VALUE"""),"Malleshwaram")</f>
        <v>Malleshwaram</v>
      </c>
      <c r="I1062" s="1"/>
      <c r="J1062" s="1" t="str">
        <f ca="1">IFERROR(__xludf.DUMMYFUNCTION("""COMPUTED_VALUE"""),"2d 00h 54m")</f>
        <v>2d 00h 54m</v>
      </c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13.2">
      <c r="A1063" s="1">
        <f ca="1">IFERROR(__xludf.DUMMYFUNCTION("""COMPUTED_VALUE"""),102)</f>
        <v>102</v>
      </c>
      <c r="B1063" s="1" t="str">
        <f ca="1">IFERROR(__xludf.DUMMYFUNCTION("""COMPUTED_VALUE"""),"NE3_KA04D4115_Jetting")</f>
        <v>NE3_KA04D4115_Jetting</v>
      </c>
      <c r="C1063" s="1" t="str">
        <f ca="1">IFERROR(__xludf.DUMMYFUNCTION("""COMPUTED_VALUE"""),"ne3_ka04d4115_jetting")</f>
        <v>ne3_ka04d4115_jetting</v>
      </c>
      <c r="D1063" s="2">
        <f ca="1">IFERROR(__xludf.DUMMYFUNCTION("""COMPUTED_VALUE"""),44704)</f>
        <v>44704</v>
      </c>
      <c r="E1063" s="3">
        <f ca="1">IFERROR(__xludf.DUMMYFUNCTION("""COMPUTED_VALUE"""),0.554756944446126)</f>
        <v>0.554756944446126</v>
      </c>
      <c r="F1063" s="1">
        <f ca="1">IFERROR(__xludf.DUMMYFUNCTION("""COMPUTED_VALUE"""),28367)</f>
        <v>28367</v>
      </c>
      <c r="G1063" s="1" t="str">
        <f ca="1">IFERROR(__xludf.DUMMYFUNCTION("""COMPUTED_VALUE"""),"13.0250/77.5921")</f>
        <v>13.0250/77.5921</v>
      </c>
      <c r="H1063" s="1" t="str">
        <f ca="1">IFERROR(__xludf.DUMMYFUNCTION("""COMPUTED_VALUE"""),"HMT Layout")</f>
        <v>HMT Layout</v>
      </c>
      <c r="I1063" s="1"/>
      <c r="J1063" s="1" t="str">
        <f ca="1">IFERROR(__xludf.DUMMYFUNCTION("""COMPUTED_VALUE"""),"34d 13h 05m")</f>
        <v>34d 13h 05m</v>
      </c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13.2">
      <c r="A1064" s="1">
        <f ca="1">IFERROR(__xludf.DUMMYFUNCTION("""COMPUTED_VALUE"""),206)</f>
        <v>206</v>
      </c>
      <c r="B1064" s="1" t="str">
        <f ca="1">IFERROR(__xludf.DUMMYFUNCTION("""COMPUTED_VALUE"""),"NE3_KA04D4115_Jetting")</f>
        <v>NE3_KA04D4115_Jetting</v>
      </c>
      <c r="C1064" s="1" t="str">
        <f ca="1">IFERROR(__xludf.DUMMYFUNCTION("""COMPUTED_VALUE"""),"ne3_ka04d4115_jetting")</f>
        <v>ne3_ka04d4115_jetting</v>
      </c>
      <c r="D1064" s="2">
        <f ca="1">IFERROR(__xludf.DUMMYFUNCTION("""COMPUTED_VALUE"""),44738)</f>
        <v>44738</v>
      </c>
      <c r="E1064" s="3">
        <f ca="1">IFERROR(__xludf.DUMMYFUNCTION("""COMPUTED_VALUE"""),0.999178240741457)</f>
        <v>0.999178240741457</v>
      </c>
      <c r="F1064" s="1">
        <f ca="1">IFERROR(__xludf.DUMMYFUNCTION("""COMPUTED_VALUE"""),28674)</f>
        <v>28674</v>
      </c>
      <c r="G1064" s="1" t="str">
        <f ca="1">IFERROR(__xludf.DUMMYFUNCTION("""COMPUTED_VALUE"""),"13.0235/77.5937")</f>
        <v>13.0235/77.5937</v>
      </c>
      <c r="H1064" s="1" t="str">
        <f ca="1">IFERROR(__xludf.DUMMYFUNCTION("""COMPUTED_VALUE"""),"Coreltree")</f>
        <v>Coreltree</v>
      </c>
      <c r="I1064" s="1"/>
      <c r="J1064" s="1" t="str">
        <f ca="1">IFERROR(__xludf.DUMMYFUNCTION("""COMPUTED_VALUE"""),"34d 13h 06m")</f>
        <v>34d 13h 06m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13.2">
      <c r="A1065" s="1">
        <f ca="1">IFERROR(__xludf.DUMMYFUNCTION("""COMPUTED_VALUE"""),161)</f>
        <v>161</v>
      </c>
      <c r="B1065" s="1" t="str">
        <f ca="1">IFERROR(__xludf.DUMMYFUNCTION("""COMPUTED_VALUE"""),"NE3_KA04D4115_Jetting")</f>
        <v>NE3_KA04D4115_Jetting</v>
      </c>
      <c r="C1065" s="1" t="str">
        <f ca="1">IFERROR(__xludf.DUMMYFUNCTION("""COMPUTED_VALUE"""),"ne3_ka04d4115_jetting")</f>
        <v>ne3_ka04d4115_jetting</v>
      </c>
      <c r="D1065" s="2">
        <f ca="1">IFERROR(__xludf.DUMMYFUNCTION("""COMPUTED_VALUE"""),44768)</f>
        <v>44768</v>
      </c>
      <c r="E1065" s="3">
        <f ca="1">IFERROR(__xludf.DUMMYFUNCTION("""COMPUTED_VALUE"""),0.998888888887449)</f>
        <v>0.99888888888744898</v>
      </c>
      <c r="F1065" s="1">
        <f ca="1">IFERROR(__xludf.DUMMYFUNCTION("""COMPUTED_VALUE"""),29495)</f>
        <v>29495</v>
      </c>
      <c r="G1065" s="1" t="str">
        <f ca="1">IFERROR(__xludf.DUMMYFUNCTION("""COMPUTED_VALUE"""),"13.0234/77.5939")</f>
        <v>13.0234/77.5939</v>
      </c>
      <c r="H1065" s="1" t="str">
        <f ca="1">IFERROR(__xludf.DUMMYFUNCTION("""COMPUTED_VALUE"""),"Coreltree")</f>
        <v>Coreltree</v>
      </c>
      <c r="I1065" s="1"/>
      <c r="J1065" s="1" t="str">
        <f ca="1">IFERROR(__xludf.DUMMYFUNCTION("""COMPUTED_VALUE"""),"34d 13h 07m")</f>
        <v>34d 13h 07m</v>
      </c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13.2">
      <c r="A1066" s="1">
        <f ca="1">IFERROR(__xludf.DUMMYFUNCTION("""COMPUTED_VALUE"""),176)</f>
        <v>176</v>
      </c>
      <c r="B1066" s="1" t="str">
        <f ca="1">IFERROR(__xludf.DUMMYFUNCTION("""COMPUTED_VALUE"""),"NE3_KA04D4115_Jetting")</f>
        <v>NE3_KA04D4115_Jetting</v>
      </c>
      <c r="C1066" s="1" t="str">
        <f ca="1">IFERROR(__xludf.DUMMYFUNCTION("""COMPUTED_VALUE"""),"ne3_ka04d4115_jetting")</f>
        <v>ne3_ka04d4115_jetting</v>
      </c>
      <c r="D1066" s="2">
        <f ca="1">IFERROR(__xludf.DUMMYFUNCTION("""COMPUTED_VALUE"""),44799)</f>
        <v>44799</v>
      </c>
      <c r="E1066" s="3">
        <f ca="1">IFERROR(__xludf.DUMMYFUNCTION("""COMPUTED_VALUE"""),0.99900462962978)</f>
        <v>0.99900462962977998</v>
      </c>
      <c r="F1066" s="1">
        <f ca="1">IFERROR(__xludf.DUMMYFUNCTION("""COMPUTED_VALUE"""),31192)</f>
        <v>31192</v>
      </c>
      <c r="G1066" s="1" t="str">
        <f ca="1">IFERROR(__xludf.DUMMYFUNCTION("""COMPUTED_VALUE"""),"13.0235/77.5937")</f>
        <v>13.0235/77.5937</v>
      </c>
      <c r="H1066" s="1" t="str">
        <f ca="1">IFERROR(__xludf.DUMMYFUNCTION("""COMPUTED_VALUE"""),"Coreltree")</f>
        <v>Coreltree</v>
      </c>
      <c r="I1066" s="1"/>
      <c r="J1066" s="1" t="str">
        <f ca="1">IFERROR(__xludf.DUMMYFUNCTION("""COMPUTED_VALUE"""),"34d 13h 08m")</f>
        <v>34d 13h 08m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13.2">
      <c r="A1067" s="1">
        <f ca="1">IFERROR(__xludf.DUMMYFUNCTION("""COMPUTED_VALUE"""),180)</f>
        <v>180</v>
      </c>
      <c r="B1067" s="1" t="str">
        <f ca="1">IFERROR(__xludf.DUMMYFUNCTION("""COMPUTED_VALUE"""),"NE3_KA04D4115_Jetting")</f>
        <v>NE3_KA04D4115_Jetting</v>
      </c>
      <c r="C1067" s="1" t="str">
        <f ca="1">IFERROR(__xludf.DUMMYFUNCTION("""COMPUTED_VALUE"""),"ne3_ka04d4115_jetting")</f>
        <v>ne3_ka04d4115_jetting</v>
      </c>
      <c r="D1067" s="2">
        <f ca="1">IFERROR(__xludf.DUMMYFUNCTION("""COMPUTED_VALUE"""),44830)</f>
        <v>44830</v>
      </c>
      <c r="E1067" s="3">
        <f ca="1">IFERROR(__xludf.DUMMYFUNCTION("""COMPUTED_VALUE"""),0.999062499999126)</f>
        <v>0.999062499999126</v>
      </c>
      <c r="F1067" s="1">
        <f ca="1">IFERROR(__xludf.DUMMYFUNCTION("""COMPUTED_VALUE"""),31845)</f>
        <v>31845</v>
      </c>
      <c r="G1067" s="1" t="str">
        <f ca="1">IFERROR(__xludf.DUMMYFUNCTION("""COMPUTED_VALUE"""),"13.0236/77.5938")</f>
        <v>13.0236/77.5938</v>
      </c>
      <c r="H1067" s="1" t="str">
        <f ca="1">IFERROR(__xludf.DUMMYFUNCTION("""COMPUTED_VALUE"""),"Coreltree")</f>
        <v>Coreltree</v>
      </c>
      <c r="I1067" s="1"/>
      <c r="J1067" s="1" t="str">
        <f ca="1">IFERROR(__xludf.DUMMYFUNCTION("""COMPUTED_VALUE"""),"34d 13h 09m")</f>
        <v>34d 13h 09m</v>
      </c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13.2">
      <c r="A1068" s="1">
        <f ca="1">IFERROR(__xludf.DUMMYFUNCTION("""COMPUTED_VALUE"""),162)</f>
        <v>162</v>
      </c>
      <c r="B1068" s="1" t="str">
        <f ca="1">IFERROR(__xludf.DUMMYFUNCTION("""COMPUTED_VALUE"""),"NE3_KA04D4115_Jetting")</f>
        <v>NE3_KA04D4115_Jetting</v>
      </c>
      <c r="C1068" s="1" t="str">
        <f ca="1">IFERROR(__xludf.DUMMYFUNCTION("""COMPUTED_VALUE"""),"ne3_ka04d4115_jetting")</f>
        <v>ne3_ka04d4115_jetting</v>
      </c>
      <c r="D1068" s="2">
        <f ca="1">IFERROR(__xludf.DUMMYFUNCTION("""COMPUTED_VALUE"""),44860)</f>
        <v>44860</v>
      </c>
      <c r="E1068" s="3">
        <f ca="1">IFERROR(__xludf.DUMMYFUNCTION("""COMPUTED_VALUE"""),0.998981481479859)</f>
        <v>0.99898148147985899</v>
      </c>
      <c r="F1068" s="1">
        <f ca="1">IFERROR(__xludf.DUMMYFUNCTION("""COMPUTED_VALUE"""),33181)</f>
        <v>33181</v>
      </c>
      <c r="G1068" s="1" t="str">
        <f ca="1">IFERROR(__xludf.DUMMYFUNCTION("""COMPUTED_VALUE"""),"13.0235/77.5934")</f>
        <v>13.0235/77.5934</v>
      </c>
      <c r="H1068" s="1" t="str">
        <f ca="1">IFERROR(__xludf.DUMMYFUNCTION("""COMPUTED_VALUE"""),"Coreltree")</f>
        <v>Coreltree</v>
      </c>
      <c r="I1068" s="1"/>
      <c r="J1068" s="1" t="str">
        <f ca="1">IFERROR(__xludf.DUMMYFUNCTION("""COMPUTED_VALUE"""),"34d 13h 09m")</f>
        <v>34d 13h 09m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13.2">
      <c r="A1069" s="1">
        <f ca="1">IFERROR(__xludf.DUMMYFUNCTION("""COMPUTED_VALUE"""),139)</f>
        <v>139</v>
      </c>
      <c r="B1069" s="1" t="str">
        <f ca="1">IFERROR(__xludf.DUMMYFUNCTION("""COMPUTED_VALUE"""),"NW11_KA02B6769_JETTING")</f>
        <v>NW11_KA02B6769_JETTING</v>
      </c>
      <c r="C1069" s="1" t="str">
        <f ca="1">IFERROR(__xludf.DUMMYFUNCTION("""COMPUTED_VALUE"""),"nw11_ka02b6769_jetting")</f>
        <v>nw11_ka02b6769_jetting</v>
      </c>
      <c r="D1069" s="2">
        <f ca="1">IFERROR(__xludf.DUMMYFUNCTION("""COMPUTED_VALUE"""),44973)</f>
        <v>44973</v>
      </c>
      <c r="E1069" s="3">
        <f ca="1">IFERROR(__xludf.DUMMYFUNCTION("""COMPUTED_VALUE"""),0.476168981480441)</f>
        <v>0.47616898148044101</v>
      </c>
      <c r="F1069" s="1">
        <f ca="1">IFERROR(__xludf.DUMMYFUNCTION("""COMPUTED_VALUE"""),25211)</f>
        <v>25211</v>
      </c>
      <c r="G1069" s="1" t="str">
        <f ca="1">IFERROR(__xludf.DUMMYFUNCTION("""COMPUTED_VALUE"""),"12.9715/77.5550")</f>
        <v>12.9715/77.5550</v>
      </c>
      <c r="H1069" s="1" t="str">
        <f ca="1">IFERROR(__xludf.DUMMYFUNCTION("""COMPUTED_VALUE"""),"Goripalya")</f>
        <v>Goripalya</v>
      </c>
      <c r="I1069" s="1"/>
      <c r="J1069" s="1" t="str">
        <f ca="1">IFERROR(__xludf.DUMMYFUNCTION("""COMPUTED_VALUE"""),"1599d 18h 57m")</f>
        <v>1599d 18h 57m</v>
      </c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13.2">
      <c r="A1070" s="1">
        <f ca="1">IFERROR(__xludf.DUMMYFUNCTION("""COMPUTED_VALUE"""),131)</f>
        <v>131</v>
      </c>
      <c r="B1070" s="1" t="str">
        <f ca="1">IFERROR(__xludf.DUMMYFUNCTION("""COMPUTED_VALUE"""),"NW11_KA02B6769_JETTING")</f>
        <v>NW11_KA02B6769_JETTING</v>
      </c>
      <c r="C1070" s="1" t="str">
        <f ca="1">IFERROR(__xludf.DUMMYFUNCTION("""COMPUTED_VALUE"""),"nw11_ka02b6769_jetting")</f>
        <v>nw11_ka02b6769_jetting</v>
      </c>
      <c r="D1070" s="2">
        <f ca="1">IFERROR(__xludf.DUMMYFUNCTION("""COMPUTED_VALUE"""),44973)</f>
        <v>44973</v>
      </c>
      <c r="E1070" s="3">
        <f ca="1">IFERROR(__xludf.DUMMYFUNCTION("""COMPUTED_VALUE"""),0.476168981480441)</f>
        <v>0.47616898148044101</v>
      </c>
      <c r="F1070" s="1">
        <f ca="1">IFERROR(__xludf.DUMMYFUNCTION("""COMPUTED_VALUE"""),25211)</f>
        <v>25211</v>
      </c>
      <c r="G1070" s="1" t="str">
        <f ca="1">IFERROR(__xludf.DUMMYFUNCTION("""COMPUTED_VALUE"""),"12.9715/77.5550")</f>
        <v>12.9715/77.5550</v>
      </c>
      <c r="H1070" s="1" t="str">
        <f ca="1">IFERROR(__xludf.DUMMYFUNCTION("""COMPUTED_VALUE"""),"Goripalya")</f>
        <v>Goripalya</v>
      </c>
      <c r="I1070" s="1"/>
      <c r="J1070" s="1" t="str">
        <f ca="1">IFERROR(__xludf.DUMMYFUNCTION("""COMPUTED_VALUE"""),"1599d 18h 58m")</f>
        <v>1599d 18h 58m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13.2">
      <c r="A1071" s="1">
        <f ca="1">IFERROR(__xludf.DUMMYFUNCTION("""COMPUTED_VALUE"""),128)</f>
        <v>128</v>
      </c>
      <c r="B1071" s="1" t="str">
        <f ca="1">IFERROR(__xludf.DUMMYFUNCTION("""COMPUTED_VALUE"""),"NW11_KA02B6769_JETTING")</f>
        <v>NW11_KA02B6769_JETTING</v>
      </c>
      <c r="C1071" s="1" t="str">
        <f ca="1">IFERROR(__xludf.DUMMYFUNCTION("""COMPUTED_VALUE"""),"nw11_ka02b6769_jetting")</f>
        <v>nw11_ka02b6769_jetting</v>
      </c>
      <c r="D1071" s="2">
        <f ca="1">IFERROR(__xludf.DUMMYFUNCTION("""COMPUTED_VALUE"""),44973)</f>
        <v>44973</v>
      </c>
      <c r="E1071" s="3">
        <f ca="1">IFERROR(__xludf.DUMMYFUNCTION("""COMPUTED_VALUE"""),0.476168981480441)</f>
        <v>0.47616898148044101</v>
      </c>
      <c r="F1071" s="1">
        <f ca="1">IFERROR(__xludf.DUMMYFUNCTION("""COMPUTED_VALUE"""),25211)</f>
        <v>25211</v>
      </c>
      <c r="G1071" s="1" t="str">
        <f ca="1">IFERROR(__xludf.DUMMYFUNCTION("""COMPUTED_VALUE"""),"12.9715/77.5550")</f>
        <v>12.9715/77.5550</v>
      </c>
      <c r="H1071" s="1" t="str">
        <f ca="1">IFERROR(__xludf.DUMMYFUNCTION("""COMPUTED_VALUE"""),"Goripalya")</f>
        <v>Goripalya</v>
      </c>
      <c r="I1071" s="1"/>
      <c r="J1071" s="1" t="str">
        <f ca="1">IFERROR(__xludf.DUMMYFUNCTION("""COMPUTED_VALUE"""),"1599d 18h 59m")</f>
        <v>1599d 18h 59m</v>
      </c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13.2">
      <c r="A1072" s="1">
        <f ca="1">IFERROR(__xludf.DUMMYFUNCTION("""COMPUTED_VALUE"""),128)</f>
        <v>128</v>
      </c>
      <c r="B1072" s="1" t="str">
        <f ca="1">IFERROR(__xludf.DUMMYFUNCTION("""COMPUTED_VALUE"""),"NW11_KA02B6769_JETTING")</f>
        <v>NW11_KA02B6769_JETTING</v>
      </c>
      <c r="C1072" s="1" t="str">
        <f ca="1">IFERROR(__xludf.DUMMYFUNCTION("""COMPUTED_VALUE"""),"nw11_ka02b6769_jetting")</f>
        <v>nw11_ka02b6769_jetting</v>
      </c>
      <c r="D1072" s="2">
        <f ca="1">IFERROR(__xludf.DUMMYFUNCTION("""COMPUTED_VALUE"""),44973)</f>
        <v>44973</v>
      </c>
      <c r="E1072" s="3">
        <f ca="1">IFERROR(__xludf.DUMMYFUNCTION("""COMPUTED_VALUE"""),0.476168981480441)</f>
        <v>0.47616898148044101</v>
      </c>
      <c r="F1072" s="1">
        <f ca="1">IFERROR(__xludf.DUMMYFUNCTION("""COMPUTED_VALUE"""),25211)</f>
        <v>25211</v>
      </c>
      <c r="G1072" s="1" t="str">
        <f ca="1">IFERROR(__xludf.DUMMYFUNCTION("""COMPUTED_VALUE"""),"12.9715/77.5550")</f>
        <v>12.9715/77.5550</v>
      </c>
      <c r="H1072" s="1" t="str">
        <f ca="1">IFERROR(__xludf.DUMMYFUNCTION("""COMPUTED_VALUE"""),"Goripalya")</f>
        <v>Goripalya</v>
      </c>
      <c r="I1072" s="1"/>
      <c r="J1072" s="1" t="str">
        <f ca="1">IFERROR(__xludf.DUMMYFUNCTION("""COMPUTED_VALUE"""),"1599d 19h 00m")</f>
        <v>1599d 19h 00m</v>
      </c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13.2">
      <c r="A1073" s="1">
        <f ca="1">IFERROR(__xludf.DUMMYFUNCTION("""COMPUTED_VALUE"""),102)</f>
        <v>102</v>
      </c>
      <c r="B1073" s="1" t="str">
        <f ca="1">IFERROR(__xludf.DUMMYFUNCTION("""COMPUTED_VALUE"""),"NW11_KA04A3047_JETTING")</f>
        <v>NW11_KA04A3047_JETTING</v>
      </c>
      <c r="C1073" s="1" t="str">
        <f ca="1">IFERROR(__xludf.DUMMYFUNCTION("""COMPUTED_VALUE"""),"nw11_ka04a3047_jetting")</f>
        <v>nw11_ka04a3047_jetting</v>
      </c>
      <c r="D1073" s="2">
        <f ca="1">IFERROR(__xludf.DUMMYFUNCTION("""COMPUTED_VALUE"""),43745)</f>
        <v>43745</v>
      </c>
      <c r="E1073" s="3">
        <f ca="1">IFERROR(__xludf.DUMMYFUNCTION("""COMPUTED_VALUE"""),0.431539351851824)</f>
        <v>0.43153935185182402</v>
      </c>
      <c r="F1073" s="1"/>
      <c r="G1073" s="1" t="str">
        <f ca="1">IFERROR(__xludf.DUMMYFUNCTION("""COMPUTED_VALUE"""),"12.9467/77.5301")</f>
        <v>12.9467/77.5301</v>
      </c>
      <c r="H1073" s="1" t="str">
        <f ca="1">IFERROR(__xludf.DUMMYFUNCTION("""COMPUTED_VALUE"""),"Banagiri Nagar")</f>
        <v>Banagiri Nagar</v>
      </c>
      <c r="I1073" s="1"/>
      <c r="J1073" s="1" t="str">
        <f ca="1">IFERROR(__xludf.DUMMYFUNCTION("""COMPUTED_VALUE"""),"1626d 01h 03m")</f>
        <v>1626d 01h 03m</v>
      </c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13.2">
      <c r="A1074" s="1">
        <f ca="1">IFERROR(__xludf.DUMMYFUNCTION("""COMPUTED_VALUE"""),102)</f>
        <v>102</v>
      </c>
      <c r="B1074" s="1" t="str">
        <f ca="1">IFERROR(__xludf.DUMMYFUNCTION("""COMPUTED_VALUE"""),"NW11_KA04A3047_JETTING")</f>
        <v>NW11_KA04A3047_JETTING</v>
      </c>
      <c r="C1074" s="1" t="str">
        <f ca="1">IFERROR(__xludf.DUMMYFUNCTION("""COMPUTED_VALUE"""),"nw11_ka04a3047_jetting")</f>
        <v>nw11_ka04a3047_jetting</v>
      </c>
      <c r="D1074" s="2">
        <f ca="1">IFERROR(__xludf.DUMMYFUNCTION("""COMPUTED_VALUE"""),43745)</f>
        <v>43745</v>
      </c>
      <c r="E1074" s="3">
        <f ca="1">IFERROR(__xludf.DUMMYFUNCTION("""COMPUTED_VALUE"""),0.431539351851824)</f>
        <v>0.43153935185182402</v>
      </c>
      <c r="F1074" s="1"/>
      <c r="G1074" s="1" t="str">
        <f ca="1">IFERROR(__xludf.DUMMYFUNCTION("""COMPUTED_VALUE"""),"12.9467/77.5301")</f>
        <v>12.9467/77.5301</v>
      </c>
      <c r="H1074" s="1" t="str">
        <f ca="1">IFERROR(__xludf.DUMMYFUNCTION("""COMPUTED_VALUE"""),"Banagiri Nagar")</f>
        <v>Banagiri Nagar</v>
      </c>
      <c r="I1074" s="1"/>
      <c r="J1074" s="1" t="str">
        <f ca="1">IFERROR(__xludf.DUMMYFUNCTION("""COMPUTED_VALUE"""),"1626d 01h 04m")</f>
        <v>1626d 01h 04m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13.2">
      <c r="A1075" s="1">
        <f ca="1">IFERROR(__xludf.DUMMYFUNCTION("""COMPUTED_VALUE"""),99)</f>
        <v>99</v>
      </c>
      <c r="B1075" s="1" t="str">
        <f ca="1">IFERROR(__xludf.DUMMYFUNCTION("""COMPUTED_VALUE"""),"NW11_KA04A3047_JETTING")</f>
        <v>NW11_KA04A3047_JETTING</v>
      </c>
      <c r="C1075" s="1" t="str">
        <f ca="1">IFERROR(__xludf.DUMMYFUNCTION("""COMPUTED_VALUE"""),"nw11_ka04a3047_jetting")</f>
        <v>nw11_ka04a3047_jetting</v>
      </c>
      <c r="D1075" s="2">
        <f ca="1">IFERROR(__xludf.DUMMYFUNCTION("""COMPUTED_VALUE"""),43745)</f>
        <v>43745</v>
      </c>
      <c r="E1075" s="3">
        <f ca="1">IFERROR(__xludf.DUMMYFUNCTION("""COMPUTED_VALUE"""),0.431539351851824)</f>
        <v>0.43153935185182402</v>
      </c>
      <c r="F1075" s="1"/>
      <c r="G1075" s="1" t="str">
        <f ca="1">IFERROR(__xludf.DUMMYFUNCTION("""COMPUTED_VALUE"""),"12.9467/77.5301")</f>
        <v>12.9467/77.5301</v>
      </c>
      <c r="H1075" s="1" t="str">
        <f ca="1">IFERROR(__xludf.DUMMYFUNCTION("""COMPUTED_VALUE"""),"Banagiri Nagar")</f>
        <v>Banagiri Nagar</v>
      </c>
      <c r="I1075" s="1"/>
      <c r="J1075" s="1" t="str">
        <f ca="1">IFERROR(__xludf.DUMMYFUNCTION("""COMPUTED_VALUE"""),"1626d 01h 07m")</f>
        <v>1626d 01h 07m</v>
      </c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13.2">
      <c r="A1076" s="1">
        <f ca="1">IFERROR(__xludf.DUMMYFUNCTION("""COMPUTED_VALUE"""),99)</f>
        <v>99</v>
      </c>
      <c r="B1076" s="1" t="str">
        <f ca="1">IFERROR(__xludf.DUMMYFUNCTION("""COMPUTED_VALUE"""),"NW11_KA04A3047_JETTING")</f>
        <v>NW11_KA04A3047_JETTING</v>
      </c>
      <c r="C1076" s="1" t="str">
        <f ca="1">IFERROR(__xludf.DUMMYFUNCTION("""COMPUTED_VALUE"""),"nw11_ka04a3047_jetting")</f>
        <v>nw11_ka04a3047_jetting</v>
      </c>
      <c r="D1076" s="2">
        <f ca="1">IFERROR(__xludf.DUMMYFUNCTION("""COMPUTED_VALUE"""),43745)</f>
        <v>43745</v>
      </c>
      <c r="E1076" s="3">
        <f ca="1">IFERROR(__xludf.DUMMYFUNCTION("""COMPUTED_VALUE"""),0.431539351851824)</f>
        <v>0.43153935185182402</v>
      </c>
      <c r="F1076" s="1"/>
      <c r="G1076" s="1" t="str">
        <f ca="1">IFERROR(__xludf.DUMMYFUNCTION("""COMPUTED_VALUE"""),"12.9467/77.5301")</f>
        <v>12.9467/77.5301</v>
      </c>
      <c r="H1076" s="1" t="str">
        <f ca="1">IFERROR(__xludf.DUMMYFUNCTION("""COMPUTED_VALUE"""),"Banagiri Nagar")</f>
        <v>Banagiri Nagar</v>
      </c>
      <c r="I1076" s="1"/>
      <c r="J1076" s="1" t="str">
        <f ca="1">IFERROR(__xludf.DUMMYFUNCTION("""COMPUTED_VALUE"""),"1626d 01h 08m")</f>
        <v>1626d 01h 08m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13.2">
      <c r="A1077" s="1">
        <f ca="1">IFERROR(__xludf.DUMMYFUNCTION("""COMPUTED_VALUE"""),99)</f>
        <v>99</v>
      </c>
      <c r="B1077" s="1" t="str">
        <f ca="1">IFERROR(__xludf.DUMMYFUNCTION("""COMPUTED_VALUE"""),"NW11_KA04A3047_JETTING")</f>
        <v>NW11_KA04A3047_JETTING</v>
      </c>
      <c r="C1077" s="1" t="str">
        <f ca="1">IFERROR(__xludf.DUMMYFUNCTION("""COMPUTED_VALUE"""),"nw11_ka04a3047_jetting")</f>
        <v>nw11_ka04a3047_jetting</v>
      </c>
      <c r="D1077" s="2">
        <f ca="1">IFERROR(__xludf.DUMMYFUNCTION("""COMPUTED_VALUE"""),43745)</f>
        <v>43745</v>
      </c>
      <c r="E1077" s="3">
        <f ca="1">IFERROR(__xludf.DUMMYFUNCTION("""COMPUTED_VALUE"""),0.431539351851824)</f>
        <v>0.43153935185182402</v>
      </c>
      <c r="F1077" s="1"/>
      <c r="G1077" s="1" t="str">
        <f ca="1">IFERROR(__xludf.DUMMYFUNCTION("""COMPUTED_VALUE"""),"12.9467/77.5301")</f>
        <v>12.9467/77.5301</v>
      </c>
      <c r="H1077" s="1" t="str">
        <f ca="1">IFERROR(__xludf.DUMMYFUNCTION("""COMPUTED_VALUE"""),"Banagiri Nagar")</f>
        <v>Banagiri Nagar</v>
      </c>
      <c r="I1077" s="1"/>
      <c r="J1077" s="1" t="str">
        <f ca="1">IFERROR(__xludf.DUMMYFUNCTION("""COMPUTED_VALUE"""),"1626d 01h 09m")</f>
        <v>1626d 01h 09m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13.2">
      <c r="A1078" s="1">
        <f ca="1">IFERROR(__xludf.DUMMYFUNCTION("""COMPUTED_VALUE"""),99)</f>
        <v>99</v>
      </c>
      <c r="B1078" s="1" t="str">
        <f ca="1">IFERROR(__xludf.DUMMYFUNCTION("""COMPUTED_VALUE"""),"NW11_KA04A3047_JETTING")</f>
        <v>NW11_KA04A3047_JETTING</v>
      </c>
      <c r="C1078" s="1" t="str">
        <f ca="1">IFERROR(__xludf.DUMMYFUNCTION("""COMPUTED_VALUE"""),"nw11_ka04a3047_jetting")</f>
        <v>nw11_ka04a3047_jetting</v>
      </c>
      <c r="D1078" s="2">
        <f ca="1">IFERROR(__xludf.DUMMYFUNCTION("""COMPUTED_VALUE"""),43745)</f>
        <v>43745</v>
      </c>
      <c r="E1078" s="3">
        <f ca="1">IFERROR(__xludf.DUMMYFUNCTION("""COMPUTED_VALUE"""),0.431539351851824)</f>
        <v>0.43153935185182402</v>
      </c>
      <c r="F1078" s="1"/>
      <c r="G1078" s="1" t="str">
        <f ca="1">IFERROR(__xludf.DUMMYFUNCTION("""COMPUTED_VALUE"""),"12.9467/77.5301")</f>
        <v>12.9467/77.5301</v>
      </c>
      <c r="H1078" s="1" t="str">
        <f ca="1">IFERROR(__xludf.DUMMYFUNCTION("""COMPUTED_VALUE"""),"Banagiri Nagar")</f>
        <v>Banagiri Nagar</v>
      </c>
      <c r="I1078" s="1"/>
      <c r="J1078" s="1" t="str">
        <f ca="1">IFERROR(__xludf.DUMMYFUNCTION("""COMPUTED_VALUE"""),"1626d 01h 10m")</f>
        <v>1626d 01h 10m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13.2">
      <c r="A1079" s="1">
        <f ca="1">IFERROR(__xludf.DUMMYFUNCTION("""COMPUTED_VALUE"""),99)</f>
        <v>99</v>
      </c>
      <c r="B1079" s="1" t="str">
        <f ca="1">IFERROR(__xludf.DUMMYFUNCTION("""COMPUTED_VALUE"""),"NW11_KA04A3047_JETTING")</f>
        <v>NW11_KA04A3047_JETTING</v>
      </c>
      <c r="C1079" s="1" t="str">
        <f ca="1">IFERROR(__xludf.DUMMYFUNCTION("""COMPUTED_VALUE"""),"nw11_ka04a3047_jetting")</f>
        <v>nw11_ka04a3047_jetting</v>
      </c>
      <c r="D1079" s="2">
        <f ca="1">IFERROR(__xludf.DUMMYFUNCTION("""COMPUTED_VALUE"""),43745)</f>
        <v>43745</v>
      </c>
      <c r="E1079" s="3">
        <f ca="1">IFERROR(__xludf.DUMMYFUNCTION("""COMPUTED_VALUE"""),0.431539351851824)</f>
        <v>0.43153935185182402</v>
      </c>
      <c r="F1079" s="1"/>
      <c r="G1079" s="1" t="str">
        <f ca="1">IFERROR(__xludf.DUMMYFUNCTION("""COMPUTED_VALUE"""),"12.9467/77.5301")</f>
        <v>12.9467/77.5301</v>
      </c>
      <c r="H1079" s="1" t="str">
        <f ca="1">IFERROR(__xludf.DUMMYFUNCTION("""COMPUTED_VALUE"""),"Banagiri Nagar")</f>
        <v>Banagiri Nagar</v>
      </c>
      <c r="I1079" s="1"/>
      <c r="J1079" s="1" t="str">
        <f ca="1">IFERROR(__xludf.DUMMYFUNCTION("""COMPUTED_VALUE"""),"1626d 01h 11m")</f>
        <v>1626d 01h 11m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13.2">
      <c r="A1080" s="1">
        <f ca="1">IFERROR(__xludf.DUMMYFUNCTION("""COMPUTED_VALUE"""),29)</f>
        <v>29</v>
      </c>
      <c r="B1080" s="1" t="str">
        <f ca="1">IFERROR(__xludf.DUMMYFUNCTION("""COMPUTED_VALUE"""),"NW11_KA04D6653_JETTING")</f>
        <v>NW11_KA04D6653_JETTING</v>
      </c>
      <c r="C1080" s="1" t="str">
        <f ca="1">IFERROR(__xludf.DUMMYFUNCTION("""COMPUTED_VALUE"""),"nw11_ka04d6653_jetting")</f>
        <v>nw11_ka04d6653_jetting</v>
      </c>
      <c r="D1080" s="2">
        <f ca="1">IFERROR(__xludf.DUMMYFUNCTION("""COMPUTED_VALUE"""),41640)</f>
        <v>41640</v>
      </c>
      <c r="E1080" s="3">
        <f ca="1">IFERROR(__xludf.DUMMYFUNCTION("""COMPUTED_VALUE"""),0.230266203703649)</f>
        <v>0.230266203703649</v>
      </c>
      <c r="F1080" s="1">
        <f ca="1">IFERROR(__xludf.DUMMYFUNCTION("""COMPUTED_VALUE"""),15038)</f>
        <v>15038</v>
      </c>
      <c r="G1080" s="1"/>
      <c r="H1080" s="1"/>
      <c r="I1080" s="1"/>
      <c r="J1080" s="1" t="str">
        <f ca="1">IFERROR(__xludf.DUMMYFUNCTION("""COMPUTED_VALUE"""),"0d 00h 00m")</f>
        <v>0d 00h 00m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13.2">
      <c r="A1081" s="1">
        <f ca="1">IFERROR(__xludf.DUMMYFUNCTION("""COMPUTED_VALUE"""),29)</f>
        <v>29</v>
      </c>
      <c r="B1081" s="1" t="str">
        <f ca="1">IFERROR(__xludf.DUMMYFUNCTION("""COMPUTED_VALUE"""),"NW11_KA04D6653_JETTING")</f>
        <v>NW11_KA04D6653_JETTING</v>
      </c>
      <c r="C1081" s="1" t="str">
        <f ca="1">IFERROR(__xludf.DUMMYFUNCTION("""COMPUTED_VALUE"""),"nw11_ka04d6653_jetting")</f>
        <v>nw11_ka04d6653_jetting</v>
      </c>
      <c r="D1081" s="2">
        <f ca="1">IFERROR(__xludf.DUMMYFUNCTION("""COMPUTED_VALUE"""),41640)</f>
        <v>41640</v>
      </c>
      <c r="E1081" s="3">
        <f ca="1">IFERROR(__xludf.DUMMYFUNCTION("""COMPUTED_VALUE"""),0.230266203703649)</f>
        <v>0.230266203703649</v>
      </c>
      <c r="F1081" s="1">
        <f ca="1">IFERROR(__xludf.DUMMYFUNCTION("""COMPUTED_VALUE"""),15038)</f>
        <v>15038</v>
      </c>
      <c r="G1081" s="1"/>
      <c r="H1081" s="1"/>
      <c r="I1081" s="1"/>
      <c r="J1081" s="1" t="str">
        <f ca="1">IFERROR(__xludf.DUMMYFUNCTION("""COMPUTED_VALUE"""),"0d 00h 00m")</f>
        <v>0d 00h 00m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13.2">
      <c r="A1082" s="1">
        <f ca="1">IFERROR(__xludf.DUMMYFUNCTION("""COMPUTED_VALUE"""),29)</f>
        <v>29</v>
      </c>
      <c r="B1082" s="1" t="str">
        <f ca="1">IFERROR(__xludf.DUMMYFUNCTION("""COMPUTED_VALUE"""),"NW11_KA04D6653_JETTING")</f>
        <v>NW11_KA04D6653_JETTING</v>
      </c>
      <c r="C1082" s="1" t="str">
        <f ca="1">IFERROR(__xludf.DUMMYFUNCTION("""COMPUTED_VALUE"""),"nw11_ka04d6653_jetting")</f>
        <v>nw11_ka04d6653_jetting</v>
      </c>
      <c r="D1082" s="2">
        <f ca="1">IFERROR(__xludf.DUMMYFUNCTION("""COMPUTED_VALUE"""),41640)</f>
        <v>41640</v>
      </c>
      <c r="E1082" s="3">
        <f ca="1">IFERROR(__xludf.DUMMYFUNCTION("""COMPUTED_VALUE"""),0.230266203703649)</f>
        <v>0.230266203703649</v>
      </c>
      <c r="F1082" s="1">
        <f ca="1">IFERROR(__xludf.DUMMYFUNCTION("""COMPUTED_VALUE"""),15038)</f>
        <v>15038</v>
      </c>
      <c r="G1082" s="1"/>
      <c r="H1082" s="1"/>
      <c r="I1082" s="1"/>
      <c r="J1082" s="1" t="str">
        <f ca="1">IFERROR(__xludf.DUMMYFUNCTION("""COMPUTED_VALUE"""),"0d 00h 00m")</f>
        <v>0d 00h 00m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13.2">
      <c r="A1083" s="1">
        <f ca="1">IFERROR(__xludf.DUMMYFUNCTION("""COMPUTED_VALUE"""),29)</f>
        <v>29</v>
      </c>
      <c r="B1083" s="1" t="str">
        <f ca="1">IFERROR(__xludf.DUMMYFUNCTION("""COMPUTED_VALUE"""),"NW11_KA04D6653_JETTING")</f>
        <v>NW11_KA04D6653_JETTING</v>
      </c>
      <c r="C1083" s="1" t="str">
        <f ca="1">IFERROR(__xludf.DUMMYFUNCTION("""COMPUTED_VALUE"""),"nw11_ka04d6653_jetting")</f>
        <v>nw11_ka04d6653_jetting</v>
      </c>
      <c r="D1083" s="2">
        <f ca="1">IFERROR(__xludf.DUMMYFUNCTION("""COMPUTED_VALUE"""),41640)</f>
        <v>41640</v>
      </c>
      <c r="E1083" s="3">
        <f ca="1">IFERROR(__xludf.DUMMYFUNCTION("""COMPUTED_VALUE"""),0.230266203703649)</f>
        <v>0.230266203703649</v>
      </c>
      <c r="F1083" s="1">
        <f ca="1">IFERROR(__xludf.DUMMYFUNCTION("""COMPUTED_VALUE"""),15038)</f>
        <v>15038</v>
      </c>
      <c r="G1083" s="1"/>
      <c r="H1083" s="1"/>
      <c r="I1083" s="1"/>
      <c r="J1083" s="1" t="str">
        <f ca="1">IFERROR(__xludf.DUMMYFUNCTION("""COMPUTED_VALUE"""),"0d 00h 00m")</f>
        <v>0d 00h 00m</v>
      </c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13.2">
      <c r="A1084" s="1">
        <f ca="1">IFERROR(__xludf.DUMMYFUNCTION("""COMPUTED_VALUE"""),29)</f>
        <v>29</v>
      </c>
      <c r="B1084" s="1" t="str">
        <f ca="1">IFERROR(__xludf.DUMMYFUNCTION("""COMPUTED_VALUE"""),"NW11_KA04D6653_JETTING")</f>
        <v>NW11_KA04D6653_JETTING</v>
      </c>
      <c r="C1084" s="1" t="str">
        <f ca="1">IFERROR(__xludf.DUMMYFUNCTION("""COMPUTED_VALUE"""),"nw11_ka04d6653_jetting")</f>
        <v>nw11_ka04d6653_jetting</v>
      </c>
      <c r="D1084" s="2">
        <f ca="1">IFERROR(__xludf.DUMMYFUNCTION("""COMPUTED_VALUE"""),41640)</f>
        <v>41640</v>
      </c>
      <c r="E1084" s="3">
        <f ca="1">IFERROR(__xludf.DUMMYFUNCTION("""COMPUTED_VALUE"""),0.230266203703649)</f>
        <v>0.230266203703649</v>
      </c>
      <c r="F1084" s="1">
        <f ca="1">IFERROR(__xludf.DUMMYFUNCTION("""COMPUTED_VALUE"""),15038)</f>
        <v>15038</v>
      </c>
      <c r="G1084" s="1"/>
      <c r="H1084" s="1"/>
      <c r="I1084" s="1"/>
      <c r="J1084" s="1" t="str">
        <f ca="1">IFERROR(__xludf.DUMMYFUNCTION("""COMPUTED_VALUE"""),"0d 00h 00m")</f>
        <v>0d 00h 00m</v>
      </c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13.2">
      <c r="A1085" s="1">
        <f ca="1">IFERROR(__xludf.DUMMYFUNCTION("""COMPUTED_VALUE"""),29)</f>
        <v>29</v>
      </c>
      <c r="B1085" s="1" t="str">
        <f ca="1">IFERROR(__xludf.DUMMYFUNCTION("""COMPUTED_VALUE"""),"NW11_KA04D6653_JETTING")</f>
        <v>NW11_KA04D6653_JETTING</v>
      </c>
      <c r="C1085" s="1" t="str">
        <f ca="1">IFERROR(__xludf.DUMMYFUNCTION("""COMPUTED_VALUE"""),"nw11_ka04d6653_jetting")</f>
        <v>nw11_ka04d6653_jetting</v>
      </c>
      <c r="D1085" s="2">
        <f ca="1">IFERROR(__xludf.DUMMYFUNCTION("""COMPUTED_VALUE"""),41640)</f>
        <v>41640</v>
      </c>
      <c r="E1085" s="3">
        <f ca="1">IFERROR(__xludf.DUMMYFUNCTION("""COMPUTED_VALUE"""),0.230266203703649)</f>
        <v>0.230266203703649</v>
      </c>
      <c r="F1085" s="1">
        <f ca="1">IFERROR(__xludf.DUMMYFUNCTION("""COMPUTED_VALUE"""),15038)</f>
        <v>15038</v>
      </c>
      <c r="G1085" s="1"/>
      <c r="H1085" s="1"/>
      <c r="I1085" s="1"/>
      <c r="J1085" s="1" t="str">
        <f ca="1">IFERROR(__xludf.DUMMYFUNCTION("""COMPUTED_VALUE"""),"0d 00h 00m")</f>
        <v>0d 00h 00m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13.2">
      <c r="A1086" s="1">
        <f ca="1">IFERROR(__xludf.DUMMYFUNCTION("""COMPUTED_VALUE"""),29)</f>
        <v>29</v>
      </c>
      <c r="B1086" s="1" t="str">
        <f ca="1">IFERROR(__xludf.DUMMYFUNCTION("""COMPUTED_VALUE"""),"NW11_KA04D6653_JETTING")</f>
        <v>NW11_KA04D6653_JETTING</v>
      </c>
      <c r="C1086" s="1" t="str">
        <f ca="1">IFERROR(__xludf.DUMMYFUNCTION("""COMPUTED_VALUE"""),"nw11_ka04d6653_jetting")</f>
        <v>nw11_ka04d6653_jetting</v>
      </c>
      <c r="D1086" s="2">
        <f ca="1">IFERROR(__xludf.DUMMYFUNCTION("""COMPUTED_VALUE"""),41640)</f>
        <v>41640</v>
      </c>
      <c r="E1086" s="3">
        <f ca="1">IFERROR(__xludf.DUMMYFUNCTION("""COMPUTED_VALUE"""),0.230266203703649)</f>
        <v>0.230266203703649</v>
      </c>
      <c r="F1086" s="1">
        <f ca="1">IFERROR(__xludf.DUMMYFUNCTION("""COMPUTED_VALUE"""),15038)</f>
        <v>15038</v>
      </c>
      <c r="G1086" s="1"/>
      <c r="H1086" s="1"/>
      <c r="I1086" s="1"/>
      <c r="J1086" s="1" t="str">
        <f ca="1">IFERROR(__xludf.DUMMYFUNCTION("""COMPUTED_VALUE"""),"0d 00h 00m")</f>
        <v>0d 00h 00m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13.2">
      <c r="A1087" s="1">
        <f ca="1">IFERROR(__xludf.DUMMYFUNCTION("""COMPUTED_VALUE"""),138)</f>
        <v>138</v>
      </c>
      <c r="B1087" s="1" t="str">
        <f ca="1">IFERROR(__xludf.DUMMYFUNCTION("""COMPUTED_VALUE"""),"NW11_KA05AD2945_DESILTING")</f>
        <v>NW11_KA05AD2945_DESILTING</v>
      </c>
      <c r="C1087" s="1" t="str">
        <f ca="1">IFERROR(__xludf.DUMMYFUNCTION("""COMPUTED_VALUE"""),"nw11_ka05ad2945_desilting")</f>
        <v>nw11_ka05ad2945_desilting</v>
      </c>
      <c r="D1087" s="2">
        <f ca="1">IFERROR(__xludf.DUMMYFUNCTION("""COMPUTED_VALUE"""),44970)</f>
        <v>44970</v>
      </c>
      <c r="E1087" s="3">
        <f ca="1">IFERROR(__xludf.DUMMYFUNCTION("""COMPUTED_VALUE"""),0.54065972222088)</f>
        <v>0.54065972222087999</v>
      </c>
      <c r="F1087" s="1">
        <f ca="1">IFERROR(__xludf.DUMMYFUNCTION("""COMPUTED_VALUE"""),7217)</f>
        <v>7217</v>
      </c>
      <c r="G1087" s="1" t="str">
        <f ca="1">IFERROR(__xludf.DUMMYFUNCTION("""COMPUTED_VALUE"""),"12.9745/77.5483")</f>
        <v>12.9745/77.5483</v>
      </c>
      <c r="H1087" s="1" t="str">
        <f ca="1">IFERROR(__xludf.DUMMYFUNCTION("""COMPUTED_VALUE"""),"Chord Road")</f>
        <v>Chord Road</v>
      </c>
      <c r="I1087" s="1"/>
      <c r="J1087" s="1" t="str">
        <f ca="1">IFERROR(__xludf.DUMMYFUNCTION("""COMPUTED_VALUE"""),"400d 22h 30m")</f>
        <v>400d 22h 30m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13.2">
      <c r="A1088" s="1">
        <f ca="1">IFERROR(__xludf.DUMMYFUNCTION("""COMPUTED_VALUE"""),130)</f>
        <v>130</v>
      </c>
      <c r="B1088" s="1" t="str">
        <f ca="1">IFERROR(__xludf.DUMMYFUNCTION("""COMPUTED_VALUE"""),"NW11_KA05AD2945_DESILTING")</f>
        <v>NW11_KA05AD2945_DESILTING</v>
      </c>
      <c r="C1088" s="1" t="str">
        <f ca="1">IFERROR(__xludf.DUMMYFUNCTION("""COMPUTED_VALUE"""),"nw11_ka05ad2945_desilting")</f>
        <v>nw11_ka05ad2945_desilting</v>
      </c>
      <c r="D1088" s="2">
        <f ca="1">IFERROR(__xludf.DUMMYFUNCTION("""COMPUTED_VALUE"""),44970)</f>
        <v>44970</v>
      </c>
      <c r="E1088" s="3">
        <f ca="1">IFERROR(__xludf.DUMMYFUNCTION("""COMPUTED_VALUE"""),0.54065972222088)</f>
        <v>0.54065972222087999</v>
      </c>
      <c r="F1088" s="1">
        <f ca="1">IFERROR(__xludf.DUMMYFUNCTION("""COMPUTED_VALUE"""),7217)</f>
        <v>7217</v>
      </c>
      <c r="G1088" s="1" t="str">
        <f ca="1">IFERROR(__xludf.DUMMYFUNCTION("""COMPUTED_VALUE"""),"12.9745/77.5483")</f>
        <v>12.9745/77.5483</v>
      </c>
      <c r="H1088" s="1" t="str">
        <f ca="1">IFERROR(__xludf.DUMMYFUNCTION("""COMPUTED_VALUE"""),"Chord Road")</f>
        <v>Chord Road</v>
      </c>
      <c r="I1088" s="1"/>
      <c r="J1088" s="1" t="str">
        <f ca="1">IFERROR(__xludf.DUMMYFUNCTION("""COMPUTED_VALUE"""),"400d 22h 31m")</f>
        <v>400d 22h 31m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13.2">
      <c r="A1089" s="1">
        <f ca="1">IFERROR(__xludf.DUMMYFUNCTION("""COMPUTED_VALUE"""),127)</f>
        <v>127</v>
      </c>
      <c r="B1089" s="1" t="str">
        <f ca="1">IFERROR(__xludf.DUMMYFUNCTION("""COMPUTED_VALUE"""),"NW11_KA05AD2945_DESILTING")</f>
        <v>NW11_KA05AD2945_DESILTING</v>
      </c>
      <c r="C1089" s="1" t="str">
        <f ca="1">IFERROR(__xludf.DUMMYFUNCTION("""COMPUTED_VALUE"""),"nw11_ka05ad2945_desilting")</f>
        <v>nw11_ka05ad2945_desilting</v>
      </c>
      <c r="D1089" s="2">
        <f ca="1">IFERROR(__xludf.DUMMYFUNCTION("""COMPUTED_VALUE"""),44970)</f>
        <v>44970</v>
      </c>
      <c r="E1089" s="3">
        <f ca="1">IFERROR(__xludf.DUMMYFUNCTION("""COMPUTED_VALUE"""),0.54065972222088)</f>
        <v>0.54065972222087999</v>
      </c>
      <c r="F1089" s="1">
        <f ca="1">IFERROR(__xludf.DUMMYFUNCTION("""COMPUTED_VALUE"""),7217)</f>
        <v>7217</v>
      </c>
      <c r="G1089" s="1" t="str">
        <f ca="1">IFERROR(__xludf.DUMMYFUNCTION("""COMPUTED_VALUE"""),"12.9745/77.5483")</f>
        <v>12.9745/77.5483</v>
      </c>
      <c r="H1089" s="1" t="str">
        <f ca="1">IFERROR(__xludf.DUMMYFUNCTION("""COMPUTED_VALUE"""),"Chord Road")</f>
        <v>Chord Road</v>
      </c>
      <c r="I1089" s="1"/>
      <c r="J1089" s="1" t="str">
        <f ca="1">IFERROR(__xludf.DUMMYFUNCTION("""COMPUTED_VALUE"""),"400d 22h 32m")</f>
        <v>400d 22h 32m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13.2">
      <c r="A1090" s="1">
        <f ca="1">IFERROR(__xludf.DUMMYFUNCTION("""COMPUTED_VALUE"""),127)</f>
        <v>127</v>
      </c>
      <c r="B1090" s="1" t="str">
        <f ca="1">IFERROR(__xludf.DUMMYFUNCTION("""COMPUTED_VALUE"""),"NW11_KA05AD2945_DESILTING")</f>
        <v>NW11_KA05AD2945_DESILTING</v>
      </c>
      <c r="C1090" s="1" t="str">
        <f ca="1">IFERROR(__xludf.DUMMYFUNCTION("""COMPUTED_VALUE"""),"nw11_ka05ad2945_desilting")</f>
        <v>nw11_ka05ad2945_desilting</v>
      </c>
      <c r="D1090" s="2">
        <f ca="1">IFERROR(__xludf.DUMMYFUNCTION("""COMPUTED_VALUE"""),44970)</f>
        <v>44970</v>
      </c>
      <c r="E1090" s="3">
        <f ca="1">IFERROR(__xludf.DUMMYFUNCTION("""COMPUTED_VALUE"""),0.54065972222088)</f>
        <v>0.54065972222087999</v>
      </c>
      <c r="F1090" s="1">
        <f ca="1">IFERROR(__xludf.DUMMYFUNCTION("""COMPUTED_VALUE"""),7217)</f>
        <v>7217</v>
      </c>
      <c r="G1090" s="1" t="str">
        <f ca="1">IFERROR(__xludf.DUMMYFUNCTION("""COMPUTED_VALUE"""),"12.9745/77.5483")</f>
        <v>12.9745/77.5483</v>
      </c>
      <c r="H1090" s="1" t="str">
        <f ca="1">IFERROR(__xludf.DUMMYFUNCTION("""COMPUTED_VALUE"""),"Chord Road")</f>
        <v>Chord Road</v>
      </c>
      <c r="I1090" s="1"/>
      <c r="J1090" s="1" t="str">
        <f ca="1">IFERROR(__xludf.DUMMYFUNCTION("""COMPUTED_VALUE"""),"400d 22h 33m")</f>
        <v>400d 22h 33m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13.2">
      <c r="A1091" s="1">
        <f ca="1">IFERROR(__xludf.DUMMYFUNCTION("""COMPUTED_VALUE"""),11)</f>
        <v>11</v>
      </c>
      <c r="B1091" s="1" t="str">
        <f ca="1">IFERROR(__xludf.DUMMYFUNCTION("""COMPUTED_VALUE"""),"NW12_KA04D4601_JETTING")</f>
        <v>NW12_KA04D4601_JETTING</v>
      </c>
      <c r="C1091" s="1" t="str">
        <f ca="1">IFERROR(__xludf.DUMMYFUNCTION("""COMPUTED_VALUE"""),"nw12_ka04d4601_jetting")</f>
        <v>nw12_ka04d4601_jetting</v>
      </c>
      <c r="D1091" s="2">
        <f ca="1">IFERROR(__xludf.DUMMYFUNCTION("""COMPUTED_VALUE"""),41640)</f>
        <v>41640</v>
      </c>
      <c r="E1091" s="3">
        <f ca="1">IFERROR(__xludf.DUMMYFUNCTION("""COMPUTED_VALUE"""),0.229513888887595)</f>
        <v>0.229513888887595</v>
      </c>
      <c r="F1091" s="1">
        <f ca="1">IFERROR(__xludf.DUMMYFUNCTION("""COMPUTED_VALUE"""),22663)</f>
        <v>22663</v>
      </c>
      <c r="G1091" s="1"/>
      <c r="H1091" s="1"/>
      <c r="I1091" s="1"/>
      <c r="J1091" s="1" t="str">
        <f ca="1">IFERROR(__xludf.DUMMYFUNCTION("""COMPUTED_VALUE"""),"0d 00h 00m")</f>
        <v>0d 00h 00m</v>
      </c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13.2">
      <c r="A1092" s="1">
        <f ca="1">IFERROR(__xludf.DUMMYFUNCTION("""COMPUTED_VALUE"""),11)</f>
        <v>11</v>
      </c>
      <c r="B1092" s="1" t="str">
        <f ca="1">IFERROR(__xludf.DUMMYFUNCTION("""COMPUTED_VALUE"""),"NW12_KA04D4601_JETTING")</f>
        <v>NW12_KA04D4601_JETTING</v>
      </c>
      <c r="C1092" s="1" t="str">
        <f ca="1">IFERROR(__xludf.DUMMYFUNCTION("""COMPUTED_VALUE"""),"nw12_ka04d4601_jetting")</f>
        <v>nw12_ka04d4601_jetting</v>
      </c>
      <c r="D1092" s="2">
        <f ca="1">IFERROR(__xludf.DUMMYFUNCTION("""COMPUTED_VALUE"""),41640)</f>
        <v>41640</v>
      </c>
      <c r="E1092" s="3">
        <f ca="1">IFERROR(__xludf.DUMMYFUNCTION("""COMPUTED_VALUE"""),0.229513888887595)</f>
        <v>0.229513888887595</v>
      </c>
      <c r="F1092" s="1">
        <f ca="1">IFERROR(__xludf.DUMMYFUNCTION("""COMPUTED_VALUE"""),22663)</f>
        <v>22663</v>
      </c>
      <c r="G1092" s="1"/>
      <c r="H1092" s="1"/>
      <c r="I1092" s="1"/>
      <c r="J1092" s="1" t="str">
        <f ca="1">IFERROR(__xludf.DUMMYFUNCTION("""COMPUTED_VALUE"""),"0d 00h 00m")</f>
        <v>0d 00h 00m</v>
      </c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13.2">
      <c r="A1093" s="1">
        <f ca="1">IFERROR(__xludf.DUMMYFUNCTION("""COMPUTED_VALUE"""),11)</f>
        <v>11</v>
      </c>
      <c r="B1093" s="1" t="str">
        <f ca="1">IFERROR(__xludf.DUMMYFUNCTION("""COMPUTED_VALUE"""),"NW12_KA04D4601_JETTING")</f>
        <v>NW12_KA04D4601_JETTING</v>
      </c>
      <c r="C1093" s="1" t="str">
        <f ca="1">IFERROR(__xludf.DUMMYFUNCTION("""COMPUTED_VALUE"""),"nw12_ka04d4601_jetting")</f>
        <v>nw12_ka04d4601_jetting</v>
      </c>
      <c r="D1093" s="2">
        <f ca="1">IFERROR(__xludf.DUMMYFUNCTION("""COMPUTED_VALUE"""),41640)</f>
        <v>41640</v>
      </c>
      <c r="E1093" s="3">
        <f ca="1">IFERROR(__xludf.DUMMYFUNCTION("""COMPUTED_VALUE"""),0.229513888887595)</f>
        <v>0.229513888887595</v>
      </c>
      <c r="F1093" s="1">
        <f ca="1">IFERROR(__xludf.DUMMYFUNCTION("""COMPUTED_VALUE"""),22663)</f>
        <v>22663</v>
      </c>
      <c r="G1093" s="1"/>
      <c r="H1093" s="1"/>
      <c r="I1093" s="1"/>
      <c r="J1093" s="1" t="str">
        <f ca="1">IFERROR(__xludf.DUMMYFUNCTION("""COMPUTED_VALUE"""),"0d 00h 00m")</f>
        <v>0d 00h 00m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13.2">
      <c r="A1094" s="1">
        <f ca="1">IFERROR(__xludf.DUMMYFUNCTION("""COMPUTED_VALUE"""),11)</f>
        <v>11</v>
      </c>
      <c r="B1094" s="1" t="str">
        <f ca="1">IFERROR(__xludf.DUMMYFUNCTION("""COMPUTED_VALUE"""),"NW12_KA04D4601_JETTING")</f>
        <v>NW12_KA04D4601_JETTING</v>
      </c>
      <c r="C1094" s="1" t="str">
        <f ca="1">IFERROR(__xludf.DUMMYFUNCTION("""COMPUTED_VALUE"""),"nw12_ka04d4601_jetting")</f>
        <v>nw12_ka04d4601_jetting</v>
      </c>
      <c r="D1094" s="2">
        <f ca="1">IFERROR(__xludf.DUMMYFUNCTION("""COMPUTED_VALUE"""),41640)</f>
        <v>41640</v>
      </c>
      <c r="E1094" s="3">
        <f ca="1">IFERROR(__xludf.DUMMYFUNCTION("""COMPUTED_VALUE"""),0.229513888887595)</f>
        <v>0.229513888887595</v>
      </c>
      <c r="F1094" s="1">
        <f ca="1">IFERROR(__xludf.DUMMYFUNCTION("""COMPUTED_VALUE"""),22663)</f>
        <v>22663</v>
      </c>
      <c r="G1094" s="1"/>
      <c r="H1094" s="1"/>
      <c r="I1094" s="1"/>
      <c r="J1094" s="1" t="str">
        <f ca="1">IFERROR(__xludf.DUMMYFUNCTION("""COMPUTED_VALUE"""),"0d 00h 00m")</f>
        <v>0d 00h 00m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13.2">
      <c r="A1095" s="1">
        <f ca="1">IFERROR(__xludf.DUMMYFUNCTION("""COMPUTED_VALUE"""),11)</f>
        <v>11</v>
      </c>
      <c r="B1095" s="1" t="str">
        <f ca="1">IFERROR(__xludf.DUMMYFUNCTION("""COMPUTED_VALUE"""),"NW12_KA04D4601_JETTING")</f>
        <v>NW12_KA04D4601_JETTING</v>
      </c>
      <c r="C1095" s="1" t="str">
        <f ca="1">IFERROR(__xludf.DUMMYFUNCTION("""COMPUTED_VALUE"""),"nw12_ka04d4601_jetting")</f>
        <v>nw12_ka04d4601_jetting</v>
      </c>
      <c r="D1095" s="2">
        <f ca="1">IFERROR(__xludf.DUMMYFUNCTION("""COMPUTED_VALUE"""),41640)</f>
        <v>41640</v>
      </c>
      <c r="E1095" s="3">
        <f ca="1">IFERROR(__xludf.DUMMYFUNCTION("""COMPUTED_VALUE"""),0.229513888887595)</f>
        <v>0.229513888887595</v>
      </c>
      <c r="F1095" s="1">
        <f ca="1">IFERROR(__xludf.DUMMYFUNCTION("""COMPUTED_VALUE"""),22663)</f>
        <v>22663</v>
      </c>
      <c r="G1095" s="1"/>
      <c r="H1095" s="1"/>
      <c r="I1095" s="1"/>
      <c r="J1095" s="1" t="str">
        <f ca="1">IFERROR(__xludf.DUMMYFUNCTION("""COMPUTED_VALUE"""),"0d 00h 00m")</f>
        <v>0d 00h 00m</v>
      </c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13.2">
      <c r="A1096" s="1">
        <f ca="1">IFERROR(__xludf.DUMMYFUNCTION("""COMPUTED_VALUE"""),11)</f>
        <v>11</v>
      </c>
      <c r="B1096" s="1" t="str">
        <f ca="1">IFERROR(__xludf.DUMMYFUNCTION("""COMPUTED_VALUE"""),"NW12_KA04D4601_JETTING")</f>
        <v>NW12_KA04D4601_JETTING</v>
      </c>
      <c r="C1096" s="1" t="str">
        <f ca="1">IFERROR(__xludf.DUMMYFUNCTION("""COMPUTED_VALUE"""),"nw12_ka04d4601_jetting")</f>
        <v>nw12_ka04d4601_jetting</v>
      </c>
      <c r="D1096" s="2">
        <f ca="1">IFERROR(__xludf.DUMMYFUNCTION("""COMPUTED_VALUE"""),41640)</f>
        <v>41640</v>
      </c>
      <c r="E1096" s="3">
        <f ca="1">IFERROR(__xludf.DUMMYFUNCTION("""COMPUTED_VALUE"""),0.229513888887595)</f>
        <v>0.229513888887595</v>
      </c>
      <c r="F1096" s="1">
        <f ca="1">IFERROR(__xludf.DUMMYFUNCTION("""COMPUTED_VALUE"""),22663)</f>
        <v>22663</v>
      </c>
      <c r="G1096" s="1"/>
      <c r="H1096" s="1"/>
      <c r="I1096" s="1"/>
      <c r="J1096" s="1" t="str">
        <f ca="1">IFERROR(__xludf.DUMMYFUNCTION("""COMPUTED_VALUE"""),"0d 00h 00m")</f>
        <v>0d 00h 00m</v>
      </c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13.2">
      <c r="A1097" s="1">
        <f ca="1">IFERROR(__xludf.DUMMYFUNCTION("""COMPUTED_VALUE"""),11)</f>
        <v>11</v>
      </c>
      <c r="B1097" s="1" t="str">
        <f ca="1">IFERROR(__xludf.DUMMYFUNCTION("""COMPUTED_VALUE"""),"NW12_KA04D4601_JETTING")</f>
        <v>NW12_KA04D4601_JETTING</v>
      </c>
      <c r="C1097" s="1" t="str">
        <f ca="1">IFERROR(__xludf.DUMMYFUNCTION("""COMPUTED_VALUE"""),"nw12_ka04d4601_jetting")</f>
        <v>nw12_ka04d4601_jetting</v>
      </c>
      <c r="D1097" s="2">
        <f ca="1">IFERROR(__xludf.DUMMYFUNCTION("""COMPUTED_VALUE"""),41640)</f>
        <v>41640</v>
      </c>
      <c r="E1097" s="3">
        <f ca="1">IFERROR(__xludf.DUMMYFUNCTION("""COMPUTED_VALUE"""),0.229513888887595)</f>
        <v>0.229513888887595</v>
      </c>
      <c r="F1097" s="1">
        <f ca="1">IFERROR(__xludf.DUMMYFUNCTION("""COMPUTED_VALUE"""),22663)</f>
        <v>22663</v>
      </c>
      <c r="G1097" s="1"/>
      <c r="H1097" s="1"/>
      <c r="I1097" s="1"/>
      <c r="J1097" s="1" t="str">
        <f ca="1">IFERROR(__xludf.DUMMYFUNCTION("""COMPUTED_VALUE"""),"0d 00h 00m")</f>
        <v>0d 00h 00m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13.2">
      <c r="A1098" s="1">
        <f ca="1">IFERROR(__xludf.DUMMYFUNCTION("""COMPUTED_VALUE"""),143)</f>
        <v>143</v>
      </c>
      <c r="B1098" s="1" t="str">
        <f ca="1">IFERROR(__xludf.DUMMYFUNCTION("""COMPUTED_VALUE"""),"NW1_KA042D3161_Tanker")</f>
        <v>NW1_KA042D3161_Tanker</v>
      </c>
      <c r="C1098" s="1" t="str">
        <f ca="1">IFERROR(__xludf.DUMMYFUNCTION("""COMPUTED_VALUE"""),"nw1_ka042d3161_tanker")</f>
        <v>nw1_ka042d3161_tanker</v>
      </c>
      <c r="D1098" s="2">
        <f ca="1">IFERROR(__xludf.DUMMYFUNCTION("""COMPUTED_VALUE"""),44707)</f>
        <v>44707</v>
      </c>
      <c r="E1098" s="3">
        <f ca="1">IFERROR(__xludf.DUMMYFUNCTION("""COMPUTED_VALUE"""),0.989988425924821)</f>
        <v>0.98998842592482095</v>
      </c>
      <c r="F1098" s="1">
        <f ca="1">IFERROR(__xludf.DUMMYFUNCTION("""COMPUTED_VALUE"""),20080)</f>
        <v>20080</v>
      </c>
      <c r="G1098" s="1" t="str">
        <f ca="1">IFERROR(__xludf.DUMMYFUNCTION("""COMPUTED_VALUE"""),"13.0073/77.5507")</f>
        <v>13.0073/77.5507</v>
      </c>
      <c r="H1098" s="1" t="str">
        <f ca="1">IFERROR(__xludf.DUMMYFUNCTION("""COMPUTED_VALUE"""),"Nagapura")</f>
        <v>Nagapura</v>
      </c>
      <c r="I1098" s="1"/>
      <c r="J1098" s="1" t="str">
        <f ca="1">IFERROR(__xludf.DUMMYFUNCTION("""COMPUTED_VALUE"""),"0d 00h 01m")</f>
        <v>0d 00h 01m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13.2">
      <c r="A1099" s="1">
        <f ca="1">IFERROR(__xludf.DUMMYFUNCTION("""COMPUTED_VALUE"""),145)</f>
        <v>145</v>
      </c>
      <c r="B1099" s="1" t="str">
        <f ca="1">IFERROR(__xludf.DUMMYFUNCTION("""COMPUTED_VALUE"""),"NW1_KA042D3161_Tanker")</f>
        <v>NW1_KA042D3161_Tanker</v>
      </c>
      <c r="C1099" s="1" t="str">
        <f ca="1">IFERROR(__xludf.DUMMYFUNCTION("""COMPUTED_VALUE"""),"nw1_ka042d3161_tanker")</f>
        <v>nw1_ka042d3161_tanker</v>
      </c>
      <c r="D1099" s="2">
        <f ca="1">IFERROR(__xludf.DUMMYFUNCTION("""COMPUTED_VALUE"""),44738)</f>
        <v>44738</v>
      </c>
      <c r="E1099" s="3">
        <f ca="1">IFERROR(__xludf.DUMMYFUNCTION("""COMPUTED_VALUE"""),0.638784722221316)</f>
        <v>0.63878472222131599</v>
      </c>
      <c r="F1099" s="1">
        <f ca="1">IFERROR(__xludf.DUMMYFUNCTION("""COMPUTED_VALUE"""),20418)</f>
        <v>20418</v>
      </c>
      <c r="G1099" s="1" t="str">
        <f ca="1">IFERROR(__xludf.DUMMYFUNCTION("""COMPUTED_VALUE"""),"12.9887/77.5523")</f>
        <v>12.9887/77.5523</v>
      </c>
      <c r="H1099" s="1" t="str">
        <f ca="1">IFERROR(__xludf.DUMMYFUNCTION("""COMPUTED_VALUE"""),"ESI")</f>
        <v>ESI</v>
      </c>
      <c r="I1099" s="1"/>
      <c r="J1099" s="1" t="str">
        <f ca="1">IFERROR(__xludf.DUMMYFUNCTION("""COMPUTED_VALUE"""),"0d 00h 02m")</f>
        <v>0d 00h 02m</v>
      </c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13.2">
      <c r="A1100" s="1">
        <f ca="1">IFERROR(__xludf.DUMMYFUNCTION("""COMPUTED_VALUE"""),106)</f>
        <v>106</v>
      </c>
      <c r="B1100" s="1" t="str">
        <f ca="1">IFERROR(__xludf.DUMMYFUNCTION("""COMPUTED_VALUE"""),"NW1_KA042D3161_Tanker")</f>
        <v>NW1_KA042D3161_Tanker</v>
      </c>
      <c r="C1100" s="1" t="str">
        <f ca="1">IFERROR(__xludf.DUMMYFUNCTION("""COMPUTED_VALUE"""),"nw1_ka042d3161_tanker")</f>
        <v>nw1_ka042d3161_tanker</v>
      </c>
      <c r="D1100" s="2">
        <f ca="1">IFERROR(__xludf.DUMMYFUNCTION("""COMPUTED_VALUE"""),44761)</f>
        <v>44761</v>
      </c>
      <c r="E1100" s="3">
        <f ca="1">IFERROR(__xludf.DUMMYFUNCTION("""COMPUTED_VALUE"""),0.607129629628616)</f>
        <v>0.60712962962861605</v>
      </c>
      <c r="F1100" s="1">
        <f ca="1">IFERROR(__xludf.DUMMYFUNCTION("""COMPUTED_VALUE"""),20526)</f>
        <v>20526</v>
      </c>
      <c r="G1100" s="1" t="str">
        <f ca="1">IFERROR(__xludf.DUMMYFUNCTION("""COMPUTED_VALUE"""),"12.9879/77.5508")</f>
        <v>12.9879/77.5508</v>
      </c>
      <c r="H1100" s="1" t="str">
        <f ca="1">IFERROR(__xludf.DUMMYFUNCTION("""COMPUTED_VALUE"""),"RajajiNagar")</f>
        <v>RajajiNagar</v>
      </c>
      <c r="I1100" s="1"/>
      <c r="J1100" s="1" t="str">
        <f ca="1">IFERROR(__xludf.DUMMYFUNCTION("""COMPUTED_VALUE"""),"0d 00h 03m")</f>
        <v>0d 00h 03m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13.2">
      <c r="A1101" s="1">
        <f ca="1">IFERROR(__xludf.DUMMYFUNCTION("""COMPUTED_VALUE"""),103)</f>
        <v>103</v>
      </c>
      <c r="B1101" s="1" t="str">
        <f ca="1">IFERROR(__xludf.DUMMYFUNCTION("""COMPUTED_VALUE"""),"NW1_KA042D3161_Tanker")</f>
        <v>NW1_KA042D3161_Tanker</v>
      </c>
      <c r="C1101" s="1" t="str">
        <f ca="1">IFERROR(__xludf.DUMMYFUNCTION("""COMPUTED_VALUE"""),"nw1_ka042d3161_tanker")</f>
        <v>nw1_ka042d3161_tanker</v>
      </c>
      <c r="D1101" s="2">
        <f ca="1">IFERROR(__xludf.DUMMYFUNCTION("""COMPUTED_VALUE"""),44783)</f>
        <v>44783</v>
      </c>
      <c r="E1101" s="3">
        <f ca="1">IFERROR(__xludf.DUMMYFUNCTION("""COMPUTED_VALUE"""),0.684652777777955)</f>
        <v>0.68465277777795497</v>
      </c>
      <c r="F1101" s="1">
        <f ca="1">IFERROR(__xludf.DUMMYFUNCTION("""COMPUTED_VALUE"""),20526)</f>
        <v>20526</v>
      </c>
      <c r="G1101" s="1" t="str">
        <f ca="1">IFERROR(__xludf.DUMMYFUNCTION("""COMPUTED_VALUE"""),"12.9881/77.5509")</f>
        <v>12.9881/77.5509</v>
      </c>
      <c r="H1101" s="1" t="str">
        <f ca="1">IFERROR(__xludf.DUMMYFUNCTION("""COMPUTED_VALUE"""),"RajajiNagar")</f>
        <v>RajajiNagar</v>
      </c>
      <c r="I1101" s="1"/>
      <c r="J1101" s="1" t="str">
        <f ca="1">IFERROR(__xludf.DUMMYFUNCTION("""COMPUTED_VALUE"""),"0d 00h 04m")</f>
        <v>0d 00h 04m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13.2">
      <c r="A1102" s="1">
        <f ca="1">IFERROR(__xludf.DUMMYFUNCTION("""COMPUTED_VALUE"""),99)</f>
        <v>99</v>
      </c>
      <c r="B1102" s="1" t="str">
        <f ca="1">IFERROR(__xludf.DUMMYFUNCTION("""COMPUTED_VALUE"""),"NW1_KA042D3161_Tanker")</f>
        <v>NW1_KA042D3161_Tanker</v>
      </c>
      <c r="C1102" s="1" t="str">
        <f ca="1">IFERROR(__xludf.DUMMYFUNCTION("""COMPUTED_VALUE"""),"nw1_ka042d3161_tanker")</f>
        <v>nw1_ka042d3161_tanker</v>
      </c>
      <c r="D1102" s="2">
        <f ca="1">IFERROR(__xludf.DUMMYFUNCTION("""COMPUTED_VALUE"""),44818)</f>
        <v>44818</v>
      </c>
      <c r="E1102" s="3">
        <f ca="1">IFERROR(__xludf.DUMMYFUNCTION("""COMPUTED_VALUE"""),0.476701388888614)</f>
        <v>0.47670138888861402</v>
      </c>
      <c r="F1102" s="1">
        <f ca="1">IFERROR(__xludf.DUMMYFUNCTION("""COMPUTED_VALUE"""),20531)</f>
        <v>20531</v>
      </c>
      <c r="G1102" s="1" t="str">
        <f ca="1">IFERROR(__xludf.DUMMYFUNCTION("""COMPUTED_VALUE"""),"12.9877/77.5508")</f>
        <v>12.9877/77.5508</v>
      </c>
      <c r="H1102" s="1" t="str">
        <f ca="1">IFERROR(__xludf.DUMMYFUNCTION("""COMPUTED_VALUE"""),"RajajiNagar")</f>
        <v>RajajiNagar</v>
      </c>
      <c r="I1102" s="1"/>
      <c r="J1102" s="1" t="str">
        <f ca="1">IFERROR(__xludf.DUMMYFUNCTION("""COMPUTED_VALUE"""),"0d 00h 05m")</f>
        <v>0d 00h 05m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13.2">
      <c r="A1103" s="1">
        <f ca="1">IFERROR(__xludf.DUMMYFUNCTION("""COMPUTED_VALUE"""),65)</f>
        <v>65</v>
      </c>
      <c r="B1103" s="1" t="str">
        <f ca="1">IFERROR(__xludf.DUMMYFUNCTION("""COMPUTED_VALUE"""),"NW1_KA042D3161_Tanker")</f>
        <v>NW1_KA042D3161_Tanker</v>
      </c>
      <c r="C1103" s="1" t="str">
        <f ca="1">IFERROR(__xludf.DUMMYFUNCTION("""COMPUTED_VALUE"""),"nw1_ka042d3161_tanker")</f>
        <v>nw1_ka042d3161_tanker</v>
      </c>
      <c r="D1103" s="2">
        <f ca="1">IFERROR(__xludf.DUMMYFUNCTION("""COMPUTED_VALUE"""),44818)</f>
        <v>44818</v>
      </c>
      <c r="E1103" s="3">
        <f ca="1">IFERROR(__xludf.DUMMYFUNCTION("""COMPUTED_VALUE"""),0.476701388888614)</f>
        <v>0.47670138888861402</v>
      </c>
      <c r="F1103" s="1">
        <f ca="1">IFERROR(__xludf.DUMMYFUNCTION("""COMPUTED_VALUE"""),20531)</f>
        <v>20531</v>
      </c>
      <c r="G1103" s="1" t="str">
        <f ca="1">IFERROR(__xludf.DUMMYFUNCTION("""COMPUTED_VALUE"""),"12.9877/77.5508")</f>
        <v>12.9877/77.5508</v>
      </c>
      <c r="H1103" s="1" t="str">
        <f ca="1">IFERROR(__xludf.DUMMYFUNCTION("""COMPUTED_VALUE"""),"RajajiNagar")</f>
        <v>RajajiNagar</v>
      </c>
      <c r="I1103" s="1"/>
      <c r="J1103" s="1" t="str">
        <f ca="1">IFERROR(__xludf.DUMMYFUNCTION("""COMPUTED_VALUE"""),"0d 00h 05m")</f>
        <v>0d 00h 05m</v>
      </c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13.2">
      <c r="A1104" s="1">
        <f ca="1">IFERROR(__xludf.DUMMYFUNCTION("""COMPUTED_VALUE"""),61)</f>
        <v>61</v>
      </c>
      <c r="B1104" s="1" t="str">
        <f ca="1">IFERROR(__xludf.DUMMYFUNCTION("""COMPUTED_VALUE"""),"NW1_KA04A9519_Jetting")</f>
        <v>NW1_KA04A9519_Jetting</v>
      </c>
      <c r="C1104" s="1" t="str">
        <f ca="1">IFERROR(__xludf.DUMMYFUNCTION("""COMPUTED_VALUE"""),"nw1_ka04a9519_jetting")</f>
        <v>nw1_ka04a9519_jetting</v>
      </c>
      <c r="D1104" s="2">
        <f ca="1">IFERROR(__xludf.DUMMYFUNCTION("""COMPUTED_VALUE"""),44673)</f>
        <v>44673</v>
      </c>
      <c r="E1104" s="3">
        <f ca="1">IFERROR(__xludf.DUMMYFUNCTION("""COMPUTED_VALUE"""),0.450787037036207)</f>
        <v>0.45078703703620698</v>
      </c>
      <c r="F1104" s="1">
        <f ca="1">IFERROR(__xludf.DUMMYFUNCTION("""COMPUTED_VALUE"""),24278)</f>
        <v>24278</v>
      </c>
      <c r="G1104" s="1" t="str">
        <f ca="1">IFERROR(__xludf.DUMMYFUNCTION("""COMPUTED_VALUE"""),"13.0089/77.5490")</f>
        <v>13.0089/77.5490</v>
      </c>
      <c r="H1104" s="1" t="str">
        <f ca="1">IFERROR(__xludf.DUMMYFUNCTION("""COMPUTED_VALUE"""),"NarayanaNethralaya")</f>
        <v>NarayanaNethralaya</v>
      </c>
      <c r="I1104" s="1"/>
      <c r="J1104" s="1" t="str">
        <f ca="1">IFERROR(__xludf.DUMMYFUNCTION("""COMPUTED_VALUE"""),"243d 23h 41m")</f>
        <v>243d 23h 41m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13.2">
      <c r="A1105" s="1">
        <f ca="1">IFERROR(__xludf.DUMMYFUNCTION("""COMPUTED_VALUE"""),48)</f>
        <v>48</v>
      </c>
      <c r="B1105" s="1" t="str">
        <f ca="1">IFERROR(__xludf.DUMMYFUNCTION("""COMPUTED_VALUE"""),"NW1_KA04A9519_Jetting")</f>
        <v>NW1_KA04A9519_Jetting</v>
      </c>
      <c r="C1105" s="1" t="str">
        <f ca="1">IFERROR(__xludf.DUMMYFUNCTION("""COMPUTED_VALUE"""),"nw1_ka04a9519_jetting")</f>
        <v>nw1_ka04a9519_jetting</v>
      </c>
      <c r="D1105" s="2">
        <f ca="1">IFERROR(__xludf.DUMMYFUNCTION("""COMPUTED_VALUE"""),44673)</f>
        <v>44673</v>
      </c>
      <c r="E1105" s="3">
        <f ca="1">IFERROR(__xludf.DUMMYFUNCTION("""COMPUTED_VALUE"""),0.450787037036207)</f>
        <v>0.45078703703620698</v>
      </c>
      <c r="F1105" s="1">
        <f ca="1">IFERROR(__xludf.DUMMYFUNCTION("""COMPUTED_VALUE"""),24278)</f>
        <v>24278</v>
      </c>
      <c r="G1105" s="1" t="str">
        <f ca="1">IFERROR(__xludf.DUMMYFUNCTION("""COMPUTED_VALUE"""),"13.0089/77.5490")</f>
        <v>13.0089/77.5490</v>
      </c>
      <c r="H1105" s="1" t="str">
        <f ca="1">IFERROR(__xludf.DUMMYFUNCTION("""COMPUTED_VALUE"""),"NarayanaNethralaya")</f>
        <v>NarayanaNethralaya</v>
      </c>
      <c r="I1105" s="1"/>
      <c r="J1105" s="1" t="str">
        <f ca="1">IFERROR(__xludf.DUMMYFUNCTION("""COMPUTED_VALUE"""),"243d 23h 43m")</f>
        <v>243d 23h 43m</v>
      </c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13.2">
      <c r="A1106" s="1">
        <f ca="1">IFERROR(__xludf.DUMMYFUNCTION("""COMPUTED_VALUE"""),45)</f>
        <v>45</v>
      </c>
      <c r="B1106" s="1" t="str">
        <f ca="1">IFERROR(__xludf.DUMMYFUNCTION("""COMPUTED_VALUE"""),"NW1_KA04A9519_Jetting")</f>
        <v>NW1_KA04A9519_Jetting</v>
      </c>
      <c r="C1106" s="1" t="str">
        <f ca="1">IFERROR(__xludf.DUMMYFUNCTION("""COMPUTED_VALUE"""),"nw1_ka04a9519_jetting")</f>
        <v>nw1_ka04a9519_jetting</v>
      </c>
      <c r="D1106" s="2">
        <f ca="1">IFERROR(__xludf.DUMMYFUNCTION("""COMPUTED_VALUE"""),44673)</f>
        <v>44673</v>
      </c>
      <c r="E1106" s="3">
        <f ca="1">IFERROR(__xludf.DUMMYFUNCTION("""COMPUTED_VALUE"""),0.450787037036207)</f>
        <v>0.45078703703620698</v>
      </c>
      <c r="F1106" s="1">
        <f ca="1">IFERROR(__xludf.DUMMYFUNCTION("""COMPUTED_VALUE"""),24278)</f>
        <v>24278</v>
      </c>
      <c r="G1106" s="1" t="str">
        <f ca="1">IFERROR(__xludf.DUMMYFUNCTION("""COMPUTED_VALUE"""),"13.0089/77.5490")</f>
        <v>13.0089/77.5490</v>
      </c>
      <c r="H1106" s="1" t="str">
        <f ca="1">IFERROR(__xludf.DUMMYFUNCTION("""COMPUTED_VALUE"""),"NarayanaNethralaya")</f>
        <v>NarayanaNethralaya</v>
      </c>
      <c r="I1106" s="1"/>
      <c r="J1106" s="1" t="str">
        <f ca="1">IFERROR(__xludf.DUMMYFUNCTION("""COMPUTED_VALUE"""),"243d 23h 43m")</f>
        <v>243d 23h 43m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13.2">
      <c r="A1107" s="1">
        <f ca="1">IFERROR(__xludf.DUMMYFUNCTION("""COMPUTED_VALUE"""),45)</f>
        <v>45</v>
      </c>
      <c r="B1107" s="1" t="str">
        <f ca="1">IFERROR(__xludf.DUMMYFUNCTION("""COMPUTED_VALUE"""),"NW1_KA04A9519_Jetting")</f>
        <v>NW1_KA04A9519_Jetting</v>
      </c>
      <c r="C1107" s="1" t="str">
        <f ca="1">IFERROR(__xludf.DUMMYFUNCTION("""COMPUTED_VALUE"""),"nw1_ka04a9519_jetting")</f>
        <v>nw1_ka04a9519_jetting</v>
      </c>
      <c r="D1107" s="2">
        <f ca="1">IFERROR(__xludf.DUMMYFUNCTION("""COMPUTED_VALUE"""),44673)</f>
        <v>44673</v>
      </c>
      <c r="E1107" s="3">
        <f ca="1">IFERROR(__xludf.DUMMYFUNCTION("""COMPUTED_VALUE"""),0.450787037036207)</f>
        <v>0.45078703703620698</v>
      </c>
      <c r="F1107" s="1">
        <f ca="1">IFERROR(__xludf.DUMMYFUNCTION("""COMPUTED_VALUE"""),24278)</f>
        <v>24278</v>
      </c>
      <c r="G1107" s="1" t="str">
        <f ca="1">IFERROR(__xludf.DUMMYFUNCTION("""COMPUTED_VALUE"""),"13.0089/77.5490")</f>
        <v>13.0089/77.5490</v>
      </c>
      <c r="H1107" s="1" t="str">
        <f ca="1">IFERROR(__xludf.DUMMYFUNCTION("""COMPUTED_VALUE"""),"NarayanaNethralaya")</f>
        <v>NarayanaNethralaya</v>
      </c>
      <c r="I1107" s="1"/>
      <c r="J1107" s="1" t="str">
        <f ca="1">IFERROR(__xludf.DUMMYFUNCTION("""COMPUTED_VALUE"""),"243d 23h 44m")</f>
        <v>243d 23h 44m</v>
      </c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13.2">
      <c r="A1108" s="1">
        <f ca="1">IFERROR(__xludf.DUMMYFUNCTION("""COMPUTED_VALUE"""),42)</f>
        <v>42</v>
      </c>
      <c r="B1108" s="1" t="str">
        <f ca="1">IFERROR(__xludf.DUMMYFUNCTION("""COMPUTED_VALUE"""),"NW1_KA04A9519_Jetting")</f>
        <v>NW1_KA04A9519_Jetting</v>
      </c>
      <c r="C1108" s="1" t="str">
        <f ca="1">IFERROR(__xludf.DUMMYFUNCTION("""COMPUTED_VALUE"""),"nw1_ka04a9519_jetting")</f>
        <v>nw1_ka04a9519_jetting</v>
      </c>
      <c r="D1108" s="2">
        <f ca="1">IFERROR(__xludf.DUMMYFUNCTION("""COMPUTED_VALUE"""),44673)</f>
        <v>44673</v>
      </c>
      <c r="E1108" s="3">
        <f ca="1">IFERROR(__xludf.DUMMYFUNCTION("""COMPUTED_VALUE"""),0.450787037036207)</f>
        <v>0.45078703703620698</v>
      </c>
      <c r="F1108" s="1">
        <f ca="1">IFERROR(__xludf.DUMMYFUNCTION("""COMPUTED_VALUE"""),24278)</f>
        <v>24278</v>
      </c>
      <c r="G1108" s="1" t="str">
        <f ca="1">IFERROR(__xludf.DUMMYFUNCTION("""COMPUTED_VALUE"""),"13.0089/77.5490")</f>
        <v>13.0089/77.5490</v>
      </c>
      <c r="H1108" s="1" t="str">
        <f ca="1">IFERROR(__xludf.DUMMYFUNCTION("""COMPUTED_VALUE"""),"NarayanaNethralaya")</f>
        <v>NarayanaNethralaya</v>
      </c>
      <c r="I1108" s="1"/>
      <c r="J1108" s="1" t="str">
        <f ca="1">IFERROR(__xludf.DUMMYFUNCTION("""COMPUTED_VALUE"""),"243d 23h 45m")</f>
        <v>243d 23h 45m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13.2">
      <c r="A1109" s="1">
        <f ca="1">IFERROR(__xludf.DUMMYFUNCTION("""COMPUTED_VALUE"""),42)</f>
        <v>42</v>
      </c>
      <c r="B1109" s="1" t="str">
        <f ca="1">IFERROR(__xludf.DUMMYFUNCTION("""COMPUTED_VALUE"""),"NW1_KA04A9519_Jetting")</f>
        <v>NW1_KA04A9519_Jetting</v>
      </c>
      <c r="C1109" s="1" t="str">
        <f ca="1">IFERROR(__xludf.DUMMYFUNCTION("""COMPUTED_VALUE"""),"nw1_ka04a9519_jetting")</f>
        <v>nw1_ka04a9519_jetting</v>
      </c>
      <c r="D1109" s="2">
        <f ca="1">IFERROR(__xludf.DUMMYFUNCTION("""COMPUTED_VALUE"""),44673)</f>
        <v>44673</v>
      </c>
      <c r="E1109" s="3">
        <f ca="1">IFERROR(__xludf.DUMMYFUNCTION("""COMPUTED_VALUE"""),0.450787037036207)</f>
        <v>0.45078703703620698</v>
      </c>
      <c r="F1109" s="1">
        <f ca="1">IFERROR(__xludf.DUMMYFUNCTION("""COMPUTED_VALUE"""),24278)</f>
        <v>24278</v>
      </c>
      <c r="G1109" s="1" t="str">
        <f ca="1">IFERROR(__xludf.DUMMYFUNCTION("""COMPUTED_VALUE"""),"13.0089/77.5490")</f>
        <v>13.0089/77.5490</v>
      </c>
      <c r="H1109" s="1" t="str">
        <f ca="1">IFERROR(__xludf.DUMMYFUNCTION("""COMPUTED_VALUE"""),"NarayanaNethralaya")</f>
        <v>NarayanaNethralaya</v>
      </c>
      <c r="I1109" s="1"/>
      <c r="J1109" s="1" t="str">
        <f ca="1">IFERROR(__xludf.DUMMYFUNCTION("""COMPUTED_VALUE"""),"243d 23h 46m")</f>
        <v>243d 23h 46m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13.2">
      <c r="A1110" s="1">
        <f ca="1">IFERROR(__xludf.DUMMYFUNCTION("""COMPUTED_VALUE"""),124)</f>
        <v>124</v>
      </c>
      <c r="B1110" s="1" t="str">
        <f ca="1">IFERROR(__xludf.DUMMYFUNCTION("""COMPUTED_VALUE"""),"NW1_KA04A9519_JETTING")</f>
        <v>NW1_KA04A9519_JETTING</v>
      </c>
      <c r="C1110" s="1" t="str">
        <f ca="1">IFERROR(__xludf.DUMMYFUNCTION("""COMPUTED_VALUE"""),"nw1_ka04a9519_jetting")</f>
        <v>nw1_ka04a9519_jetting</v>
      </c>
      <c r="D1110" s="2">
        <f ca="1">IFERROR(__xludf.DUMMYFUNCTION("""COMPUTED_VALUE"""),44673)</f>
        <v>44673</v>
      </c>
      <c r="E1110" s="3">
        <f ca="1">IFERROR(__xludf.DUMMYFUNCTION("""COMPUTED_VALUE"""),0.450787037036207)</f>
        <v>0.45078703703620698</v>
      </c>
      <c r="F1110" s="1">
        <f ca="1">IFERROR(__xludf.DUMMYFUNCTION("""COMPUTED_VALUE"""),24278)</f>
        <v>24278</v>
      </c>
      <c r="G1110" s="1" t="str">
        <f ca="1">IFERROR(__xludf.DUMMYFUNCTION("""COMPUTED_VALUE"""),"13.0089/77.5490")</f>
        <v>13.0089/77.5490</v>
      </c>
      <c r="H1110" s="1" t="str">
        <f ca="1">IFERROR(__xludf.DUMMYFUNCTION("""COMPUTED_VALUE"""),"NarayanaNethralaya")</f>
        <v>NarayanaNethralaya</v>
      </c>
      <c r="I1110" s="1"/>
      <c r="J1110" s="1" t="str">
        <f ca="1">IFERROR(__xludf.DUMMYFUNCTION("""COMPUTED_VALUE"""),"698d 00h 35m")</f>
        <v>698d 00h 35m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13.2">
      <c r="A1111" s="1">
        <f ca="1">IFERROR(__xludf.DUMMYFUNCTION("""COMPUTED_VALUE"""),124)</f>
        <v>124</v>
      </c>
      <c r="B1111" s="1" t="str">
        <f ca="1">IFERROR(__xludf.DUMMYFUNCTION("""COMPUTED_VALUE"""),"NW1_KA04A9519_JETTING")</f>
        <v>NW1_KA04A9519_JETTING</v>
      </c>
      <c r="C1111" s="1" t="str">
        <f ca="1">IFERROR(__xludf.DUMMYFUNCTION("""COMPUTED_VALUE"""),"nw1_ka04a9519_jetting")</f>
        <v>nw1_ka04a9519_jetting</v>
      </c>
      <c r="D1111" s="2">
        <f ca="1">IFERROR(__xludf.DUMMYFUNCTION("""COMPUTED_VALUE"""),44673)</f>
        <v>44673</v>
      </c>
      <c r="E1111" s="3">
        <f ca="1">IFERROR(__xludf.DUMMYFUNCTION("""COMPUTED_VALUE"""),0.450787037036207)</f>
        <v>0.45078703703620698</v>
      </c>
      <c r="F1111" s="1">
        <f ca="1">IFERROR(__xludf.DUMMYFUNCTION("""COMPUTED_VALUE"""),24278)</f>
        <v>24278</v>
      </c>
      <c r="G1111" s="1" t="str">
        <f ca="1">IFERROR(__xludf.DUMMYFUNCTION("""COMPUTED_VALUE"""),"13.0089/77.5490")</f>
        <v>13.0089/77.5490</v>
      </c>
      <c r="H1111" s="1" t="str">
        <f ca="1">IFERROR(__xludf.DUMMYFUNCTION("""COMPUTED_VALUE"""),"NarayanaNethralaya")</f>
        <v>NarayanaNethralaya</v>
      </c>
      <c r="I1111" s="1"/>
      <c r="J1111" s="1" t="str">
        <f ca="1">IFERROR(__xludf.DUMMYFUNCTION("""COMPUTED_VALUE"""),"698d 00h 36m")</f>
        <v>698d 00h 36m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13.2">
      <c r="A1112" s="1">
        <f ca="1">IFERROR(__xludf.DUMMYFUNCTION("""COMPUTED_VALUE"""),121)</f>
        <v>121</v>
      </c>
      <c r="B1112" s="1" t="str">
        <f ca="1">IFERROR(__xludf.DUMMYFUNCTION("""COMPUTED_VALUE"""),"NW1_KA04A9519_JETTING")</f>
        <v>NW1_KA04A9519_JETTING</v>
      </c>
      <c r="C1112" s="1" t="str">
        <f ca="1">IFERROR(__xludf.DUMMYFUNCTION("""COMPUTED_VALUE"""),"nw1_ka04a9519_jetting")</f>
        <v>nw1_ka04a9519_jetting</v>
      </c>
      <c r="D1112" s="2">
        <f ca="1">IFERROR(__xludf.DUMMYFUNCTION("""COMPUTED_VALUE"""),44673)</f>
        <v>44673</v>
      </c>
      <c r="E1112" s="3">
        <f ca="1">IFERROR(__xludf.DUMMYFUNCTION("""COMPUTED_VALUE"""),0.450787037036207)</f>
        <v>0.45078703703620698</v>
      </c>
      <c r="F1112" s="1">
        <f ca="1">IFERROR(__xludf.DUMMYFUNCTION("""COMPUTED_VALUE"""),24278)</f>
        <v>24278</v>
      </c>
      <c r="G1112" s="1" t="str">
        <f ca="1">IFERROR(__xludf.DUMMYFUNCTION("""COMPUTED_VALUE"""),"13.0089/77.5490")</f>
        <v>13.0089/77.5490</v>
      </c>
      <c r="H1112" s="1" t="str">
        <f ca="1">IFERROR(__xludf.DUMMYFUNCTION("""COMPUTED_VALUE"""),"NarayanaNethralaya")</f>
        <v>NarayanaNethralaya</v>
      </c>
      <c r="I1112" s="1"/>
      <c r="J1112" s="1" t="str">
        <f ca="1">IFERROR(__xludf.DUMMYFUNCTION("""COMPUTED_VALUE"""),"698d 00h 39m")</f>
        <v>698d 00h 39m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13.2">
      <c r="A1113" s="1">
        <f ca="1">IFERROR(__xludf.DUMMYFUNCTION("""COMPUTED_VALUE"""),121)</f>
        <v>121</v>
      </c>
      <c r="B1113" s="1" t="str">
        <f ca="1">IFERROR(__xludf.DUMMYFUNCTION("""COMPUTED_VALUE"""),"NW1_KA04A9519_JETTING")</f>
        <v>NW1_KA04A9519_JETTING</v>
      </c>
      <c r="C1113" s="1" t="str">
        <f ca="1">IFERROR(__xludf.DUMMYFUNCTION("""COMPUTED_VALUE"""),"nw1_ka04a9519_jetting")</f>
        <v>nw1_ka04a9519_jetting</v>
      </c>
      <c r="D1113" s="2">
        <f ca="1">IFERROR(__xludf.DUMMYFUNCTION("""COMPUTED_VALUE"""),44673)</f>
        <v>44673</v>
      </c>
      <c r="E1113" s="3">
        <f ca="1">IFERROR(__xludf.DUMMYFUNCTION("""COMPUTED_VALUE"""),0.450787037036207)</f>
        <v>0.45078703703620698</v>
      </c>
      <c r="F1113" s="1">
        <f ca="1">IFERROR(__xludf.DUMMYFUNCTION("""COMPUTED_VALUE"""),24278)</f>
        <v>24278</v>
      </c>
      <c r="G1113" s="1" t="str">
        <f ca="1">IFERROR(__xludf.DUMMYFUNCTION("""COMPUTED_VALUE"""),"13.0089/77.5490")</f>
        <v>13.0089/77.5490</v>
      </c>
      <c r="H1113" s="1" t="str">
        <f ca="1">IFERROR(__xludf.DUMMYFUNCTION("""COMPUTED_VALUE"""),"NarayanaNethralaya")</f>
        <v>NarayanaNethralaya</v>
      </c>
      <c r="I1113" s="1"/>
      <c r="J1113" s="1" t="str">
        <f ca="1">IFERROR(__xludf.DUMMYFUNCTION("""COMPUTED_VALUE"""),"698d 00h 40m")</f>
        <v>698d 00h 40m</v>
      </c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13.2">
      <c r="A1114" s="1">
        <f ca="1">IFERROR(__xludf.DUMMYFUNCTION("""COMPUTED_VALUE"""),120)</f>
        <v>120</v>
      </c>
      <c r="B1114" s="1" t="str">
        <f ca="1">IFERROR(__xludf.DUMMYFUNCTION("""COMPUTED_VALUE"""),"NW1_KA04A9519_JETTING")</f>
        <v>NW1_KA04A9519_JETTING</v>
      </c>
      <c r="C1114" s="1" t="str">
        <f ca="1">IFERROR(__xludf.DUMMYFUNCTION("""COMPUTED_VALUE"""),"nw1_ka04a9519_jetting")</f>
        <v>nw1_ka04a9519_jetting</v>
      </c>
      <c r="D1114" s="2">
        <f ca="1">IFERROR(__xludf.DUMMYFUNCTION("""COMPUTED_VALUE"""),44673)</f>
        <v>44673</v>
      </c>
      <c r="E1114" s="3">
        <f ca="1">IFERROR(__xludf.DUMMYFUNCTION("""COMPUTED_VALUE"""),0.450787037036207)</f>
        <v>0.45078703703620698</v>
      </c>
      <c r="F1114" s="1">
        <f ca="1">IFERROR(__xludf.DUMMYFUNCTION("""COMPUTED_VALUE"""),24278)</f>
        <v>24278</v>
      </c>
      <c r="G1114" s="1" t="str">
        <f ca="1">IFERROR(__xludf.DUMMYFUNCTION("""COMPUTED_VALUE"""),"13.0089/77.5490")</f>
        <v>13.0089/77.5490</v>
      </c>
      <c r="H1114" s="1" t="str">
        <f ca="1">IFERROR(__xludf.DUMMYFUNCTION("""COMPUTED_VALUE"""),"NarayanaNethralaya")</f>
        <v>NarayanaNethralaya</v>
      </c>
      <c r="I1114" s="1"/>
      <c r="J1114" s="1" t="str">
        <f ca="1">IFERROR(__xludf.DUMMYFUNCTION("""COMPUTED_VALUE"""),"698d 00h 41m")</f>
        <v>698d 00h 41m</v>
      </c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13.2">
      <c r="A1115" s="1">
        <f ca="1">IFERROR(__xludf.DUMMYFUNCTION("""COMPUTED_VALUE"""),120)</f>
        <v>120</v>
      </c>
      <c r="B1115" s="1" t="str">
        <f ca="1">IFERROR(__xludf.DUMMYFUNCTION("""COMPUTED_VALUE"""),"NW1_KA04A9519_JETTING")</f>
        <v>NW1_KA04A9519_JETTING</v>
      </c>
      <c r="C1115" s="1" t="str">
        <f ca="1">IFERROR(__xludf.DUMMYFUNCTION("""COMPUTED_VALUE"""),"nw1_ka04a9519_jetting")</f>
        <v>nw1_ka04a9519_jetting</v>
      </c>
      <c r="D1115" s="2">
        <f ca="1">IFERROR(__xludf.DUMMYFUNCTION("""COMPUTED_VALUE"""),44673)</f>
        <v>44673</v>
      </c>
      <c r="E1115" s="3">
        <f ca="1">IFERROR(__xludf.DUMMYFUNCTION("""COMPUTED_VALUE"""),0.450787037036207)</f>
        <v>0.45078703703620698</v>
      </c>
      <c r="F1115" s="1">
        <f ca="1">IFERROR(__xludf.DUMMYFUNCTION("""COMPUTED_VALUE"""),24278)</f>
        <v>24278</v>
      </c>
      <c r="G1115" s="1" t="str">
        <f ca="1">IFERROR(__xludf.DUMMYFUNCTION("""COMPUTED_VALUE"""),"13.0089/77.5490")</f>
        <v>13.0089/77.5490</v>
      </c>
      <c r="H1115" s="1" t="str">
        <f ca="1">IFERROR(__xludf.DUMMYFUNCTION("""COMPUTED_VALUE"""),"NarayanaNethralaya")</f>
        <v>NarayanaNethralaya</v>
      </c>
      <c r="I1115" s="1"/>
      <c r="J1115" s="1" t="str">
        <f ca="1">IFERROR(__xludf.DUMMYFUNCTION("""COMPUTED_VALUE"""),"698d 00h 42m")</f>
        <v>698d 00h 42m</v>
      </c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13.2">
      <c r="A1116" s="1">
        <f ca="1">IFERROR(__xludf.DUMMYFUNCTION("""COMPUTED_VALUE"""),120)</f>
        <v>120</v>
      </c>
      <c r="B1116" s="1" t="str">
        <f ca="1">IFERROR(__xludf.DUMMYFUNCTION("""COMPUTED_VALUE"""),"NW1_KA04A9519_JETTING")</f>
        <v>NW1_KA04A9519_JETTING</v>
      </c>
      <c r="C1116" s="1" t="str">
        <f ca="1">IFERROR(__xludf.DUMMYFUNCTION("""COMPUTED_VALUE"""),"nw1_ka04a9519_jetting")</f>
        <v>nw1_ka04a9519_jetting</v>
      </c>
      <c r="D1116" s="2">
        <f ca="1">IFERROR(__xludf.DUMMYFUNCTION("""COMPUTED_VALUE"""),44673)</f>
        <v>44673</v>
      </c>
      <c r="E1116" s="3">
        <f ca="1">IFERROR(__xludf.DUMMYFUNCTION("""COMPUTED_VALUE"""),0.450787037036207)</f>
        <v>0.45078703703620698</v>
      </c>
      <c r="F1116" s="1">
        <f ca="1">IFERROR(__xludf.DUMMYFUNCTION("""COMPUTED_VALUE"""),24278)</f>
        <v>24278</v>
      </c>
      <c r="G1116" s="1" t="str">
        <f ca="1">IFERROR(__xludf.DUMMYFUNCTION("""COMPUTED_VALUE"""),"13.0089/77.5490")</f>
        <v>13.0089/77.5490</v>
      </c>
      <c r="H1116" s="1" t="str">
        <f ca="1">IFERROR(__xludf.DUMMYFUNCTION("""COMPUTED_VALUE"""),"NarayanaNethralaya")</f>
        <v>NarayanaNethralaya</v>
      </c>
      <c r="I1116" s="1"/>
      <c r="J1116" s="1" t="str">
        <f ca="1">IFERROR(__xludf.DUMMYFUNCTION("""COMPUTED_VALUE"""),"698d 00h 43m")</f>
        <v>698d 00h 43m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13.2">
      <c r="A1117" s="1">
        <f ca="1">IFERROR(__xludf.DUMMYFUNCTION("""COMPUTED_VALUE"""),111)</f>
        <v>111</v>
      </c>
      <c r="B1117" s="1" t="str">
        <f ca="1">IFERROR(__xludf.DUMMYFUNCTION("""COMPUTED_VALUE"""),"NW1_KA04B6770_JETTING")</f>
        <v>NW1_KA04B6770_JETTING</v>
      </c>
      <c r="C1117" s="1" t="str">
        <f ca="1">IFERROR(__xludf.DUMMYFUNCTION("""COMPUTED_VALUE"""),"nw1_ka04b6770_jetting")</f>
        <v>nw1_ka04b6770_jetting</v>
      </c>
      <c r="D1117" s="2">
        <f ca="1">IFERROR(__xludf.DUMMYFUNCTION("""COMPUTED_VALUE"""),43846)</f>
        <v>43846</v>
      </c>
      <c r="E1117" s="3">
        <f ca="1">IFERROR(__xludf.DUMMYFUNCTION("""COMPUTED_VALUE"""),0.564317129628761)</f>
        <v>0.56431712962876102</v>
      </c>
      <c r="F1117" s="1">
        <f ca="1">IFERROR(__xludf.DUMMYFUNCTION("""COMPUTED_VALUE"""),16480)</f>
        <v>16480</v>
      </c>
      <c r="G1117" s="1" t="str">
        <f ca="1">IFERROR(__xludf.DUMMYFUNCTION("""COMPUTED_VALUE"""),"12.9675/77.5331")</f>
        <v>12.9675/77.5331</v>
      </c>
      <c r="H1117" s="1" t="str">
        <f ca="1">IFERROR(__xludf.DUMMYFUNCTION("""COMPUTED_VALUE"""),"Maruthi Mandir")</f>
        <v>Maruthi Mandir</v>
      </c>
      <c r="I1117" s="1"/>
      <c r="J1117" s="1" t="str">
        <f ca="1">IFERROR(__xludf.DUMMYFUNCTION("""COMPUTED_VALUE"""),"871d 23h 22m")</f>
        <v>871d 23h 22m</v>
      </c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13.2">
      <c r="A1118" s="1">
        <f ca="1">IFERROR(__xludf.DUMMYFUNCTION("""COMPUTED_VALUE"""),111)</f>
        <v>111</v>
      </c>
      <c r="B1118" s="1" t="str">
        <f ca="1">IFERROR(__xludf.DUMMYFUNCTION("""COMPUTED_VALUE"""),"NW1_KA04B6770_JETTING")</f>
        <v>NW1_KA04B6770_JETTING</v>
      </c>
      <c r="C1118" s="1" t="str">
        <f ca="1">IFERROR(__xludf.DUMMYFUNCTION("""COMPUTED_VALUE"""),"nw1_ka04b6770_jetting")</f>
        <v>nw1_ka04b6770_jetting</v>
      </c>
      <c r="D1118" s="2">
        <f ca="1">IFERROR(__xludf.DUMMYFUNCTION("""COMPUTED_VALUE"""),43846)</f>
        <v>43846</v>
      </c>
      <c r="E1118" s="3">
        <f ca="1">IFERROR(__xludf.DUMMYFUNCTION("""COMPUTED_VALUE"""),0.564317129628761)</f>
        <v>0.56431712962876102</v>
      </c>
      <c r="F1118" s="1">
        <f ca="1">IFERROR(__xludf.DUMMYFUNCTION("""COMPUTED_VALUE"""),16480)</f>
        <v>16480</v>
      </c>
      <c r="G1118" s="1" t="str">
        <f ca="1">IFERROR(__xludf.DUMMYFUNCTION("""COMPUTED_VALUE"""),"12.9675/77.5331")</f>
        <v>12.9675/77.5331</v>
      </c>
      <c r="H1118" s="1" t="str">
        <f ca="1">IFERROR(__xludf.DUMMYFUNCTION("""COMPUTED_VALUE"""),"Maruthi Mandir")</f>
        <v>Maruthi Mandir</v>
      </c>
      <c r="I1118" s="1"/>
      <c r="J1118" s="1" t="str">
        <f ca="1">IFERROR(__xludf.DUMMYFUNCTION("""COMPUTED_VALUE"""),"871d 23h 23m")</f>
        <v>871d 23h 23m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13.2">
      <c r="A1119" s="1">
        <f ca="1">IFERROR(__xludf.DUMMYFUNCTION("""COMPUTED_VALUE"""),108)</f>
        <v>108</v>
      </c>
      <c r="B1119" s="1" t="str">
        <f ca="1">IFERROR(__xludf.DUMMYFUNCTION("""COMPUTED_VALUE"""),"NW1_KA04B6770_JETTING")</f>
        <v>NW1_KA04B6770_JETTING</v>
      </c>
      <c r="C1119" s="1" t="str">
        <f ca="1">IFERROR(__xludf.DUMMYFUNCTION("""COMPUTED_VALUE"""),"nw1_ka04b6770_jetting")</f>
        <v>nw1_ka04b6770_jetting</v>
      </c>
      <c r="D1119" s="2">
        <f ca="1">IFERROR(__xludf.DUMMYFUNCTION("""COMPUTED_VALUE"""),43846)</f>
        <v>43846</v>
      </c>
      <c r="E1119" s="3">
        <f ca="1">IFERROR(__xludf.DUMMYFUNCTION("""COMPUTED_VALUE"""),0.564317129628761)</f>
        <v>0.56431712962876102</v>
      </c>
      <c r="F1119" s="1">
        <f ca="1">IFERROR(__xludf.DUMMYFUNCTION("""COMPUTED_VALUE"""),16480)</f>
        <v>16480</v>
      </c>
      <c r="G1119" s="1" t="str">
        <f ca="1">IFERROR(__xludf.DUMMYFUNCTION("""COMPUTED_VALUE"""),"12.9675/77.5331")</f>
        <v>12.9675/77.5331</v>
      </c>
      <c r="H1119" s="1" t="str">
        <f ca="1">IFERROR(__xludf.DUMMYFUNCTION("""COMPUTED_VALUE"""),"Maruthi Mandir")</f>
        <v>Maruthi Mandir</v>
      </c>
      <c r="I1119" s="1"/>
      <c r="J1119" s="1" t="str">
        <f ca="1">IFERROR(__xludf.DUMMYFUNCTION("""COMPUTED_VALUE"""),"871d 23h 26m")</f>
        <v>871d 23h 26m</v>
      </c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13.2">
      <c r="A1120" s="1">
        <f ca="1">IFERROR(__xludf.DUMMYFUNCTION("""COMPUTED_VALUE"""),108)</f>
        <v>108</v>
      </c>
      <c r="B1120" s="1" t="str">
        <f ca="1">IFERROR(__xludf.DUMMYFUNCTION("""COMPUTED_VALUE"""),"NW1_KA04B6770_JETTING")</f>
        <v>NW1_KA04B6770_JETTING</v>
      </c>
      <c r="C1120" s="1" t="str">
        <f ca="1">IFERROR(__xludf.DUMMYFUNCTION("""COMPUTED_VALUE"""),"nw1_ka04b6770_jetting")</f>
        <v>nw1_ka04b6770_jetting</v>
      </c>
      <c r="D1120" s="2">
        <f ca="1">IFERROR(__xludf.DUMMYFUNCTION("""COMPUTED_VALUE"""),43846)</f>
        <v>43846</v>
      </c>
      <c r="E1120" s="3">
        <f ca="1">IFERROR(__xludf.DUMMYFUNCTION("""COMPUTED_VALUE"""),0.564317129628761)</f>
        <v>0.56431712962876102</v>
      </c>
      <c r="F1120" s="1">
        <f ca="1">IFERROR(__xludf.DUMMYFUNCTION("""COMPUTED_VALUE"""),16480)</f>
        <v>16480</v>
      </c>
      <c r="G1120" s="1" t="str">
        <f ca="1">IFERROR(__xludf.DUMMYFUNCTION("""COMPUTED_VALUE"""),"12.9675/77.5331")</f>
        <v>12.9675/77.5331</v>
      </c>
      <c r="H1120" s="1" t="str">
        <f ca="1">IFERROR(__xludf.DUMMYFUNCTION("""COMPUTED_VALUE"""),"Maruthi Mandir")</f>
        <v>Maruthi Mandir</v>
      </c>
      <c r="I1120" s="1"/>
      <c r="J1120" s="1" t="str">
        <f ca="1">IFERROR(__xludf.DUMMYFUNCTION("""COMPUTED_VALUE"""),"871d 23h 27m")</f>
        <v>871d 23h 27m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13.2">
      <c r="A1121" s="1">
        <f ca="1">IFERROR(__xludf.DUMMYFUNCTION("""COMPUTED_VALUE"""),108)</f>
        <v>108</v>
      </c>
      <c r="B1121" s="1" t="str">
        <f ca="1">IFERROR(__xludf.DUMMYFUNCTION("""COMPUTED_VALUE"""),"NW1_KA04B6770_JETTING")</f>
        <v>NW1_KA04B6770_JETTING</v>
      </c>
      <c r="C1121" s="1" t="str">
        <f ca="1">IFERROR(__xludf.DUMMYFUNCTION("""COMPUTED_VALUE"""),"nw1_ka04b6770_jetting")</f>
        <v>nw1_ka04b6770_jetting</v>
      </c>
      <c r="D1121" s="2">
        <f ca="1">IFERROR(__xludf.DUMMYFUNCTION("""COMPUTED_VALUE"""),43846)</f>
        <v>43846</v>
      </c>
      <c r="E1121" s="3">
        <f ca="1">IFERROR(__xludf.DUMMYFUNCTION("""COMPUTED_VALUE"""),0.564317129628761)</f>
        <v>0.56431712962876102</v>
      </c>
      <c r="F1121" s="1">
        <f ca="1">IFERROR(__xludf.DUMMYFUNCTION("""COMPUTED_VALUE"""),16480)</f>
        <v>16480</v>
      </c>
      <c r="G1121" s="1" t="str">
        <f ca="1">IFERROR(__xludf.DUMMYFUNCTION("""COMPUTED_VALUE"""),"12.9675/77.5331")</f>
        <v>12.9675/77.5331</v>
      </c>
      <c r="H1121" s="1" t="str">
        <f ca="1">IFERROR(__xludf.DUMMYFUNCTION("""COMPUTED_VALUE"""),"Maruthi Mandir")</f>
        <v>Maruthi Mandir</v>
      </c>
      <c r="I1121" s="1"/>
      <c r="J1121" s="1" t="str">
        <f ca="1">IFERROR(__xludf.DUMMYFUNCTION("""COMPUTED_VALUE"""),"871d 23h 28m")</f>
        <v>871d 23h 28m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13.2">
      <c r="A1122" s="1">
        <f ca="1">IFERROR(__xludf.DUMMYFUNCTION("""COMPUTED_VALUE"""),108)</f>
        <v>108</v>
      </c>
      <c r="B1122" s="1" t="str">
        <f ca="1">IFERROR(__xludf.DUMMYFUNCTION("""COMPUTED_VALUE"""),"NW1_KA04B6770_JETTING")</f>
        <v>NW1_KA04B6770_JETTING</v>
      </c>
      <c r="C1122" s="1" t="str">
        <f ca="1">IFERROR(__xludf.DUMMYFUNCTION("""COMPUTED_VALUE"""),"nw1_ka04b6770_jetting")</f>
        <v>nw1_ka04b6770_jetting</v>
      </c>
      <c r="D1122" s="2">
        <f ca="1">IFERROR(__xludf.DUMMYFUNCTION("""COMPUTED_VALUE"""),43846)</f>
        <v>43846</v>
      </c>
      <c r="E1122" s="3">
        <f ca="1">IFERROR(__xludf.DUMMYFUNCTION("""COMPUTED_VALUE"""),0.564317129628761)</f>
        <v>0.56431712962876102</v>
      </c>
      <c r="F1122" s="1">
        <f ca="1">IFERROR(__xludf.DUMMYFUNCTION("""COMPUTED_VALUE"""),16480)</f>
        <v>16480</v>
      </c>
      <c r="G1122" s="1" t="str">
        <f ca="1">IFERROR(__xludf.DUMMYFUNCTION("""COMPUTED_VALUE"""),"12.9675/77.5331")</f>
        <v>12.9675/77.5331</v>
      </c>
      <c r="H1122" s="1" t="str">
        <f ca="1">IFERROR(__xludf.DUMMYFUNCTION("""COMPUTED_VALUE"""),"Maruthi Mandir")</f>
        <v>Maruthi Mandir</v>
      </c>
      <c r="I1122" s="1"/>
      <c r="J1122" s="1" t="str">
        <f ca="1">IFERROR(__xludf.DUMMYFUNCTION("""COMPUTED_VALUE"""),"871d 23h 29m")</f>
        <v>871d 23h 29m</v>
      </c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13.2">
      <c r="A1123" s="1">
        <f ca="1">IFERROR(__xludf.DUMMYFUNCTION("""COMPUTED_VALUE"""),108)</f>
        <v>108</v>
      </c>
      <c r="B1123" s="1" t="str">
        <f ca="1">IFERROR(__xludf.DUMMYFUNCTION("""COMPUTED_VALUE"""),"NW1_KA04B6770_JETTING")</f>
        <v>NW1_KA04B6770_JETTING</v>
      </c>
      <c r="C1123" s="1" t="str">
        <f ca="1">IFERROR(__xludf.DUMMYFUNCTION("""COMPUTED_VALUE"""),"nw1_ka04b6770_jetting")</f>
        <v>nw1_ka04b6770_jetting</v>
      </c>
      <c r="D1123" s="2">
        <f ca="1">IFERROR(__xludf.DUMMYFUNCTION("""COMPUTED_VALUE"""),43846)</f>
        <v>43846</v>
      </c>
      <c r="E1123" s="3">
        <f ca="1">IFERROR(__xludf.DUMMYFUNCTION("""COMPUTED_VALUE"""),0.564317129628761)</f>
        <v>0.56431712962876102</v>
      </c>
      <c r="F1123" s="1">
        <f ca="1">IFERROR(__xludf.DUMMYFUNCTION("""COMPUTED_VALUE"""),16480)</f>
        <v>16480</v>
      </c>
      <c r="G1123" s="1" t="str">
        <f ca="1">IFERROR(__xludf.DUMMYFUNCTION("""COMPUTED_VALUE"""),"12.9675/77.5331")</f>
        <v>12.9675/77.5331</v>
      </c>
      <c r="H1123" s="1" t="str">
        <f ca="1">IFERROR(__xludf.DUMMYFUNCTION("""COMPUTED_VALUE"""),"Maruthi Mandir")</f>
        <v>Maruthi Mandir</v>
      </c>
      <c r="I1123" s="1"/>
      <c r="J1123" s="1" t="str">
        <f ca="1">IFERROR(__xludf.DUMMYFUNCTION("""COMPUTED_VALUE"""),"871d 23h 30m")</f>
        <v>871d 23h 30m</v>
      </c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13.2">
      <c r="A1124" s="1">
        <f ca="1">IFERROR(__xludf.DUMMYFUNCTION("""COMPUTED_VALUE"""),145)</f>
        <v>145</v>
      </c>
      <c r="B1124" s="1" t="str">
        <f ca="1">IFERROR(__xludf.DUMMYFUNCTION("""COMPUTED_VALUE"""),"NW1_KA04C5131_Jetting")</f>
        <v>NW1_KA04C5131_Jetting</v>
      </c>
      <c r="C1124" s="1" t="str">
        <f ca="1">IFERROR(__xludf.DUMMYFUNCTION("""COMPUTED_VALUE"""),"nw1_ka04c5131_jetting")</f>
        <v>nw1_ka04c5131_jetting</v>
      </c>
      <c r="D1124" s="2">
        <f ca="1">IFERROR(__xludf.DUMMYFUNCTION("""COMPUTED_VALUE"""),44707)</f>
        <v>44707</v>
      </c>
      <c r="E1124" s="3">
        <f ca="1">IFERROR(__xludf.DUMMYFUNCTION("""COMPUTED_VALUE"""),0.997187500001018)</f>
        <v>0.99718750000101797</v>
      </c>
      <c r="F1124" s="1">
        <f ca="1">IFERROR(__xludf.DUMMYFUNCTION("""COMPUTED_VALUE"""),14241)</f>
        <v>14241</v>
      </c>
      <c r="G1124" s="1" t="str">
        <f ca="1">IFERROR(__xludf.DUMMYFUNCTION("""COMPUTED_VALUE"""),"13.0074/77.5507")</f>
        <v>13.0074/77.5507</v>
      </c>
      <c r="H1124" s="1" t="str">
        <f ca="1">IFERROR(__xludf.DUMMYFUNCTION("""COMPUTED_VALUE"""),"Nagapura")</f>
        <v>Nagapura</v>
      </c>
      <c r="I1124" s="1"/>
      <c r="J1124" s="1" t="str">
        <f ca="1">IFERROR(__xludf.DUMMYFUNCTION("""COMPUTED_VALUE"""),"0d 00h 00m")</f>
        <v>0d 00h 00m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13.2">
      <c r="A1125" s="1">
        <f ca="1">IFERROR(__xludf.DUMMYFUNCTION("""COMPUTED_VALUE"""),101)</f>
        <v>101</v>
      </c>
      <c r="B1125" s="1" t="str">
        <f ca="1">IFERROR(__xludf.DUMMYFUNCTION("""COMPUTED_VALUE"""),"NW1_KA04C5131_Jetting")</f>
        <v>NW1_KA04C5131_Jetting</v>
      </c>
      <c r="C1125" s="1" t="str">
        <f ca="1">IFERROR(__xludf.DUMMYFUNCTION("""COMPUTED_VALUE"""),"nw1_ka04c5131_jetting")</f>
        <v>nw1_ka04c5131_jetting</v>
      </c>
      <c r="D1125" s="2">
        <f ca="1">IFERROR(__xludf.DUMMYFUNCTION("""COMPUTED_VALUE"""),44733)</f>
        <v>44733</v>
      </c>
      <c r="E1125" s="3">
        <f ca="1">IFERROR(__xludf.DUMMYFUNCTION("""COMPUTED_VALUE"""),0.714178240741603)</f>
        <v>0.71417824074160297</v>
      </c>
      <c r="F1125" s="1">
        <f ca="1">IFERROR(__xludf.DUMMYFUNCTION("""COMPUTED_VALUE"""),14519)</f>
        <v>14519</v>
      </c>
      <c r="G1125" s="1" t="str">
        <f ca="1">IFERROR(__xludf.DUMMYFUNCTION("""COMPUTED_VALUE"""),"13.0075/77.5508")</f>
        <v>13.0075/77.5508</v>
      </c>
      <c r="H1125" s="1" t="str">
        <f ca="1">IFERROR(__xludf.DUMMYFUNCTION("""COMPUTED_VALUE"""),"Nagapura")</f>
        <v>Nagapura</v>
      </c>
      <c r="I1125" s="1"/>
      <c r="J1125" s="1" t="str">
        <f ca="1">IFERROR(__xludf.DUMMYFUNCTION("""COMPUTED_VALUE"""),"0d 00h 00m")</f>
        <v>0d 00h 00m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13.2">
      <c r="A1126" s="1">
        <f ca="1">IFERROR(__xludf.DUMMYFUNCTION("""COMPUTED_VALUE"""),94)</f>
        <v>94</v>
      </c>
      <c r="B1126" s="1" t="str">
        <f ca="1">IFERROR(__xludf.DUMMYFUNCTION("""COMPUTED_VALUE"""),"NW1_KA04C5131_Jetting")</f>
        <v>NW1_KA04C5131_Jetting</v>
      </c>
      <c r="C1126" s="1" t="str">
        <f ca="1">IFERROR(__xludf.DUMMYFUNCTION("""COMPUTED_VALUE"""),"nw1_ka04c5131_jetting")</f>
        <v>nw1_ka04c5131_jetting</v>
      </c>
      <c r="D1126" s="2">
        <f ca="1">IFERROR(__xludf.DUMMYFUNCTION("""COMPUTED_VALUE"""),44755)</f>
        <v>44755</v>
      </c>
      <c r="E1126" s="3">
        <f ca="1">IFERROR(__xludf.DUMMYFUNCTION("""COMPUTED_VALUE"""),0.657303240739565)</f>
        <v>0.65730324073956503</v>
      </c>
      <c r="F1126" s="1">
        <f ca="1">IFERROR(__xludf.DUMMYFUNCTION("""COMPUTED_VALUE"""),14528)</f>
        <v>14528</v>
      </c>
      <c r="G1126" s="1" t="str">
        <f ca="1">IFERROR(__xludf.DUMMYFUNCTION("""COMPUTED_VALUE"""),"13.0100/77.5664")</f>
        <v>13.0100/77.5664</v>
      </c>
      <c r="H1126" s="1" t="str">
        <f ca="1">IFERROR(__xludf.DUMMYFUNCTION("""COMPUTED_VALUE"""),"Malleshwaram")</f>
        <v>Malleshwaram</v>
      </c>
      <c r="I1126" s="1"/>
      <c r="J1126" s="1" t="str">
        <f ca="1">IFERROR(__xludf.DUMMYFUNCTION("""COMPUTED_VALUE"""),"0d 00h 00m")</f>
        <v>0d 00h 00m</v>
      </c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13.2">
      <c r="A1127" s="1">
        <f ca="1">IFERROR(__xludf.DUMMYFUNCTION("""COMPUTED_VALUE"""),114)</f>
        <v>114</v>
      </c>
      <c r="B1127" s="1" t="str">
        <f ca="1">IFERROR(__xludf.DUMMYFUNCTION("""COMPUTED_VALUE"""),"NW1_KA04C5131_Jetting")</f>
        <v>NW1_KA04C5131_Jetting</v>
      </c>
      <c r="C1127" s="1" t="str">
        <f ca="1">IFERROR(__xludf.DUMMYFUNCTION("""COMPUTED_VALUE"""),"nw1_ka04c5131_jetting")</f>
        <v>nw1_ka04c5131_jetting</v>
      </c>
      <c r="D1127" s="2">
        <f ca="1">IFERROR(__xludf.DUMMYFUNCTION("""COMPUTED_VALUE"""),44787)</f>
        <v>44787</v>
      </c>
      <c r="E1127" s="3">
        <f ca="1">IFERROR(__xludf.DUMMYFUNCTION("""COMPUTED_VALUE"""),0.34945601851723)</f>
        <v>0.34945601851723002</v>
      </c>
      <c r="F1127" s="1">
        <f ca="1">IFERROR(__xludf.DUMMYFUNCTION("""COMPUTED_VALUE"""),14529)</f>
        <v>14529</v>
      </c>
      <c r="G1127" s="1" t="str">
        <f ca="1">IFERROR(__xludf.DUMMYFUNCTION("""COMPUTED_VALUE"""),"13.0075/77.5506")</f>
        <v>13.0075/77.5506</v>
      </c>
      <c r="H1127" s="1" t="str">
        <f ca="1">IFERROR(__xludf.DUMMYFUNCTION("""COMPUTED_VALUE"""),"Nagapura")</f>
        <v>Nagapura</v>
      </c>
      <c r="I1127" s="1"/>
      <c r="J1127" s="1" t="str">
        <f ca="1">IFERROR(__xludf.DUMMYFUNCTION("""COMPUTED_VALUE"""),"0d 00h 00m")</f>
        <v>0d 00h 00m</v>
      </c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13.2">
      <c r="A1128" s="1">
        <f ca="1">IFERROR(__xludf.DUMMYFUNCTION("""COMPUTED_VALUE"""),75)</f>
        <v>75</v>
      </c>
      <c r="B1128" s="1" t="str">
        <f ca="1">IFERROR(__xludf.DUMMYFUNCTION("""COMPUTED_VALUE"""),"NW1_KA04C5131_Jetting")</f>
        <v>NW1_KA04C5131_Jetting</v>
      </c>
      <c r="C1128" s="1" t="str">
        <f ca="1">IFERROR(__xludf.DUMMYFUNCTION("""COMPUTED_VALUE"""),"nw1_ka04c5131_jetting")</f>
        <v>nw1_ka04c5131_jetting</v>
      </c>
      <c r="D1128" s="2">
        <f ca="1">IFERROR(__xludf.DUMMYFUNCTION("""COMPUTED_VALUE"""),44787)</f>
        <v>44787</v>
      </c>
      <c r="E1128" s="3">
        <f ca="1">IFERROR(__xludf.DUMMYFUNCTION("""COMPUTED_VALUE"""),0.34945601851723)</f>
        <v>0.34945601851723002</v>
      </c>
      <c r="F1128" s="1">
        <f ca="1">IFERROR(__xludf.DUMMYFUNCTION("""COMPUTED_VALUE"""),14529)</f>
        <v>14529</v>
      </c>
      <c r="G1128" s="1" t="str">
        <f ca="1">IFERROR(__xludf.DUMMYFUNCTION("""COMPUTED_VALUE"""),"13.0075/77.5506")</f>
        <v>13.0075/77.5506</v>
      </c>
      <c r="H1128" s="1" t="str">
        <f ca="1">IFERROR(__xludf.DUMMYFUNCTION("""COMPUTED_VALUE"""),"Nagapura")</f>
        <v>Nagapura</v>
      </c>
      <c r="I1128" s="1"/>
      <c r="J1128" s="1" t="str">
        <f ca="1">IFERROR(__xludf.DUMMYFUNCTION("""COMPUTED_VALUE"""),"0d 00h 00m")</f>
        <v>0d 00h 00m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13.2">
      <c r="A1129" s="1">
        <f ca="1">IFERROR(__xludf.DUMMYFUNCTION("""COMPUTED_VALUE"""),147)</f>
        <v>147</v>
      </c>
      <c r="B1129" s="1" t="str">
        <f ca="1">IFERROR(__xludf.DUMMYFUNCTION("""COMPUTED_VALUE"""),"NW1_KA04C5131_Jetting")</f>
        <v>NW1_KA04C5131_Jetting</v>
      </c>
      <c r="C1129" s="1" t="str">
        <f ca="1">IFERROR(__xludf.DUMMYFUNCTION("""COMPUTED_VALUE"""),"nw1_ka04c5131_jetting")</f>
        <v>nw1_ka04c5131_jetting</v>
      </c>
      <c r="D1129" s="2">
        <f ca="1">IFERROR(__xludf.DUMMYFUNCTION("""COMPUTED_VALUE"""),44860)</f>
        <v>44860</v>
      </c>
      <c r="E1129" s="3">
        <f ca="1">IFERROR(__xludf.DUMMYFUNCTION("""COMPUTED_VALUE"""),0.949270833334594)</f>
        <v>0.94927083333459406</v>
      </c>
      <c r="F1129" s="1">
        <f ca="1">IFERROR(__xludf.DUMMYFUNCTION("""COMPUTED_VALUE"""),14761)</f>
        <v>14761</v>
      </c>
      <c r="G1129" s="1" t="str">
        <f ca="1">IFERROR(__xludf.DUMMYFUNCTION("""COMPUTED_VALUE"""),"13.0076/77.5508")</f>
        <v>13.0076/77.5508</v>
      </c>
      <c r="H1129" s="1" t="str">
        <f ca="1">IFERROR(__xludf.DUMMYFUNCTION("""COMPUTED_VALUE"""),"Nagapura")</f>
        <v>Nagapura</v>
      </c>
      <c r="I1129" s="1"/>
      <c r="J1129" s="1" t="str">
        <f ca="1">IFERROR(__xludf.DUMMYFUNCTION("""COMPUTED_VALUE"""),"0d 00h 00m")</f>
        <v>0d 00h 00m</v>
      </c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13.2">
      <c r="A1130" s="1">
        <f ca="1">IFERROR(__xludf.DUMMYFUNCTION("""COMPUTED_VALUE"""),133)</f>
        <v>133</v>
      </c>
      <c r="B1130" s="1" t="str">
        <f ca="1">IFERROR(__xludf.DUMMYFUNCTION("""COMPUTED_VALUE"""),"NW1_KA04C5131_JETTING")</f>
        <v>NW1_KA04C5131_JETTING</v>
      </c>
      <c r="C1130" s="1" t="str">
        <f ca="1">IFERROR(__xludf.DUMMYFUNCTION("""COMPUTED_VALUE"""),"nw1_ka04c5131_jetting")</f>
        <v>nw1_ka04c5131_jetting</v>
      </c>
      <c r="D1130" s="2">
        <f ca="1">IFERROR(__xludf.DUMMYFUNCTION("""COMPUTED_VALUE"""),44755)</f>
        <v>44755</v>
      </c>
      <c r="E1130" s="3">
        <f ca="1">IFERROR(__xludf.DUMMYFUNCTION("""COMPUTED_VALUE"""),0.657303240739565)</f>
        <v>0.65730324073956503</v>
      </c>
      <c r="F1130" s="1">
        <f ca="1">IFERROR(__xludf.DUMMYFUNCTION("""COMPUTED_VALUE"""),14528)</f>
        <v>14528</v>
      </c>
      <c r="G1130" s="1" t="str">
        <f ca="1">IFERROR(__xludf.DUMMYFUNCTION("""COMPUTED_VALUE"""),"13.0100/77.5664")</f>
        <v>13.0100/77.5664</v>
      </c>
      <c r="H1130" s="1" t="str">
        <f ca="1">IFERROR(__xludf.DUMMYFUNCTION("""COMPUTED_VALUE"""),"Malleshwaram")</f>
        <v>Malleshwaram</v>
      </c>
      <c r="I1130" s="1"/>
      <c r="J1130" s="1" t="str">
        <f ca="1">IFERROR(__xludf.DUMMYFUNCTION("""COMPUTED_VALUE"""),"0d 00h 00m")</f>
        <v>0d 00h 00m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13.2">
      <c r="A1131" s="1">
        <f ca="1">IFERROR(__xludf.DUMMYFUNCTION("""COMPUTED_VALUE"""),141)</f>
        <v>141</v>
      </c>
      <c r="B1131" s="1" t="str">
        <f ca="1">IFERROR(__xludf.DUMMYFUNCTION("""COMPUTED_VALUE"""),"NW1_KA04C5131_JETTING")</f>
        <v>NW1_KA04C5131_JETTING</v>
      </c>
      <c r="C1131" s="1" t="str">
        <f ca="1">IFERROR(__xludf.DUMMYFUNCTION("""COMPUTED_VALUE"""),"nw1_ka04c5131_jetting")</f>
        <v>nw1_ka04c5131_jetting</v>
      </c>
      <c r="D1131" s="2">
        <f ca="1">IFERROR(__xludf.DUMMYFUNCTION("""COMPUTED_VALUE"""),44860)</f>
        <v>44860</v>
      </c>
      <c r="E1131" s="3">
        <f ca="1">IFERROR(__xludf.DUMMYFUNCTION("""COMPUTED_VALUE"""),0.949270833334594)</f>
        <v>0.94927083333459406</v>
      </c>
      <c r="F1131" s="1">
        <f ca="1">IFERROR(__xludf.DUMMYFUNCTION("""COMPUTED_VALUE"""),14761)</f>
        <v>14761</v>
      </c>
      <c r="G1131" s="1" t="str">
        <f ca="1">IFERROR(__xludf.DUMMYFUNCTION("""COMPUTED_VALUE"""),"13.0076/77.5508")</f>
        <v>13.0076/77.5508</v>
      </c>
      <c r="H1131" s="1" t="str">
        <f ca="1">IFERROR(__xludf.DUMMYFUNCTION("""COMPUTED_VALUE"""),"Nagapura")</f>
        <v>Nagapura</v>
      </c>
      <c r="I1131" s="1"/>
      <c r="J1131" s="1" t="str">
        <f ca="1">IFERROR(__xludf.DUMMYFUNCTION("""COMPUTED_VALUE"""),"0d 00h 00m")</f>
        <v>0d 00h 00m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13.2">
      <c r="A1132" s="1">
        <f ca="1">IFERROR(__xludf.DUMMYFUNCTION("""COMPUTED_VALUE"""),162)</f>
        <v>162</v>
      </c>
      <c r="B1132" s="1" t="str">
        <f ca="1">IFERROR(__xludf.DUMMYFUNCTION("""COMPUTED_VALUE"""),"NW1_KA04C5131_JETTING")</f>
        <v>NW1_KA04C5131_JETTING</v>
      </c>
      <c r="C1132" s="1" t="str">
        <f ca="1">IFERROR(__xludf.DUMMYFUNCTION("""COMPUTED_VALUE"""),"nw1_ka04c5131_jetting")</f>
        <v>nw1_ka04c5131_jetting</v>
      </c>
      <c r="D1132" s="2">
        <f ca="1">IFERROR(__xludf.DUMMYFUNCTION("""COMPUTED_VALUE"""),44952)</f>
        <v>44952</v>
      </c>
      <c r="E1132" s="3">
        <f ca="1">IFERROR(__xludf.DUMMYFUNCTION("""COMPUTED_VALUE"""),0.999270833333866)</f>
        <v>0.99927083333386602</v>
      </c>
      <c r="F1132" s="1">
        <f ca="1">IFERROR(__xludf.DUMMYFUNCTION("""COMPUTED_VALUE"""),15653)</f>
        <v>15653</v>
      </c>
      <c r="G1132" s="1" t="str">
        <f ca="1">IFERROR(__xludf.DUMMYFUNCTION("""COMPUTED_VALUE"""),"13.0074/77.5506")</f>
        <v>13.0074/77.5506</v>
      </c>
      <c r="H1132" s="1" t="str">
        <f ca="1">IFERROR(__xludf.DUMMYFUNCTION("""COMPUTED_VALUE"""),"Nagapura")</f>
        <v>Nagapura</v>
      </c>
      <c r="I1132" s="1"/>
      <c r="J1132" s="1" t="str">
        <f ca="1">IFERROR(__xludf.DUMMYFUNCTION("""COMPUTED_VALUE"""),"0d 00h 00m")</f>
        <v>0d 00h 00m</v>
      </c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13.2">
      <c r="A1133" s="1">
        <f ca="1">IFERROR(__xludf.DUMMYFUNCTION("""COMPUTED_VALUE"""),142)</f>
        <v>142</v>
      </c>
      <c r="B1133" s="1" t="str">
        <f ca="1">IFERROR(__xludf.DUMMYFUNCTION("""COMPUTED_VALUE"""),"NW1_KA04C5131_JETTING")</f>
        <v>NW1_KA04C5131_JETTING</v>
      </c>
      <c r="C1133" s="1" t="str">
        <f ca="1">IFERROR(__xludf.DUMMYFUNCTION("""COMPUTED_VALUE"""),"nw1_ka04c5131_jetting")</f>
        <v>nw1_ka04c5131_jetting</v>
      </c>
      <c r="D1133" s="2">
        <f ca="1">IFERROR(__xludf.DUMMYFUNCTION("""COMPUTED_VALUE"""),44996)</f>
        <v>44996</v>
      </c>
      <c r="E1133" s="3">
        <f ca="1">IFERROR(__xludf.DUMMYFUNCTION("""COMPUTED_VALUE"""),0.45402777777781)</f>
        <v>0.45402777777781</v>
      </c>
      <c r="F1133" s="1">
        <f ca="1">IFERROR(__xludf.DUMMYFUNCTION("""COMPUTED_VALUE"""),7798)</f>
        <v>7798</v>
      </c>
      <c r="G1133" s="1" t="str">
        <f ca="1">IFERROR(__xludf.DUMMYFUNCTION("""COMPUTED_VALUE"""),"13.0109/77.5672")</f>
        <v>13.0109/77.5672</v>
      </c>
      <c r="H1133" s="1" t="str">
        <f ca="1">IFERROR(__xludf.DUMMYFUNCTION("""COMPUTED_VALUE"""),"Malleshwaram")</f>
        <v>Malleshwaram</v>
      </c>
      <c r="I1133" s="1"/>
      <c r="J1133" s="1" t="str">
        <f ca="1">IFERROR(__xludf.DUMMYFUNCTION("""COMPUTED_VALUE"""),"0d 00h 00m")</f>
        <v>0d 00h 00m</v>
      </c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13.2">
      <c r="A1134" s="1">
        <f ca="1">IFERROR(__xludf.DUMMYFUNCTION("""COMPUTED_VALUE"""),168)</f>
        <v>168</v>
      </c>
      <c r="B1134" s="1" t="str">
        <f ca="1">IFERROR(__xludf.DUMMYFUNCTION("""COMPUTED_VALUE"""),"NW1_KA04C5131_JETTING")</f>
        <v>NW1_KA04C5131_JETTING</v>
      </c>
      <c r="C1134" s="1" t="str">
        <f ca="1">IFERROR(__xludf.DUMMYFUNCTION("""COMPUTED_VALUE"""),"nw1_ka04c5131_jetting")</f>
        <v>nw1_ka04c5131_jetting</v>
      </c>
      <c r="D1134" s="2">
        <f ca="1">IFERROR(__xludf.DUMMYFUNCTION("""COMPUTED_VALUE"""),45134)</f>
        <v>45134</v>
      </c>
      <c r="E1134" s="3">
        <f ca="1">IFERROR(__xludf.DUMMYFUNCTION("""COMPUTED_VALUE"""),0.999282407407008)</f>
        <v>0.99928240740700802</v>
      </c>
      <c r="F1134" s="1">
        <f ca="1">IFERROR(__xludf.DUMMYFUNCTION("""COMPUTED_VALUE"""),8534)</f>
        <v>8534</v>
      </c>
      <c r="G1134" s="1" t="str">
        <f ca="1">IFERROR(__xludf.DUMMYFUNCTION("""COMPUTED_VALUE"""),"13.0074/77.5506")</f>
        <v>13.0074/77.5506</v>
      </c>
      <c r="H1134" s="1" t="str">
        <f ca="1">IFERROR(__xludf.DUMMYFUNCTION("""COMPUTED_VALUE"""),"Nagapura")</f>
        <v>Nagapura</v>
      </c>
      <c r="I1134" s="1"/>
      <c r="J1134" s="1" t="str">
        <f ca="1">IFERROR(__xludf.DUMMYFUNCTION("""COMPUTED_VALUE"""),"0d 00h 00m")</f>
        <v>0d 00h 00m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13.2">
      <c r="A1135" s="1">
        <f ca="1">IFERROR(__xludf.DUMMYFUNCTION("""COMPUTED_VALUE"""),156)</f>
        <v>156</v>
      </c>
      <c r="B1135" s="1" t="str">
        <f ca="1">IFERROR(__xludf.DUMMYFUNCTION("""COMPUTED_VALUE"""),"NW1_KA04C5131_JETTING")</f>
        <v>NW1_KA04C5131_JETTING</v>
      </c>
      <c r="C1135" s="1" t="str">
        <f ca="1">IFERROR(__xludf.DUMMYFUNCTION("""COMPUTED_VALUE"""),"nw1_ka04c5131_jetting")</f>
        <v>nw1_ka04c5131_jetting</v>
      </c>
      <c r="D1135" s="2">
        <f ca="1">IFERROR(__xludf.DUMMYFUNCTION("""COMPUTED_VALUE"""),45226)</f>
        <v>45226</v>
      </c>
      <c r="E1135" s="3">
        <f ca="1">IFERROR(__xludf.DUMMYFUNCTION("""COMPUTED_VALUE"""),0.996967592593136)</f>
        <v>0.99696759259313605</v>
      </c>
      <c r="F1135" s="1">
        <f ca="1">IFERROR(__xludf.DUMMYFUNCTION("""COMPUTED_VALUE"""),9559)</f>
        <v>9559</v>
      </c>
      <c r="G1135" s="1" t="str">
        <f ca="1">IFERROR(__xludf.DUMMYFUNCTION("""COMPUTED_VALUE"""),"13.0073/77.5507")</f>
        <v>13.0073/77.5507</v>
      </c>
      <c r="H1135" s="1" t="str">
        <f ca="1">IFERROR(__xludf.DUMMYFUNCTION("""COMPUTED_VALUE"""),"Nagapura")</f>
        <v>Nagapura</v>
      </c>
      <c r="I1135" s="1"/>
      <c r="J1135" s="1" t="str">
        <f ca="1">IFERROR(__xludf.DUMMYFUNCTION("""COMPUTED_VALUE"""),"0d 00h 00m")</f>
        <v>0d 00h 00m</v>
      </c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13.2">
      <c r="A1136" s="1">
        <f ca="1">IFERROR(__xludf.DUMMYFUNCTION("""COMPUTED_VALUE"""),163)</f>
        <v>163</v>
      </c>
      <c r="B1136" s="1" t="str">
        <f ca="1">IFERROR(__xludf.DUMMYFUNCTION("""COMPUTED_VALUE"""),"NW1_KA04C5131_JETTING")</f>
        <v>NW1_KA04C5131_JETTING</v>
      </c>
      <c r="C1136" s="1" t="str">
        <f ca="1">IFERROR(__xludf.DUMMYFUNCTION("""COMPUTED_VALUE"""),"nw1_ka04c5131_jetting")</f>
        <v>nw1_ka04c5131_jetting</v>
      </c>
      <c r="D1136" s="2">
        <f ca="1">IFERROR(__xludf.DUMMYFUNCTION("""COMPUTED_VALUE"""),45315)</f>
        <v>45315</v>
      </c>
      <c r="E1136" s="3">
        <f ca="1">IFERROR(__xludf.DUMMYFUNCTION("""COMPUTED_VALUE"""),0.786921296297805)</f>
        <v>0.78692129629780505</v>
      </c>
      <c r="F1136" s="1">
        <f ca="1">IFERROR(__xludf.DUMMYFUNCTION("""COMPUTED_VALUE"""),10810)</f>
        <v>10810</v>
      </c>
      <c r="G1136" s="1" t="str">
        <f ca="1">IFERROR(__xludf.DUMMYFUNCTION("""COMPUTED_VALUE"""),"13.0074/77.5507")</f>
        <v>13.0074/77.5507</v>
      </c>
      <c r="H1136" s="1" t="str">
        <f ca="1">IFERROR(__xludf.DUMMYFUNCTION("""COMPUTED_VALUE"""),"Nagapura")</f>
        <v>Nagapura</v>
      </c>
      <c r="I1136" s="1"/>
      <c r="J1136" s="1" t="str">
        <f ca="1">IFERROR(__xludf.DUMMYFUNCTION("""COMPUTED_VALUE"""),"0d 00h 00m")</f>
        <v>0d 00h 00m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3.2">
      <c r="A1137" s="1">
        <f ca="1">IFERROR(__xludf.DUMMYFUNCTION("""COMPUTED_VALUE"""),20)</f>
        <v>20</v>
      </c>
      <c r="B1137" s="1" t="str">
        <f ca="1">IFERROR(__xludf.DUMMYFUNCTION("""COMPUTED_VALUE"""),"NW1_KA04D3161_TANKER")</f>
        <v>NW1_KA04D3161_TANKER</v>
      </c>
      <c r="C1137" s="1" t="str">
        <f ca="1">IFERROR(__xludf.DUMMYFUNCTION("""COMPUTED_VALUE"""),"nw1_ka04d3161_tanker")</f>
        <v>nw1_ka04d3161_tanker</v>
      </c>
      <c r="D1137" s="2">
        <f ca="1">IFERROR(__xludf.DUMMYFUNCTION("""COMPUTED_VALUE"""),41640)</f>
        <v>41640</v>
      </c>
      <c r="E1137" s="3">
        <f ca="1">IFERROR(__xludf.DUMMYFUNCTION("""COMPUTED_VALUE"""),0.22976851851854)</f>
        <v>0.22976851851853999</v>
      </c>
      <c r="F1137" s="1">
        <f ca="1">IFERROR(__xludf.DUMMYFUNCTION("""COMPUTED_VALUE"""),23534)</f>
        <v>23534</v>
      </c>
      <c r="G1137" s="1"/>
      <c r="H1137" s="1"/>
      <c r="I1137" s="1"/>
      <c r="J1137" s="1" t="str">
        <f ca="1">IFERROR(__xludf.DUMMYFUNCTION("""COMPUTED_VALUE"""),"0d 00h 03m")</f>
        <v>0d 00h 03m</v>
      </c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3.2">
      <c r="A1138" s="1">
        <f ca="1">IFERROR(__xludf.DUMMYFUNCTION("""COMPUTED_VALUE"""),20)</f>
        <v>20</v>
      </c>
      <c r="B1138" s="1" t="str">
        <f ca="1">IFERROR(__xludf.DUMMYFUNCTION("""COMPUTED_VALUE"""),"NW1_KA04D3161_TANKER")</f>
        <v>NW1_KA04D3161_TANKER</v>
      </c>
      <c r="C1138" s="1" t="str">
        <f ca="1">IFERROR(__xludf.DUMMYFUNCTION("""COMPUTED_VALUE"""),"nw1_ka04d3161_tanker")</f>
        <v>nw1_ka04d3161_tanker</v>
      </c>
      <c r="D1138" s="2">
        <f ca="1">IFERROR(__xludf.DUMMYFUNCTION("""COMPUTED_VALUE"""),41640)</f>
        <v>41640</v>
      </c>
      <c r="E1138" s="3">
        <f ca="1">IFERROR(__xludf.DUMMYFUNCTION("""COMPUTED_VALUE"""),0.22976851851854)</f>
        <v>0.22976851851853999</v>
      </c>
      <c r="F1138" s="1">
        <f ca="1">IFERROR(__xludf.DUMMYFUNCTION("""COMPUTED_VALUE"""),23534)</f>
        <v>23534</v>
      </c>
      <c r="G1138" s="1"/>
      <c r="H1138" s="1"/>
      <c r="I1138" s="1"/>
      <c r="J1138" s="1" t="str">
        <f ca="1">IFERROR(__xludf.DUMMYFUNCTION("""COMPUTED_VALUE"""),"0d 00h 05m")</f>
        <v>0d 00h 05m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3.2">
      <c r="A1139" s="1">
        <f ca="1">IFERROR(__xludf.DUMMYFUNCTION("""COMPUTED_VALUE"""),20)</f>
        <v>20</v>
      </c>
      <c r="B1139" s="1" t="str">
        <f ca="1">IFERROR(__xludf.DUMMYFUNCTION("""COMPUTED_VALUE"""),"NW1_KA04D3161_TANKER")</f>
        <v>NW1_KA04D3161_TANKER</v>
      </c>
      <c r="C1139" s="1" t="str">
        <f ca="1">IFERROR(__xludf.DUMMYFUNCTION("""COMPUTED_VALUE"""),"nw1_ka04d3161_tanker")</f>
        <v>nw1_ka04d3161_tanker</v>
      </c>
      <c r="D1139" s="2">
        <f ca="1">IFERROR(__xludf.DUMMYFUNCTION("""COMPUTED_VALUE"""),41640)</f>
        <v>41640</v>
      </c>
      <c r="E1139" s="3">
        <f ca="1">IFERROR(__xludf.DUMMYFUNCTION("""COMPUTED_VALUE"""),0.22976851851854)</f>
        <v>0.22976851851853999</v>
      </c>
      <c r="F1139" s="1">
        <f ca="1">IFERROR(__xludf.DUMMYFUNCTION("""COMPUTED_VALUE"""),23534)</f>
        <v>23534</v>
      </c>
      <c r="G1139" s="1"/>
      <c r="H1139" s="1"/>
      <c r="I1139" s="1"/>
      <c r="J1139" s="1" t="str">
        <f ca="1">IFERROR(__xludf.DUMMYFUNCTION("""COMPUTED_VALUE"""),"0d 00h 00m")</f>
        <v>0d 00h 00m</v>
      </c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13.2">
      <c r="A1140" s="1">
        <f ca="1">IFERROR(__xludf.DUMMYFUNCTION("""COMPUTED_VALUE"""),20)</f>
        <v>20</v>
      </c>
      <c r="B1140" s="1" t="str">
        <f ca="1">IFERROR(__xludf.DUMMYFUNCTION("""COMPUTED_VALUE"""),"NW1_KA04D3161_TANKER")</f>
        <v>NW1_KA04D3161_TANKER</v>
      </c>
      <c r="C1140" s="1" t="str">
        <f ca="1">IFERROR(__xludf.DUMMYFUNCTION("""COMPUTED_VALUE"""),"nw1_ka04d3161_tanker")</f>
        <v>nw1_ka04d3161_tanker</v>
      </c>
      <c r="D1140" s="2">
        <f ca="1">IFERROR(__xludf.DUMMYFUNCTION("""COMPUTED_VALUE"""),41640)</f>
        <v>41640</v>
      </c>
      <c r="E1140" s="3">
        <f ca="1">IFERROR(__xludf.DUMMYFUNCTION("""COMPUTED_VALUE"""),0.22976851851854)</f>
        <v>0.22976851851853999</v>
      </c>
      <c r="F1140" s="1">
        <f ca="1">IFERROR(__xludf.DUMMYFUNCTION("""COMPUTED_VALUE"""),23534)</f>
        <v>23534</v>
      </c>
      <c r="G1140" s="1"/>
      <c r="H1140" s="1"/>
      <c r="I1140" s="1"/>
      <c r="J1140" s="1" t="str">
        <f ca="1">IFERROR(__xludf.DUMMYFUNCTION("""COMPUTED_VALUE"""),"0d 00h 00m")</f>
        <v>0d 00h 00m</v>
      </c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13.2">
      <c r="A1141" s="1">
        <f ca="1">IFERROR(__xludf.DUMMYFUNCTION("""COMPUTED_VALUE"""),20)</f>
        <v>20</v>
      </c>
      <c r="B1141" s="1" t="str">
        <f ca="1">IFERROR(__xludf.DUMMYFUNCTION("""COMPUTED_VALUE"""),"NW1_KA04D3161_TANKER")</f>
        <v>NW1_KA04D3161_TANKER</v>
      </c>
      <c r="C1141" s="1" t="str">
        <f ca="1">IFERROR(__xludf.DUMMYFUNCTION("""COMPUTED_VALUE"""),"nw1_ka04d3161_tanker")</f>
        <v>nw1_ka04d3161_tanker</v>
      </c>
      <c r="D1141" s="2">
        <f ca="1">IFERROR(__xludf.DUMMYFUNCTION("""COMPUTED_VALUE"""),41640)</f>
        <v>41640</v>
      </c>
      <c r="E1141" s="3">
        <f ca="1">IFERROR(__xludf.DUMMYFUNCTION("""COMPUTED_VALUE"""),0.22976851851854)</f>
        <v>0.22976851851853999</v>
      </c>
      <c r="F1141" s="1">
        <f ca="1">IFERROR(__xludf.DUMMYFUNCTION("""COMPUTED_VALUE"""),23534)</f>
        <v>23534</v>
      </c>
      <c r="G1141" s="1"/>
      <c r="H1141" s="1"/>
      <c r="I1141" s="1"/>
      <c r="J1141" s="1" t="str">
        <f ca="1">IFERROR(__xludf.DUMMYFUNCTION("""COMPUTED_VALUE"""),"0d 00h 00m")</f>
        <v>0d 00h 00m</v>
      </c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13.2">
      <c r="A1142" s="1">
        <f ca="1">IFERROR(__xludf.DUMMYFUNCTION("""COMPUTED_VALUE"""),20)</f>
        <v>20</v>
      </c>
      <c r="B1142" s="1" t="str">
        <f ca="1">IFERROR(__xludf.DUMMYFUNCTION("""COMPUTED_VALUE"""),"NW1_KA04D3161_TANKER")</f>
        <v>NW1_KA04D3161_TANKER</v>
      </c>
      <c r="C1142" s="1" t="str">
        <f ca="1">IFERROR(__xludf.DUMMYFUNCTION("""COMPUTED_VALUE"""),"nw1_ka04d3161_tanker")</f>
        <v>nw1_ka04d3161_tanker</v>
      </c>
      <c r="D1142" s="2">
        <f ca="1">IFERROR(__xludf.DUMMYFUNCTION("""COMPUTED_VALUE"""),41640)</f>
        <v>41640</v>
      </c>
      <c r="E1142" s="3">
        <f ca="1">IFERROR(__xludf.DUMMYFUNCTION("""COMPUTED_VALUE"""),0.22976851851854)</f>
        <v>0.22976851851853999</v>
      </c>
      <c r="F1142" s="1">
        <f ca="1">IFERROR(__xludf.DUMMYFUNCTION("""COMPUTED_VALUE"""),23534)</f>
        <v>23534</v>
      </c>
      <c r="G1142" s="1"/>
      <c r="H1142" s="1"/>
      <c r="I1142" s="1"/>
      <c r="J1142" s="1" t="str">
        <f ca="1">IFERROR(__xludf.DUMMYFUNCTION("""COMPUTED_VALUE"""),"0d 00h 00m")</f>
        <v>0d 00h 00m</v>
      </c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13.2">
      <c r="A1143" s="1">
        <f ca="1">IFERROR(__xludf.DUMMYFUNCTION("""COMPUTED_VALUE"""),20)</f>
        <v>20</v>
      </c>
      <c r="B1143" s="1" t="str">
        <f ca="1">IFERROR(__xludf.DUMMYFUNCTION("""COMPUTED_VALUE"""),"NW1_KA04D3161_TANKER")</f>
        <v>NW1_KA04D3161_TANKER</v>
      </c>
      <c r="C1143" s="1" t="str">
        <f ca="1">IFERROR(__xludf.DUMMYFUNCTION("""COMPUTED_VALUE"""),"nw1_ka04d3161_tanker")</f>
        <v>nw1_ka04d3161_tanker</v>
      </c>
      <c r="D1143" s="2">
        <f ca="1">IFERROR(__xludf.DUMMYFUNCTION("""COMPUTED_VALUE"""),41640)</f>
        <v>41640</v>
      </c>
      <c r="E1143" s="3">
        <f ca="1">IFERROR(__xludf.DUMMYFUNCTION("""COMPUTED_VALUE"""),0.22976851851854)</f>
        <v>0.22976851851853999</v>
      </c>
      <c r="F1143" s="1">
        <f ca="1">IFERROR(__xludf.DUMMYFUNCTION("""COMPUTED_VALUE"""),23534)</f>
        <v>23534</v>
      </c>
      <c r="G1143" s="1"/>
      <c r="H1143" s="1"/>
      <c r="I1143" s="1"/>
      <c r="J1143" s="1" t="str">
        <f ca="1">IFERROR(__xludf.DUMMYFUNCTION("""COMPUTED_VALUE"""),"0d 00h 00m")</f>
        <v>0d 00h 00m</v>
      </c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13.2">
      <c r="A1144" s="1">
        <f ca="1">IFERROR(__xludf.DUMMYFUNCTION("""COMPUTED_VALUE"""),86)</f>
        <v>86</v>
      </c>
      <c r="B1144" s="1" t="str">
        <f ca="1">IFERROR(__xludf.DUMMYFUNCTION("""COMPUTED_VALUE"""),"NW1_KA04D4278_Jetting")</f>
        <v>NW1_KA04D4278_Jetting</v>
      </c>
      <c r="C1144" s="1" t="str">
        <f ca="1">IFERROR(__xludf.DUMMYFUNCTION("""COMPUTED_VALUE"""),"nw1_ka04d4278_jetting")</f>
        <v>nw1_ka04d4278_jetting</v>
      </c>
      <c r="D1144" s="2">
        <f ca="1">IFERROR(__xludf.DUMMYFUNCTION("""COMPUTED_VALUE"""),44700)</f>
        <v>44700</v>
      </c>
      <c r="E1144" s="3">
        <f ca="1">IFERROR(__xludf.DUMMYFUNCTION("""COMPUTED_VALUE"""),0.528969907409191)</f>
        <v>0.52896990740919103</v>
      </c>
      <c r="F1144" s="1">
        <f ca="1">IFERROR(__xludf.DUMMYFUNCTION("""COMPUTED_VALUE"""),17645)</f>
        <v>17645</v>
      </c>
      <c r="G1144" s="1" t="str">
        <f ca="1">IFERROR(__xludf.DUMMYFUNCTION("""COMPUTED_VALUE"""),"13.0117/77.5444")</f>
        <v>13.0117/77.5444</v>
      </c>
      <c r="H1144" s="1" t="str">
        <f ca="1">IFERROR(__xludf.DUMMYFUNCTION("""COMPUTED_VALUE"""),"MahaLakshmiPuram")</f>
        <v>MahaLakshmiPuram</v>
      </c>
      <c r="I1144" s="1"/>
      <c r="J1144" s="1" t="str">
        <f ca="1">IFERROR(__xludf.DUMMYFUNCTION("""COMPUTED_VALUE"""),"0d 17h 22m")</f>
        <v>0d 17h 22m</v>
      </c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13.2">
      <c r="A1145" s="1">
        <f ca="1">IFERROR(__xludf.DUMMYFUNCTION("""COMPUTED_VALUE"""),120)</f>
        <v>120</v>
      </c>
      <c r="B1145" s="1" t="str">
        <f ca="1">IFERROR(__xludf.DUMMYFUNCTION("""COMPUTED_VALUE"""),"NW1_KA04D4278_Jetting")</f>
        <v>NW1_KA04D4278_Jetting</v>
      </c>
      <c r="C1145" s="1" t="str">
        <f ca="1">IFERROR(__xludf.DUMMYFUNCTION("""COMPUTED_VALUE"""),"nw1_ka04d4278_jetting")</f>
        <v>nw1_ka04d4278_jetting</v>
      </c>
      <c r="D1145" s="2">
        <f ca="1">IFERROR(__xludf.DUMMYFUNCTION("""COMPUTED_VALUE"""),44737)</f>
        <v>44737</v>
      </c>
      <c r="E1145" s="3">
        <f ca="1">IFERROR(__xludf.DUMMYFUNCTION("""COMPUTED_VALUE"""),0.444629629630071)</f>
        <v>0.44462962963007102</v>
      </c>
      <c r="F1145" s="1">
        <f ca="1">IFERROR(__xludf.DUMMYFUNCTION("""COMPUTED_VALUE"""),17663)</f>
        <v>17663</v>
      </c>
      <c r="G1145" s="1" t="str">
        <f ca="1">IFERROR(__xludf.DUMMYFUNCTION("""COMPUTED_VALUE"""),"13.0081/77.5454")</f>
        <v>13.0081/77.5454</v>
      </c>
      <c r="H1145" s="1" t="str">
        <f ca="1">IFERROR(__xludf.DUMMYFUNCTION("""COMPUTED_VALUE"""),"Nagapura")</f>
        <v>Nagapura</v>
      </c>
      <c r="I1145" s="1"/>
      <c r="J1145" s="1" t="str">
        <f ca="1">IFERROR(__xludf.DUMMYFUNCTION("""COMPUTED_VALUE"""),"0d 17h 23m")</f>
        <v>0d 17h 23m</v>
      </c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13.2">
      <c r="A1146" s="1">
        <f ca="1">IFERROR(__xludf.DUMMYFUNCTION("""COMPUTED_VALUE"""),146)</f>
        <v>146</v>
      </c>
      <c r="B1146" s="1" t="str">
        <f ca="1">IFERROR(__xludf.DUMMYFUNCTION("""COMPUTED_VALUE"""),"NW1_KA04D4278_Jetting")</f>
        <v>NW1_KA04D4278_Jetting</v>
      </c>
      <c r="C1146" s="1" t="str">
        <f ca="1">IFERROR(__xludf.DUMMYFUNCTION("""COMPUTED_VALUE"""),"nw1_ka04d4278_jetting")</f>
        <v>nw1_ka04d4278_jetting</v>
      </c>
      <c r="D1146" s="2">
        <f ca="1">IFERROR(__xludf.DUMMYFUNCTION("""COMPUTED_VALUE"""),44768)</f>
        <v>44768</v>
      </c>
      <c r="E1146" s="3">
        <f ca="1">IFERROR(__xludf.DUMMYFUNCTION("""COMPUTED_VALUE"""),0.701898148148757)</f>
        <v>0.70189814814875695</v>
      </c>
      <c r="F1146" s="1">
        <f ca="1">IFERROR(__xludf.DUMMYFUNCTION("""COMPUTED_VALUE"""),17689)</f>
        <v>17689</v>
      </c>
      <c r="G1146" s="1" t="str">
        <f ca="1">IFERROR(__xludf.DUMMYFUNCTION("""COMPUTED_VALUE"""),"13.0091/77.5470")</f>
        <v>13.0091/77.5470</v>
      </c>
      <c r="H1146" s="1" t="str">
        <f ca="1">IFERROR(__xludf.DUMMYFUNCTION("""COMPUTED_VALUE"""),"Nagapura")</f>
        <v>Nagapura</v>
      </c>
      <c r="I1146" s="1"/>
      <c r="J1146" s="1" t="str">
        <f ca="1">IFERROR(__xludf.DUMMYFUNCTION("""COMPUTED_VALUE"""),"0d 17h 24m")</f>
        <v>0d 17h 24m</v>
      </c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13.2">
      <c r="A1147" s="1">
        <f ca="1">IFERROR(__xludf.DUMMYFUNCTION("""COMPUTED_VALUE"""),87)</f>
        <v>87</v>
      </c>
      <c r="B1147" s="1" t="str">
        <f ca="1">IFERROR(__xludf.DUMMYFUNCTION("""COMPUTED_VALUE"""),"NW1_KA04D4278_Jetting")</f>
        <v>NW1_KA04D4278_Jetting</v>
      </c>
      <c r="C1147" s="1" t="str">
        <f ca="1">IFERROR(__xludf.DUMMYFUNCTION("""COMPUTED_VALUE"""),"nw1_ka04d4278_jetting")</f>
        <v>nw1_ka04d4278_jetting</v>
      </c>
      <c r="D1147" s="2">
        <f ca="1">IFERROR(__xludf.DUMMYFUNCTION("""COMPUTED_VALUE"""),44770)</f>
        <v>44770</v>
      </c>
      <c r="E1147" s="3">
        <f ca="1">IFERROR(__xludf.DUMMYFUNCTION("""COMPUTED_VALUE"""),0.547847222223936)</f>
        <v>0.547847222223936</v>
      </c>
      <c r="F1147" s="1">
        <f ca="1">IFERROR(__xludf.DUMMYFUNCTION("""COMPUTED_VALUE"""),17691)</f>
        <v>17691</v>
      </c>
      <c r="G1147" s="1" t="str">
        <f ca="1">IFERROR(__xludf.DUMMYFUNCTION("""COMPUTED_VALUE"""),"13.0044/77.5308")</f>
        <v>13.0044/77.5308</v>
      </c>
      <c r="H1147" s="1" t="str">
        <f ca="1">IFERROR(__xludf.DUMMYFUNCTION("""COMPUTED_VALUE"""),"GeleyaraBalaga")</f>
        <v>GeleyaraBalaga</v>
      </c>
      <c r="I1147" s="1"/>
      <c r="J1147" s="1" t="str">
        <f ca="1">IFERROR(__xludf.DUMMYFUNCTION("""COMPUTED_VALUE"""),"0d 17h 25m")</f>
        <v>0d 17h 25m</v>
      </c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13.2">
      <c r="A1148" s="1">
        <f ca="1">IFERROR(__xludf.DUMMYFUNCTION("""COMPUTED_VALUE"""),61)</f>
        <v>61</v>
      </c>
      <c r="B1148" s="1" t="str">
        <f ca="1">IFERROR(__xludf.DUMMYFUNCTION("""COMPUTED_VALUE"""),"NW1_KA04D4278_Jetting")</f>
        <v>NW1_KA04D4278_Jetting</v>
      </c>
      <c r="C1148" s="1" t="str">
        <f ca="1">IFERROR(__xludf.DUMMYFUNCTION("""COMPUTED_VALUE"""),"nw1_ka04d4278_jetting")</f>
        <v>nw1_ka04d4278_jetting</v>
      </c>
      <c r="D1148" s="2">
        <f ca="1">IFERROR(__xludf.DUMMYFUNCTION("""COMPUTED_VALUE"""),44770)</f>
        <v>44770</v>
      </c>
      <c r="E1148" s="3">
        <f ca="1">IFERROR(__xludf.DUMMYFUNCTION("""COMPUTED_VALUE"""),0.547847222223936)</f>
        <v>0.547847222223936</v>
      </c>
      <c r="F1148" s="1">
        <f ca="1">IFERROR(__xludf.DUMMYFUNCTION("""COMPUTED_VALUE"""),17691)</f>
        <v>17691</v>
      </c>
      <c r="G1148" s="1" t="str">
        <f ca="1">IFERROR(__xludf.DUMMYFUNCTION("""COMPUTED_VALUE"""),"13.0044/77.5308")</f>
        <v>13.0044/77.5308</v>
      </c>
      <c r="H1148" s="1" t="str">
        <f ca="1">IFERROR(__xludf.DUMMYFUNCTION("""COMPUTED_VALUE"""),"GeleyaraBalaga")</f>
        <v>GeleyaraBalaga</v>
      </c>
      <c r="I1148" s="1"/>
      <c r="J1148" s="1" t="str">
        <f ca="1">IFERROR(__xludf.DUMMYFUNCTION("""COMPUTED_VALUE"""),"0d 17h 26m")</f>
        <v>0d 17h 26m</v>
      </c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13.2">
      <c r="A1149" s="1">
        <f ca="1">IFERROR(__xludf.DUMMYFUNCTION("""COMPUTED_VALUE"""),55)</f>
        <v>55</v>
      </c>
      <c r="B1149" s="1" t="str">
        <f ca="1">IFERROR(__xludf.DUMMYFUNCTION("""COMPUTED_VALUE"""),"NW1_KA04D4278_Jetting")</f>
        <v>NW1_KA04D4278_Jetting</v>
      </c>
      <c r="C1149" s="1" t="str">
        <f ca="1">IFERROR(__xludf.DUMMYFUNCTION("""COMPUTED_VALUE"""),"nw1_ka04d4278_jetting")</f>
        <v>nw1_ka04d4278_jetting</v>
      </c>
      <c r="D1149" s="2">
        <f ca="1">IFERROR(__xludf.DUMMYFUNCTION("""COMPUTED_VALUE"""),44770)</f>
        <v>44770</v>
      </c>
      <c r="E1149" s="3">
        <f ca="1">IFERROR(__xludf.DUMMYFUNCTION("""COMPUTED_VALUE"""),0.547847222223936)</f>
        <v>0.547847222223936</v>
      </c>
      <c r="F1149" s="1">
        <f ca="1">IFERROR(__xludf.DUMMYFUNCTION("""COMPUTED_VALUE"""),17691)</f>
        <v>17691</v>
      </c>
      <c r="G1149" s="1" t="str">
        <f ca="1">IFERROR(__xludf.DUMMYFUNCTION("""COMPUTED_VALUE"""),"13.0044/77.5308")</f>
        <v>13.0044/77.5308</v>
      </c>
      <c r="H1149" s="1" t="str">
        <f ca="1">IFERROR(__xludf.DUMMYFUNCTION("""COMPUTED_VALUE"""),"GeleyaraBalaga")</f>
        <v>GeleyaraBalaga</v>
      </c>
      <c r="I1149" s="1"/>
      <c r="J1149" s="1" t="str">
        <f ca="1">IFERROR(__xludf.DUMMYFUNCTION("""COMPUTED_VALUE"""),"0d 17h 26m")</f>
        <v>0d 17h 26m</v>
      </c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13.2">
      <c r="A1150" s="1">
        <f ca="1">IFERROR(__xludf.DUMMYFUNCTION("""COMPUTED_VALUE"""),141)</f>
        <v>141</v>
      </c>
      <c r="B1150" s="1" t="str">
        <f ca="1">IFERROR(__xludf.DUMMYFUNCTION("""COMPUTED_VALUE"""),"NW1_KA04D4278_JETTING")</f>
        <v>NW1_KA04D4278_JETTING</v>
      </c>
      <c r="C1150" s="1" t="str">
        <f ca="1">IFERROR(__xludf.DUMMYFUNCTION("""COMPUTED_VALUE"""),"nw1_ka04d4278_jetting")</f>
        <v>nw1_ka04d4278_jetting</v>
      </c>
      <c r="D1150" s="2">
        <f ca="1">IFERROR(__xludf.DUMMYFUNCTION("""COMPUTED_VALUE"""),44769)</f>
        <v>44769</v>
      </c>
      <c r="E1150" s="3">
        <f ca="1">IFERROR(__xludf.DUMMYFUNCTION("""COMPUTED_VALUE"""),0.435706018517521)</f>
        <v>0.435706018517521</v>
      </c>
      <c r="F1150" s="1">
        <f ca="1">IFERROR(__xludf.DUMMYFUNCTION("""COMPUTED_VALUE"""),17690)</f>
        <v>17690</v>
      </c>
      <c r="G1150" s="1" t="str">
        <f ca="1">IFERROR(__xludf.DUMMYFUNCTION("""COMPUTED_VALUE"""),"13.0066/77.5469")</f>
        <v>13.0066/77.5469</v>
      </c>
      <c r="H1150" s="1" t="str">
        <f ca="1">IFERROR(__xludf.DUMMYFUNCTION("""COMPUTED_VALUE"""),"Nagapura")</f>
        <v>Nagapura</v>
      </c>
      <c r="I1150" s="1"/>
      <c r="J1150" s="1" t="str">
        <f ca="1">IFERROR(__xludf.DUMMYFUNCTION("""COMPUTED_VALUE"""),"0d 01h 01m")</f>
        <v>0d 01h 01m</v>
      </c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13.2">
      <c r="A1151" s="1">
        <f ca="1">IFERROR(__xludf.DUMMYFUNCTION("""COMPUTED_VALUE"""),130)</f>
        <v>130</v>
      </c>
      <c r="B1151" s="1" t="str">
        <f ca="1">IFERROR(__xludf.DUMMYFUNCTION("""COMPUTED_VALUE"""),"NW1_KA04D4278_JETTING")</f>
        <v>NW1_KA04D4278_JETTING</v>
      </c>
      <c r="C1151" s="1" t="str">
        <f ca="1">IFERROR(__xludf.DUMMYFUNCTION("""COMPUTED_VALUE"""),"nw1_ka04d4278_jetting")</f>
        <v>nw1_ka04d4278_jetting</v>
      </c>
      <c r="D1151" s="2">
        <f ca="1">IFERROR(__xludf.DUMMYFUNCTION("""COMPUTED_VALUE"""),44770)</f>
        <v>44770</v>
      </c>
      <c r="E1151" s="3">
        <f ca="1">IFERROR(__xludf.DUMMYFUNCTION("""COMPUTED_VALUE"""),0.547847222223936)</f>
        <v>0.547847222223936</v>
      </c>
      <c r="F1151" s="1">
        <f ca="1">IFERROR(__xludf.DUMMYFUNCTION("""COMPUTED_VALUE"""),17691)</f>
        <v>17691</v>
      </c>
      <c r="G1151" s="1" t="str">
        <f ca="1">IFERROR(__xludf.DUMMYFUNCTION("""COMPUTED_VALUE"""),"13.0044/77.5308")</f>
        <v>13.0044/77.5308</v>
      </c>
      <c r="H1151" s="1" t="str">
        <f ca="1">IFERROR(__xludf.DUMMYFUNCTION("""COMPUTED_VALUE"""),"GeleyaraBalaga")</f>
        <v>GeleyaraBalaga</v>
      </c>
      <c r="I1151" s="1"/>
      <c r="J1151" s="1" t="str">
        <f ca="1">IFERROR(__xludf.DUMMYFUNCTION("""COMPUTED_VALUE"""),"0d 01h 03m")</f>
        <v>0d 01h 03m</v>
      </c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13.2">
      <c r="A1152" s="1">
        <f ca="1">IFERROR(__xludf.DUMMYFUNCTION("""COMPUTED_VALUE"""),139)</f>
        <v>139</v>
      </c>
      <c r="B1152" s="1" t="str">
        <f ca="1">IFERROR(__xludf.DUMMYFUNCTION("""COMPUTED_VALUE"""),"NW1_KA04D4278_JETTING")</f>
        <v>NW1_KA04D4278_JETTING</v>
      </c>
      <c r="C1152" s="1" t="str">
        <f ca="1">IFERROR(__xludf.DUMMYFUNCTION("""COMPUTED_VALUE"""),"nw1_ka04d4278_jetting")</f>
        <v>nw1_ka04d4278_jetting</v>
      </c>
      <c r="D1152" s="2">
        <f ca="1">IFERROR(__xludf.DUMMYFUNCTION("""COMPUTED_VALUE"""),44951)</f>
        <v>44951</v>
      </c>
      <c r="E1152" s="3">
        <f ca="1">IFERROR(__xludf.DUMMYFUNCTION("""COMPUTED_VALUE"""),0.495717592591972)</f>
        <v>0.49571759259197201</v>
      </c>
      <c r="F1152" s="1">
        <f ca="1">IFERROR(__xludf.DUMMYFUNCTION("""COMPUTED_VALUE"""),17771)</f>
        <v>17771</v>
      </c>
      <c r="G1152" s="1" t="str">
        <f ca="1">IFERROR(__xludf.DUMMYFUNCTION("""COMPUTED_VALUE"""),"13.0034/77.5392")</f>
        <v>13.0034/77.5392</v>
      </c>
      <c r="H1152" s="1" t="str">
        <f ca="1">IFERROR(__xludf.DUMMYFUNCTION("""COMPUTED_VALUE"""),"GeleyaraBalaga")</f>
        <v>GeleyaraBalaga</v>
      </c>
      <c r="I1152" s="1"/>
      <c r="J1152" s="1" t="str">
        <f ca="1">IFERROR(__xludf.DUMMYFUNCTION("""COMPUTED_VALUE"""),"0d 01h 05m")</f>
        <v>0d 01h 05m</v>
      </c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13.2">
      <c r="A1153" s="1">
        <f ca="1">IFERROR(__xludf.DUMMYFUNCTION("""COMPUTED_VALUE"""),147)</f>
        <v>147</v>
      </c>
      <c r="B1153" s="1" t="str">
        <f ca="1">IFERROR(__xludf.DUMMYFUNCTION("""COMPUTED_VALUE"""),"NW1_KA04D4278_JETTING")</f>
        <v>NW1_KA04D4278_JETTING</v>
      </c>
      <c r="C1153" s="1" t="str">
        <f ca="1">IFERROR(__xludf.DUMMYFUNCTION("""COMPUTED_VALUE"""),"nw1_ka04d4278_jetting")</f>
        <v>nw1_ka04d4278_jetting</v>
      </c>
      <c r="D1153" s="2">
        <f ca="1">IFERROR(__xludf.DUMMYFUNCTION("""COMPUTED_VALUE"""),45042)</f>
        <v>45042</v>
      </c>
      <c r="E1153" s="3">
        <f ca="1">IFERROR(__xludf.DUMMYFUNCTION("""COMPUTED_VALUE"""),0.411157407408609)</f>
        <v>0.41115740740860901</v>
      </c>
      <c r="F1153" s="1">
        <f ca="1">IFERROR(__xludf.DUMMYFUNCTION("""COMPUTED_VALUE"""),17849)</f>
        <v>17849</v>
      </c>
      <c r="G1153" s="1" t="str">
        <f ca="1">IFERROR(__xludf.DUMMYFUNCTION("""COMPUTED_VALUE"""),"13.0019/77.5377")</f>
        <v>13.0019/77.5377</v>
      </c>
      <c r="H1153" s="1" t="str">
        <f ca="1">IFERROR(__xludf.DUMMYFUNCTION("""COMPUTED_VALUE"""),"GeleyaraBalaga")</f>
        <v>GeleyaraBalaga</v>
      </c>
      <c r="I1153" s="1"/>
      <c r="J1153" s="1" t="str">
        <f ca="1">IFERROR(__xludf.DUMMYFUNCTION("""COMPUTED_VALUE"""),"0d 01h 06m")</f>
        <v>0d 01h 06m</v>
      </c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13.2">
      <c r="A1154" s="1">
        <f ca="1">IFERROR(__xludf.DUMMYFUNCTION("""COMPUTED_VALUE"""),144)</f>
        <v>144</v>
      </c>
      <c r="B1154" s="1" t="str">
        <f ca="1">IFERROR(__xludf.DUMMYFUNCTION("""COMPUTED_VALUE"""),"NW1_KA04D4278_JETTING")</f>
        <v>NW1_KA04D4278_JETTING</v>
      </c>
      <c r="C1154" s="1" t="str">
        <f ca="1">IFERROR(__xludf.DUMMYFUNCTION("""COMPUTED_VALUE"""),"nw1_ka04d4278_jetting")</f>
        <v>nw1_ka04d4278_jetting</v>
      </c>
      <c r="D1154" s="2">
        <f ca="1">IFERROR(__xludf.DUMMYFUNCTION("""COMPUTED_VALUE"""),45130)</f>
        <v>45130</v>
      </c>
      <c r="E1154" s="3">
        <f ca="1">IFERROR(__xludf.DUMMYFUNCTION("""COMPUTED_VALUE"""),0.951597222221607)</f>
        <v>0.95159722222160703</v>
      </c>
      <c r="F1154" s="1">
        <f ca="1">IFERROR(__xludf.DUMMYFUNCTION("""COMPUTED_VALUE"""),17905)</f>
        <v>17905</v>
      </c>
      <c r="G1154" s="1" t="str">
        <f ca="1">IFERROR(__xludf.DUMMYFUNCTION("""COMPUTED_VALUE"""),"13.0074/77.5507")</f>
        <v>13.0074/77.5507</v>
      </c>
      <c r="H1154" s="1" t="str">
        <f ca="1">IFERROR(__xludf.DUMMYFUNCTION("""COMPUTED_VALUE"""),"Nagapura")</f>
        <v>Nagapura</v>
      </c>
      <c r="I1154" s="1"/>
      <c r="J1154" s="1" t="str">
        <f ca="1">IFERROR(__xludf.DUMMYFUNCTION("""COMPUTED_VALUE"""),"0d 01h 08m")</f>
        <v>0d 01h 08m</v>
      </c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13.2">
      <c r="A1155" s="1">
        <f ca="1">IFERROR(__xludf.DUMMYFUNCTION("""COMPUTED_VALUE"""),150)</f>
        <v>150</v>
      </c>
      <c r="B1155" s="1" t="str">
        <f ca="1">IFERROR(__xludf.DUMMYFUNCTION("""COMPUTED_VALUE"""),"NW1_KA04D4278_JETTING")</f>
        <v>NW1_KA04D4278_JETTING</v>
      </c>
      <c r="C1155" s="1" t="str">
        <f ca="1">IFERROR(__xludf.DUMMYFUNCTION("""COMPUTED_VALUE"""),"nw1_ka04d4278_jetting")</f>
        <v>nw1_ka04d4278_jetting</v>
      </c>
      <c r="D1155" s="2">
        <f ca="1">IFERROR(__xludf.DUMMYFUNCTION("""COMPUTED_VALUE"""),45226)</f>
        <v>45226</v>
      </c>
      <c r="E1155" s="3">
        <f ca="1">IFERROR(__xludf.DUMMYFUNCTION("""COMPUTED_VALUE"""),0.48267361110993)</f>
        <v>0.48267361110993001</v>
      </c>
      <c r="F1155" s="1">
        <f ca="1">IFERROR(__xludf.DUMMYFUNCTION("""COMPUTED_VALUE"""),17952)</f>
        <v>17952</v>
      </c>
      <c r="G1155" s="1" t="str">
        <f ca="1">IFERROR(__xludf.DUMMYFUNCTION("""COMPUTED_VALUE"""),"13.0037/77.5367")</f>
        <v>13.0037/77.5367</v>
      </c>
      <c r="H1155" s="1" t="str">
        <f ca="1">IFERROR(__xludf.DUMMYFUNCTION("""COMPUTED_VALUE"""),"GeleyaraBalaga")</f>
        <v>GeleyaraBalaga</v>
      </c>
      <c r="I1155" s="1"/>
      <c r="J1155" s="1" t="str">
        <f ca="1">IFERROR(__xludf.DUMMYFUNCTION("""COMPUTED_VALUE"""),"0d 01h 09m")</f>
        <v>0d 01h 09m</v>
      </c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13.2">
      <c r="A1156" s="1">
        <f ca="1">IFERROR(__xludf.DUMMYFUNCTION("""COMPUTED_VALUE"""),159)</f>
        <v>159</v>
      </c>
      <c r="B1156" s="1" t="str">
        <f ca="1">IFERROR(__xludf.DUMMYFUNCTION("""COMPUTED_VALUE"""),"NW1_KA04D4278_JETTING")</f>
        <v>NW1_KA04D4278_JETTING</v>
      </c>
      <c r="C1156" s="1" t="str">
        <f ca="1">IFERROR(__xludf.DUMMYFUNCTION("""COMPUTED_VALUE"""),"nw1_ka04d4278_jetting")</f>
        <v>nw1_ka04d4278_jetting</v>
      </c>
      <c r="D1156" s="2">
        <f ca="1">IFERROR(__xludf.DUMMYFUNCTION("""COMPUTED_VALUE"""),45315)</f>
        <v>45315</v>
      </c>
      <c r="E1156" s="3">
        <f ca="1">IFERROR(__xludf.DUMMYFUNCTION("""COMPUTED_VALUE"""),0.699849537035333)</f>
        <v>0.69984953703533304</v>
      </c>
      <c r="F1156" s="1">
        <f ca="1">IFERROR(__xludf.DUMMYFUNCTION("""COMPUTED_VALUE"""),18021)</f>
        <v>18021</v>
      </c>
      <c r="G1156" s="1" t="str">
        <f ca="1">IFERROR(__xludf.DUMMYFUNCTION("""COMPUTED_VALUE"""),"13.0067/77.5412")</f>
        <v>13.0067/77.5412</v>
      </c>
      <c r="H1156" s="1" t="str">
        <f ca="1">IFERROR(__xludf.DUMMYFUNCTION("""COMPUTED_VALUE"""),"GeleyaraBalaga")</f>
        <v>GeleyaraBalaga</v>
      </c>
      <c r="I1156" s="1"/>
      <c r="J1156" s="1" t="str">
        <f ca="1">IFERROR(__xludf.DUMMYFUNCTION("""COMPUTED_VALUE"""),"0d 01h 10m")</f>
        <v>0d 01h 10m</v>
      </c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13.2">
      <c r="A1157" s="1">
        <f ca="1">IFERROR(__xludf.DUMMYFUNCTION("""COMPUTED_VALUE"""),131)</f>
        <v>131</v>
      </c>
      <c r="B1157" s="1" t="str">
        <f ca="1">IFERROR(__xludf.DUMMYFUNCTION("""COMPUTED_VALUE"""),"NW1_KA04D6656_Jetting")</f>
        <v>NW1_KA04D6656_Jetting</v>
      </c>
      <c r="C1157" s="1" t="str">
        <f ca="1">IFERROR(__xludf.DUMMYFUNCTION("""COMPUTED_VALUE"""),"nw1_ka04d6656_jetting")</f>
        <v>nw1_ka04d6656_jetting</v>
      </c>
      <c r="D1157" s="2">
        <f ca="1">IFERROR(__xludf.DUMMYFUNCTION("""COMPUTED_VALUE"""),44707)</f>
        <v>44707</v>
      </c>
      <c r="E1157" s="3">
        <f ca="1">IFERROR(__xludf.DUMMYFUNCTION("""COMPUTED_VALUE"""),0.622881944444088)</f>
        <v>0.62288194444408795</v>
      </c>
      <c r="F1157" s="1">
        <f ca="1">IFERROR(__xludf.DUMMYFUNCTION("""COMPUTED_VALUE"""),43423)</f>
        <v>43423</v>
      </c>
      <c r="G1157" s="1" t="str">
        <f ca="1">IFERROR(__xludf.DUMMYFUNCTION("""COMPUTED_VALUE"""),"12.9966/77.5531")</f>
        <v>12.9966/77.5531</v>
      </c>
      <c r="H1157" s="1" t="str">
        <f ca="1">IFERROR(__xludf.DUMMYFUNCTION("""COMPUTED_VALUE"""),"Navrang")</f>
        <v>Navrang</v>
      </c>
      <c r="I1157" s="1"/>
      <c r="J1157" s="1" t="str">
        <f ca="1">IFERROR(__xludf.DUMMYFUNCTION("""COMPUTED_VALUE"""),"0d 00h 00m")</f>
        <v>0d 00h 00m</v>
      </c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13.2">
      <c r="A1158" s="1">
        <f ca="1">IFERROR(__xludf.DUMMYFUNCTION("""COMPUTED_VALUE"""),146)</f>
        <v>146</v>
      </c>
      <c r="B1158" s="1" t="str">
        <f ca="1">IFERROR(__xludf.DUMMYFUNCTION("""COMPUTED_VALUE"""),"NW1_KA04D6656_Jetting")</f>
        <v>NW1_KA04D6656_Jetting</v>
      </c>
      <c r="C1158" s="1" t="str">
        <f ca="1">IFERROR(__xludf.DUMMYFUNCTION("""COMPUTED_VALUE"""),"nw1_ka04d6656_jetting")</f>
        <v>nw1_ka04d6656_jetting</v>
      </c>
      <c r="D1158" s="2">
        <f ca="1">IFERROR(__xludf.DUMMYFUNCTION("""COMPUTED_VALUE"""),44738)</f>
        <v>44738</v>
      </c>
      <c r="E1158" s="3">
        <f ca="1">IFERROR(__xludf.DUMMYFUNCTION("""COMPUTED_VALUE"""),0.667546296295768)</f>
        <v>0.667546296295768</v>
      </c>
      <c r="F1158" s="1">
        <f ca="1">IFERROR(__xludf.DUMMYFUNCTION("""COMPUTED_VALUE"""),44583)</f>
        <v>44583</v>
      </c>
      <c r="G1158" s="1" t="str">
        <f ca="1">IFERROR(__xludf.DUMMYFUNCTION("""COMPUTED_VALUE"""),"13.0075/77.5508")</f>
        <v>13.0075/77.5508</v>
      </c>
      <c r="H1158" s="1" t="str">
        <f ca="1">IFERROR(__xludf.DUMMYFUNCTION("""COMPUTED_VALUE"""),"Nagapura")</f>
        <v>Nagapura</v>
      </c>
      <c r="I1158" s="1"/>
      <c r="J1158" s="1" t="str">
        <f ca="1">IFERROR(__xludf.DUMMYFUNCTION("""COMPUTED_VALUE"""),"0d 00h 00m")</f>
        <v>0d 00h 00m</v>
      </c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13.2">
      <c r="A1159" s="1">
        <f ca="1">IFERROR(__xludf.DUMMYFUNCTION("""COMPUTED_VALUE"""),118)</f>
        <v>118</v>
      </c>
      <c r="B1159" s="1" t="str">
        <f ca="1">IFERROR(__xludf.DUMMYFUNCTION("""COMPUTED_VALUE"""),"NW1_KA04D6656_Jetting")</f>
        <v>NW1_KA04D6656_Jetting</v>
      </c>
      <c r="C1159" s="1" t="str">
        <f ca="1">IFERROR(__xludf.DUMMYFUNCTION("""COMPUTED_VALUE"""),"nw1_ka04d6656_jetting")</f>
        <v>nw1_ka04d6656_jetting</v>
      </c>
      <c r="D1159" s="2">
        <f ca="1">IFERROR(__xludf.DUMMYFUNCTION("""COMPUTED_VALUE"""),44764)</f>
        <v>44764</v>
      </c>
      <c r="E1159" s="3">
        <f ca="1">IFERROR(__xludf.DUMMYFUNCTION("""COMPUTED_VALUE"""),0.805138888888905)</f>
        <v>0.80513888888890495</v>
      </c>
      <c r="F1159" s="1">
        <f ca="1">IFERROR(__xludf.DUMMYFUNCTION("""COMPUTED_VALUE"""),44724)</f>
        <v>44724</v>
      </c>
      <c r="G1159" s="1" t="str">
        <f ca="1">IFERROR(__xludf.DUMMYFUNCTION("""COMPUTED_VALUE"""),"13.0071/77.5529")</f>
        <v>13.0071/77.5529</v>
      </c>
      <c r="H1159" s="1" t="str">
        <f ca="1">IFERROR(__xludf.DUMMYFUNCTION("""COMPUTED_VALUE"""),"Subramanya Nagar")</f>
        <v>Subramanya Nagar</v>
      </c>
      <c r="I1159" s="1"/>
      <c r="J1159" s="1" t="str">
        <f ca="1">IFERROR(__xludf.DUMMYFUNCTION("""COMPUTED_VALUE"""),"0d 00h 00m")</f>
        <v>0d 00h 00m</v>
      </c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13.2">
      <c r="A1160" s="1">
        <f ca="1">IFERROR(__xludf.DUMMYFUNCTION("""COMPUTED_VALUE"""),104)</f>
        <v>104</v>
      </c>
      <c r="B1160" s="1" t="str">
        <f ca="1">IFERROR(__xludf.DUMMYFUNCTION("""COMPUTED_VALUE"""),"NW1_KA04D6656_Jetting")</f>
        <v>NW1_KA04D6656_Jetting</v>
      </c>
      <c r="C1160" s="1" t="str">
        <f ca="1">IFERROR(__xludf.DUMMYFUNCTION("""COMPUTED_VALUE"""),"nw1_ka04d6656_jetting")</f>
        <v>nw1_ka04d6656_jetting</v>
      </c>
      <c r="D1160" s="2">
        <f ca="1">IFERROR(__xludf.DUMMYFUNCTION("""COMPUTED_VALUE"""),44784)</f>
        <v>44784</v>
      </c>
      <c r="E1160" s="3">
        <f ca="1">IFERROR(__xludf.DUMMYFUNCTION("""COMPUTED_VALUE"""),0.263287037036207)</f>
        <v>0.26328703703620698</v>
      </c>
      <c r="F1160" s="1">
        <f ca="1">IFERROR(__xludf.DUMMYFUNCTION("""COMPUTED_VALUE"""),44729)</f>
        <v>44729</v>
      </c>
      <c r="G1160" s="1" t="str">
        <f ca="1">IFERROR(__xludf.DUMMYFUNCTION("""COMPUTED_VALUE"""),"13.0075/77.5509")</f>
        <v>13.0075/77.5509</v>
      </c>
      <c r="H1160" s="1" t="str">
        <f ca="1">IFERROR(__xludf.DUMMYFUNCTION("""COMPUTED_VALUE"""),"Nagapura")</f>
        <v>Nagapura</v>
      </c>
      <c r="I1160" s="1"/>
      <c r="J1160" s="1" t="str">
        <f ca="1">IFERROR(__xludf.DUMMYFUNCTION("""COMPUTED_VALUE"""),"0d 00h 00m")</f>
        <v>0d 00h 00m</v>
      </c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13.2">
      <c r="A1161" s="1">
        <f ca="1">IFERROR(__xludf.DUMMYFUNCTION("""COMPUTED_VALUE"""),98)</f>
        <v>98</v>
      </c>
      <c r="B1161" s="1" t="str">
        <f ca="1">IFERROR(__xludf.DUMMYFUNCTION("""COMPUTED_VALUE"""),"NW1_KA04D6656_Jetting")</f>
        <v>NW1_KA04D6656_Jetting</v>
      </c>
      <c r="C1161" s="1" t="str">
        <f ca="1">IFERROR(__xludf.DUMMYFUNCTION("""COMPUTED_VALUE"""),"nw1_ka04d6656_jetting")</f>
        <v>nw1_ka04d6656_jetting</v>
      </c>
      <c r="D1161" s="2">
        <f ca="1">IFERROR(__xludf.DUMMYFUNCTION("""COMPUTED_VALUE"""),44818)</f>
        <v>44818</v>
      </c>
      <c r="E1161" s="3">
        <f ca="1">IFERROR(__xludf.DUMMYFUNCTION("""COMPUTED_VALUE"""),0.385011574075178)</f>
        <v>0.385011574075178</v>
      </c>
      <c r="F1161" s="1">
        <f ca="1">IFERROR(__xludf.DUMMYFUNCTION("""COMPUTED_VALUE"""),44733)</f>
        <v>44733</v>
      </c>
      <c r="G1161" s="1" t="str">
        <f ca="1">IFERROR(__xludf.DUMMYFUNCTION("""COMPUTED_VALUE"""),"13.0075/77.5508")</f>
        <v>13.0075/77.5508</v>
      </c>
      <c r="H1161" s="1" t="str">
        <f ca="1">IFERROR(__xludf.DUMMYFUNCTION("""COMPUTED_VALUE"""),"Nagapura")</f>
        <v>Nagapura</v>
      </c>
      <c r="I1161" s="1"/>
      <c r="J1161" s="1" t="str">
        <f ca="1">IFERROR(__xludf.DUMMYFUNCTION("""COMPUTED_VALUE"""),"0d 00h 00m")</f>
        <v>0d 00h 00m</v>
      </c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13.2">
      <c r="A1162" s="1">
        <f ca="1">IFERROR(__xludf.DUMMYFUNCTION("""COMPUTED_VALUE"""),173)</f>
        <v>173</v>
      </c>
      <c r="B1162" s="1" t="str">
        <f ca="1">IFERROR(__xludf.DUMMYFUNCTION("""COMPUTED_VALUE"""),"NW1_KA04D6656_Jetting")</f>
        <v>NW1_KA04D6656_Jetting</v>
      </c>
      <c r="C1162" s="1" t="str">
        <f ca="1">IFERROR(__xludf.DUMMYFUNCTION("""COMPUTED_VALUE"""),"nw1_ka04d6656_jetting")</f>
        <v>nw1_ka04d6656_jetting</v>
      </c>
      <c r="D1162" s="2">
        <f ca="1">IFERROR(__xludf.DUMMYFUNCTION("""COMPUTED_VALUE"""),44860)</f>
        <v>44860</v>
      </c>
      <c r="E1162" s="3">
        <f ca="1">IFERROR(__xludf.DUMMYFUNCTION("""COMPUTED_VALUE"""),0.999027777776063)</f>
        <v>0.999027777776063</v>
      </c>
      <c r="F1162" s="1">
        <f ca="1">IFERROR(__xludf.DUMMYFUNCTION("""COMPUTED_VALUE"""),45000)</f>
        <v>45000</v>
      </c>
      <c r="G1162" s="1" t="str">
        <f ca="1">IFERROR(__xludf.DUMMYFUNCTION("""COMPUTED_VALUE"""),"13.0075/77.5508")</f>
        <v>13.0075/77.5508</v>
      </c>
      <c r="H1162" s="1" t="str">
        <f ca="1">IFERROR(__xludf.DUMMYFUNCTION("""COMPUTED_VALUE"""),"Nagapura")</f>
        <v>Nagapura</v>
      </c>
      <c r="I1162" s="1"/>
      <c r="J1162" s="1" t="str">
        <f ca="1">IFERROR(__xludf.DUMMYFUNCTION("""COMPUTED_VALUE"""),"0d 00h 00m")</f>
        <v>0d 00h 00m</v>
      </c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13.2">
      <c r="A1163" s="1">
        <f ca="1">IFERROR(__xludf.DUMMYFUNCTION("""COMPUTED_VALUE"""),139)</f>
        <v>139</v>
      </c>
      <c r="B1163" s="1" t="str">
        <f ca="1">IFERROR(__xludf.DUMMYFUNCTION("""COMPUTED_VALUE"""),"NW1_KA04D6656_JETTING")</f>
        <v>NW1_KA04D6656_JETTING</v>
      </c>
      <c r="C1163" s="1" t="str">
        <f ca="1">IFERROR(__xludf.DUMMYFUNCTION("""COMPUTED_VALUE"""),"nw1_ka04d6656_jetting")</f>
        <v>nw1_ka04d6656_jetting</v>
      </c>
      <c r="D1163" s="2">
        <f ca="1">IFERROR(__xludf.DUMMYFUNCTION("""COMPUTED_VALUE"""),44764)</f>
        <v>44764</v>
      </c>
      <c r="E1163" s="3">
        <f ca="1">IFERROR(__xludf.DUMMYFUNCTION("""COMPUTED_VALUE"""),0.805138888888905)</f>
        <v>0.80513888888890495</v>
      </c>
      <c r="F1163" s="1">
        <f ca="1">IFERROR(__xludf.DUMMYFUNCTION("""COMPUTED_VALUE"""),44724)</f>
        <v>44724</v>
      </c>
      <c r="G1163" s="1" t="str">
        <f ca="1">IFERROR(__xludf.DUMMYFUNCTION("""COMPUTED_VALUE"""),"13.0071/77.5529")</f>
        <v>13.0071/77.5529</v>
      </c>
      <c r="H1163" s="1" t="str">
        <f ca="1">IFERROR(__xludf.DUMMYFUNCTION("""COMPUTED_VALUE"""),"Subramanya Nagar")</f>
        <v>Subramanya Nagar</v>
      </c>
      <c r="I1163" s="1"/>
      <c r="J1163" s="1" t="str">
        <f ca="1">IFERROR(__xludf.DUMMYFUNCTION("""COMPUTED_VALUE"""),"0d 02h 31m")</f>
        <v>0d 02h 31m</v>
      </c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13.2">
      <c r="A1164" s="1">
        <f ca="1">IFERROR(__xludf.DUMMYFUNCTION("""COMPUTED_VALUE"""),151)</f>
        <v>151</v>
      </c>
      <c r="B1164" s="1" t="str">
        <f ca="1">IFERROR(__xludf.DUMMYFUNCTION("""COMPUTED_VALUE"""),"NW1_KA04D6656_JETTING")</f>
        <v>NW1_KA04D6656_JETTING</v>
      </c>
      <c r="C1164" s="1" t="str">
        <f ca="1">IFERROR(__xludf.DUMMYFUNCTION("""COMPUTED_VALUE"""),"nw1_ka04d6656_jetting")</f>
        <v>nw1_ka04d6656_jetting</v>
      </c>
      <c r="D1164" s="2">
        <f ca="1">IFERROR(__xludf.DUMMYFUNCTION("""COMPUTED_VALUE"""),44860)</f>
        <v>44860</v>
      </c>
      <c r="E1164" s="3">
        <f ca="1">IFERROR(__xludf.DUMMYFUNCTION("""COMPUTED_VALUE"""),0.999027777776063)</f>
        <v>0.999027777776063</v>
      </c>
      <c r="F1164" s="1">
        <f ca="1">IFERROR(__xludf.DUMMYFUNCTION("""COMPUTED_VALUE"""),45000)</f>
        <v>45000</v>
      </c>
      <c r="G1164" s="1" t="str">
        <f ca="1">IFERROR(__xludf.DUMMYFUNCTION("""COMPUTED_VALUE"""),"13.0075/77.5508")</f>
        <v>13.0075/77.5508</v>
      </c>
      <c r="H1164" s="1" t="str">
        <f ca="1">IFERROR(__xludf.DUMMYFUNCTION("""COMPUTED_VALUE"""),"Nagapura")</f>
        <v>Nagapura</v>
      </c>
      <c r="I1164" s="1"/>
      <c r="J1164" s="1" t="str">
        <f ca="1">IFERROR(__xludf.DUMMYFUNCTION("""COMPUTED_VALUE"""),"0d 02h 32m")</f>
        <v>0d 02h 32m</v>
      </c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13.2">
      <c r="A1165" s="1">
        <f ca="1">IFERROR(__xludf.DUMMYFUNCTION("""COMPUTED_VALUE"""),156)</f>
        <v>156</v>
      </c>
      <c r="B1165" s="1" t="str">
        <f ca="1">IFERROR(__xludf.DUMMYFUNCTION("""COMPUTED_VALUE"""),"NW1_KA04D6656_JETTING")</f>
        <v>NW1_KA04D6656_JETTING</v>
      </c>
      <c r="C1165" s="1" t="str">
        <f ca="1">IFERROR(__xludf.DUMMYFUNCTION("""COMPUTED_VALUE"""),"nw1_ka04d6656_jetting")</f>
        <v>nw1_ka04d6656_jetting</v>
      </c>
      <c r="D1165" s="2">
        <f ca="1">IFERROR(__xludf.DUMMYFUNCTION("""COMPUTED_VALUE"""),44952)</f>
        <v>44952</v>
      </c>
      <c r="E1165" s="3">
        <f ca="1">IFERROR(__xludf.DUMMYFUNCTION("""COMPUTED_VALUE"""),0.999143518518394)</f>
        <v>0.999143518518394</v>
      </c>
      <c r="F1165" s="1">
        <f ca="1">IFERROR(__xludf.DUMMYFUNCTION("""COMPUTED_VALUE"""),46050)</f>
        <v>46050</v>
      </c>
      <c r="G1165" s="1" t="str">
        <f ca="1">IFERROR(__xludf.DUMMYFUNCTION("""COMPUTED_VALUE"""),"13.0075/77.5510")</f>
        <v>13.0075/77.5510</v>
      </c>
      <c r="H1165" s="1" t="str">
        <f ca="1">IFERROR(__xludf.DUMMYFUNCTION("""COMPUTED_VALUE"""),"Nagapura")</f>
        <v>Nagapura</v>
      </c>
      <c r="I1165" s="1"/>
      <c r="J1165" s="1" t="str">
        <f ca="1">IFERROR(__xludf.DUMMYFUNCTION("""COMPUTED_VALUE"""),"0d 02h 35m")</f>
        <v>0d 02h 35m</v>
      </c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13.2">
      <c r="A1166" s="1">
        <f ca="1">IFERROR(__xludf.DUMMYFUNCTION("""COMPUTED_VALUE"""),152)</f>
        <v>152</v>
      </c>
      <c r="B1166" s="1" t="str">
        <f ca="1">IFERROR(__xludf.DUMMYFUNCTION("""COMPUTED_VALUE"""),"NW1_KA04D6656_JETTING")</f>
        <v>NW1_KA04D6656_JETTING</v>
      </c>
      <c r="C1166" s="1" t="str">
        <f ca="1">IFERROR(__xludf.DUMMYFUNCTION("""COMPUTED_VALUE"""),"nw1_ka04d6656_jetting")</f>
        <v>nw1_ka04d6656_jetting</v>
      </c>
      <c r="D1166" s="2">
        <f ca="1">IFERROR(__xludf.DUMMYFUNCTION("""COMPUTED_VALUE"""),45042)</f>
        <v>45042</v>
      </c>
      <c r="E1166" s="3">
        <f ca="1">IFERROR(__xludf.DUMMYFUNCTION("""COMPUTED_VALUE"""),0.998749999998835)</f>
        <v>0.99874999999883496</v>
      </c>
      <c r="F1166" s="1">
        <f ca="1">IFERROR(__xludf.DUMMYFUNCTION("""COMPUTED_VALUE"""),25592)</f>
        <v>25592</v>
      </c>
      <c r="G1166" s="1" t="str">
        <f ca="1">IFERROR(__xludf.DUMMYFUNCTION("""COMPUTED_VALUE"""),"13.0075/77.5509")</f>
        <v>13.0075/77.5509</v>
      </c>
      <c r="H1166" s="1" t="str">
        <f ca="1">IFERROR(__xludf.DUMMYFUNCTION("""COMPUTED_VALUE"""),"Nagapura")</f>
        <v>Nagapura</v>
      </c>
      <c r="I1166" s="1"/>
      <c r="J1166" s="1" t="str">
        <f ca="1">IFERROR(__xludf.DUMMYFUNCTION("""COMPUTED_VALUE"""),"0d 02h 36m")</f>
        <v>0d 02h 36m</v>
      </c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13.2">
      <c r="A1167" s="1">
        <f ca="1">IFERROR(__xludf.DUMMYFUNCTION("""COMPUTED_VALUE"""),158)</f>
        <v>158</v>
      </c>
      <c r="B1167" s="1" t="str">
        <f ca="1">IFERROR(__xludf.DUMMYFUNCTION("""COMPUTED_VALUE"""),"NW1_KA04D6656_JETTING")</f>
        <v>NW1_KA04D6656_JETTING</v>
      </c>
      <c r="C1167" s="1" t="str">
        <f ca="1">IFERROR(__xludf.DUMMYFUNCTION("""COMPUTED_VALUE"""),"nw1_ka04d6656_jetting")</f>
        <v>nw1_ka04d6656_jetting</v>
      </c>
      <c r="D1167" s="2">
        <f ca="1">IFERROR(__xludf.DUMMYFUNCTION("""COMPUTED_VALUE"""),45134)</f>
        <v>45134</v>
      </c>
      <c r="E1167" s="3">
        <f ca="1">IFERROR(__xludf.DUMMYFUNCTION("""COMPUTED_VALUE"""),0.999120370372111)</f>
        <v>0.99912037037211099</v>
      </c>
      <c r="F1167" s="1">
        <f ca="1">IFERROR(__xludf.DUMMYFUNCTION("""COMPUTED_VALUE"""),26670)</f>
        <v>26670</v>
      </c>
      <c r="G1167" s="1" t="str">
        <f ca="1">IFERROR(__xludf.DUMMYFUNCTION("""COMPUTED_VALUE"""),"13.0074/77.5509")</f>
        <v>13.0074/77.5509</v>
      </c>
      <c r="H1167" s="1" t="str">
        <f ca="1">IFERROR(__xludf.DUMMYFUNCTION("""COMPUTED_VALUE"""),"Nagapura")</f>
        <v>Nagapura</v>
      </c>
      <c r="I1167" s="1"/>
      <c r="J1167" s="1" t="str">
        <f ca="1">IFERROR(__xludf.DUMMYFUNCTION("""COMPUTED_VALUE"""),"0d 02h 37m")</f>
        <v>0d 02h 37m</v>
      </c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13.2">
      <c r="A1168" s="1">
        <f ca="1">IFERROR(__xludf.DUMMYFUNCTION("""COMPUTED_VALUE"""),168)</f>
        <v>168</v>
      </c>
      <c r="B1168" s="1" t="str">
        <f ca="1">IFERROR(__xludf.DUMMYFUNCTION("""COMPUTED_VALUE"""),"NW1_KA04D6656_JETTING")</f>
        <v>NW1_KA04D6656_JETTING</v>
      </c>
      <c r="C1168" s="1" t="str">
        <f ca="1">IFERROR(__xludf.DUMMYFUNCTION("""COMPUTED_VALUE"""),"nw1_ka04d6656_jetting")</f>
        <v>nw1_ka04d6656_jetting</v>
      </c>
      <c r="D1168" s="2">
        <f ca="1">IFERROR(__xludf.DUMMYFUNCTION("""COMPUTED_VALUE"""),45226)</f>
        <v>45226</v>
      </c>
      <c r="E1168" s="3">
        <f ca="1">IFERROR(__xludf.DUMMYFUNCTION("""COMPUTED_VALUE"""),0.999166666668315)</f>
        <v>0.999166666668315</v>
      </c>
      <c r="F1168" s="1">
        <f ca="1">IFERROR(__xludf.DUMMYFUNCTION("""COMPUTED_VALUE"""),27808)</f>
        <v>27808</v>
      </c>
      <c r="G1168" s="1" t="str">
        <f ca="1">IFERROR(__xludf.DUMMYFUNCTION("""COMPUTED_VALUE"""),"13.0074/77.5508")</f>
        <v>13.0074/77.5508</v>
      </c>
      <c r="H1168" s="1" t="str">
        <f ca="1">IFERROR(__xludf.DUMMYFUNCTION("""COMPUTED_VALUE"""),"Nagapura")</f>
        <v>Nagapura</v>
      </c>
      <c r="I1168" s="1"/>
      <c r="J1168" s="1" t="str">
        <f ca="1">IFERROR(__xludf.DUMMYFUNCTION("""COMPUTED_VALUE"""),"0d 02h 38m")</f>
        <v>0d 02h 38m</v>
      </c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13.2">
      <c r="A1169" s="1">
        <f ca="1">IFERROR(__xludf.DUMMYFUNCTION("""COMPUTED_VALUE"""),169)</f>
        <v>169</v>
      </c>
      <c r="B1169" s="1" t="str">
        <f ca="1">IFERROR(__xludf.DUMMYFUNCTION("""COMPUTED_VALUE"""),"NW1_KA04D6656_JETTING")</f>
        <v>NW1_KA04D6656_JETTING</v>
      </c>
      <c r="C1169" s="1" t="str">
        <f ca="1">IFERROR(__xludf.DUMMYFUNCTION("""COMPUTED_VALUE"""),"nw1_ka04d6656_jetting")</f>
        <v>nw1_ka04d6656_jetting</v>
      </c>
      <c r="D1169" s="2">
        <f ca="1">IFERROR(__xludf.DUMMYFUNCTION("""COMPUTED_VALUE"""),45315)</f>
        <v>45315</v>
      </c>
      <c r="E1169" s="3">
        <f ca="1">IFERROR(__xludf.DUMMYFUNCTION("""COMPUTED_VALUE"""),0.787013888890214)</f>
        <v>0.78701388889021395</v>
      </c>
      <c r="F1169" s="1">
        <f ca="1">IFERROR(__xludf.DUMMYFUNCTION("""COMPUTED_VALUE"""),28876)</f>
        <v>28876</v>
      </c>
      <c r="G1169" s="1" t="str">
        <f ca="1">IFERROR(__xludf.DUMMYFUNCTION("""COMPUTED_VALUE"""),"13.0074/77.5508")</f>
        <v>13.0074/77.5508</v>
      </c>
      <c r="H1169" s="1" t="str">
        <f ca="1">IFERROR(__xludf.DUMMYFUNCTION("""COMPUTED_VALUE"""),"Nagapura")</f>
        <v>Nagapura</v>
      </c>
      <c r="I1169" s="1"/>
      <c r="J1169" s="1" t="str">
        <f ca="1">IFERROR(__xludf.DUMMYFUNCTION("""COMPUTED_VALUE"""),"0d 02h 39m")</f>
        <v>0d 02h 39m</v>
      </c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13.2">
      <c r="A1170" s="1">
        <f ca="1">IFERROR(__xludf.DUMMYFUNCTION("""COMPUTED_VALUE"""),166)</f>
        <v>166</v>
      </c>
      <c r="B1170" s="1" t="str">
        <f ca="1">IFERROR(__xludf.DUMMYFUNCTION("""COMPUTED_VALUE"""),"NW2_KA04A3043_Jetting")</f>
        <v>NW2_KA04A3043_Jetting</v>
      </c>
      <c r="C1170" s="1" t="str">
        <f ca="1">IFERROR(__xludf.DUMMYFUNCTION("""COMPUTED_VALUE"""),"nw2_ka04a3043_jetting")</f>
        <v>nw2_ka04a3043_jetting</v>
      </c>
      <c r="D1170" s="2">
        <f ca="1">IFERROR(__xludf.DUMMYFUNCTION("""COMPUTED_VALUE"""),44707)</f>
        <v>44707</v>
      </c>
      <c r="E1170" s="3">
        <f ca="1">IFERROR(__xludf.DUMMYFUNCTION("""COMPUTED_VALUE"""),0.999016203702922)</f>
        <v>0.99901620370292199</v>
      </c>
      <c r="F1170" s="1">
        <f ca="1">IFERROR(__xludf.DUMMYFUNCTION("""COMPUTED_VALUE"""),17292)</f>
        <v>17292</v>
      </c>
      <c r="G1170" s="1" t="str">
        <f ca="1">IFERROR(__xludf.DUMMYFUNCTION("""COMPUTED_VALUE"""),"12.9989/77.5462")</f>
        <v>12.9989/77.5462</v>
      </c>
      <c r="H1170" s="1" t="str">
        <f ca="1">IFERROR(__xludf.DUMMYFUNCTION("""COMPUTED_VALUE"""),"Modi Hospital Road")</f>
        <v>Modi Hospital Road</v>
      </c>
      <c r="I1170" s="1"/>
      <c r="J1170" s="1" t="str">
        <f ca="1">IFERROR(__xludf.DUMMYFUNCTION("""COMPUTED_VALUE"""),"0d 01h 07m")</f>
        <v>0d 01h 07m</v>
      </c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13.2">
      <c r="A1171" s="1">
        <f ca="1">IFERROR(__xludf.DUMMYFUNCTION("""COMPUTED_VALUE"""),186)</f>
        <v>186</v>
      </c>
      <c r="B1171" s="1" t="str">
        <f ca="1">IFERROR(__xludf.DUMMYFUNCTION("""COMPUTED_VALUE"""),"NW2_KA04A3043_Jetting")</f>
        <v>NW2_KA04A3043_Jetting</v>
      </c>
      <c r="C1171" s="1" t="str">
        <f ca="1">IFERROR(__xludf.DUMMYFUNCTION("""COMPUTED_VALUE"""),"nw2_ka04a3043_jetting")</f>
        <v>nw2_ka04a3043_jetting</v>
      </c>
      <c r="D1171" s="2">
        <f ca="1">IFERROR(__xludf.DUMMYFUNCTION("""COMPUTED_VALUE"""),44738)</f>
        <v>44738</v>
      </c>
      <c r="E1171" s="3">
        <f ca="1">IFERROR(__xludf.DUMMYFUNCTION("""COMPUTED_VALUE"""),0.999108796295331)</f>
        <v>0.999108796295331</v>
      </c>
      <c r="F1171" s="1">
        <f ca="1">IFERROR(__xludf.DUMMYFUNCTION("""COMPUTED_VALUE"""),17616)</f>
        <v>17616</v>
      </c>
      <c r="G1171" s="1" t="str">
        <f ca="1">IFERROR(__xludf.DUMMYFUNCTION("""COMPUTED_VALUE"""),"12.9989/77.5462")</f>
        <v>12.9989/77.5462</v>
      </c>
      <c r="H1171" s="1" t="str">
        <f ca="1">IFERROR(__xludf.DUMMYFUNCTION("""COMPUTED_VALUE"""),"Modi Hospital Road")</f>
        <v>Modi Hospital Road</v>
      </c>
      <c r="I1171" s="1"/>
      <c r="J1171" s="1" t="str">
        <f ca="1">IFERROR(__xludf.DUMMYFUNCTION("""COMPUTED_VALUE"""),"0d 01h 09m")</f>
        <v>0d 01h 09m</v>
      </c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13.2">
      <c r="A1172" s="1">
        <f ca="1">IFERROR(__xludf.DUMMYFUNCTION("""COMPUTED_VALUE"""),233)</f>
        <v>233</v>
      </c>
      <c r="B1172" s="1" t="str">
        <f ca="1">IFERROR(__xludf.DUMMYFUNCTION("""COMPUTED_VALUE"""),"NW2_KA04A3043_Jetting")</f>
        <v>NW2_KA04A3043_Jetting</v>
      </c>
      <c r="C1172" s="1" t="str">
        <f ca="1">IFERROR(__xludf.DUMMYFUNCTION("""COMPUTED_VALUE"""),"nw2_ka04a3043_jetting")</f>
        <v>nw2_ka04a3043_jetting</v>
      </c>
      <c r="D1172" s="2">
        <f ca="1">IFERROR(__xludf.DUMMYFUNCTION("""COMPUTED_VALUE"""),44768)</f>
        <v>44768</v>
      </c>
      <c r="E1172" s="3">
        <f ca="1">IFERROR(__xludf.DUMMYFUNCTION("""COMPUTED_VALUE"""),0.99929398148015)</f>
        <v>0.99929398148015003</v>
      </c>
      <c r="F1172" s="1">
        <f ca="1">IFERROR(__xludf.DUMMYFUNCTION("""COMPUTED_VALUE"""),17809)</f>
        <v>17809</v>
      </c>
      <c r="G1172" s="1" t="str">
        <f ca="1">IFERROR(__xludf.DUMMYFUNCTION("""COMPUTED_VALUE"""),"12.9989/77.5462")</f>
        <v>12.9989/77.5462</v>
      </c>
      <c r="H1172" s="1" t="str">
        <f ca="1">IFERROR(__xludf.DUMMYFUNCTION("""COMPUTED_VALUE"""),"Modi Hospital Road")</f>
        <v>Modi Hospital Road</v>
      </c>
      <c r="I1172" s="1"/>
      <c r="J1172" s="1" t="str">
        <f ca="1">IFERROR(__xludf.DUMMYFUNCTION("""COMPUTED_VALUE"""),"0d 01h 09m")</f>
        <v>0d 01h 09m</v>
      </c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13.2">
      <c r="A1173" s="1">
        <f ca="1">IFERROR(__xludf.DUMMYFUNCTION("""COMPUTED_VALUE"""),100)</f>
        <v>100</v>
      </c>
      <c r="B1173" s="1" t="str">
        <f ca="1">IFERROR(__xludf.DUMMYFUNCTION("""COMPUTED_VALUE"""),"NW2_KA04A3043_Jetting")</f>
        <v>NW2_KA04A3043_Jetting</v>
      </c>
      <c r="C1173" s="1" t="str">
        <f ca="1">IFERROR(__xludf.DUMMYFUNCTION("""COMPUTED_VALUE"""),"nw2_ka04a3043_jetting")</f>
        <v>nw2_ka04a3043_jetting</v>
      </c>
      <c r="D1173" s="2">
        <f ca="1">IFERROR(__xludf.DUMMYFUNCTION("""COMPUTED_VALUE"""),44782)</f>
        <v>44782</v>
      </c>
      <c r="E1173" s="3">
        <f ca="1">IFERROR(__xludf.DUMMYFUNCTION("""COMPUTED_VALUE"""),0.334074074075033)</f>
        <v>0.33407407407503298</v>
      </c>
      <c r="F1173" s="1">
        <f ca="1">IFERROR(__xludf.DUMMYFUNCTION("""COMPUTED_VALUE"""),17859)</f>
        <v>17859</v>
      </c>
      <c r="G1173" s="1" t="str">
        <f ca="1">IFERROR(__xludf.DUMMYFUNCTION("""COMPUTED_VALUE"""),"12.9989/77.5461")</f>
        <v>12.9989/77.5461</v>
      </c>
      <c r="H1173" s="1" t="str">
        <f ca="1">IFERROR(__xludf.DUMMYFUNCTION("""COMPUTED_VALUE"""),"Modi Hospital Road")</f>
        <v>Modi Hospital Road</v>
      </c>
      <c r="I1173" s="1"/>
      <c r="J1173" s="1" t="str">
        <f ca="1">IFERROR(__xludf.DUMMYFUNCTION("""COMPUTED_VALUE"""),"0d 01h 10m")</f>
        <v>0d 01h 10m</v>
      </c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13.2">
      <c r="A1174" s="1">
        <f ca="1">IFERROR(__xludf.DUMMYFUNCTION("""COMPUTED_VALUE"""),66)</f>
        <v>66</v>
      </c>
      <c r="B1174" s="1" t="str">
        <f ca="1">IFERROR(__xludf.DUMMYFUNCTION("""COMPUTED_VALUE"""),"NW2_KA04A3043_Jetting")</f>
        <v>NW2_KA04A3043_Jetting</v>
      </c>
      <c r="C1174" s="1" t="str">
        <f ca="1">IFERROR(__xludf.DUMMYFUNCTION("""COMPUTED_VALUE"""),"nw2_ka04a3043_jetting")</f>
        <v>nw2_ka04a3043_jetting</v>
      </c>
      <c r="D1174" s="2">
        <f ca="1">IFERROR(__xludf.DUMMYFUNCTION("""COMPUTED_VALUE"""),44782)</f>
        <v>44782</v>
      </c>
      <c r="E1174" s="3">
        <f ca="1">IFERROR(__xludf.DUMMYFUNCTION("""COMPUTED_VALUE"""),0.334074074075033)</f>
        <v>0.33407407407503298</v>
      </c>
      <c r="F1174" s="1">
        <f ca="1">IFERROR(__xludf.DUMMYFUNCTION("""COMPUTED_VALUE"""),17859)</f>
        <v>17859</v>
      </c>
      <c r="G1174" s="1" t="str">
        <f ca="1">IFERROR(__xludf.DUMMYFUNCTION("""COMPUTED_VALUE"""),"12.9989/77.5461")</f>
        <v>12.9989/77.5461</v>
      </c>
      <c r="H1174" s="1" t="str">
        <f ca="1">IFERROR(__xludf.DUMMYFUNCTION("""COMPUTED_VALUE"""),"Modi Hospital Road")</f>
        <v>Modi Hospital Road</v>
      </c>
      <c r="I1174" s="1"/>
      <c r="J1174" s="1" t="str">
        <f ca="1">IFERROR(__xludf.DUMMYFUNCTION("""COMPUTED_VALUE"""),"0d 01h 11m")</f>
        <v>0d 01h 11m</v>
      </c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13.2">
      <c r="A1175" s="1">
        <f ca="1">IFERROR(__xludf.DUMMYFUNCTION("""COMPUTED_VALUE"""),210)</f>
        <v>210</v>
      </c>
      <c r="B1175" s="1" t="str">
        <f ca="1">IFERROR(__xludf.DUMMYFUNCTION("""COMPUTED_VALUE"""),"NW2_KA04A3043_Jetting")</f>
        <v>NW2_KA04A3043_Jetting</v>
      </c>
      <c r="C1175" s="1" t="str">
        <f ca="1">IFERROR(__xludf.DUMMYFUNCTION("""COMPUTED_VALUE"""),"nw2_ka04a3043_jetting")</f>
        <v>nw2_ka04a3043_jetting</v>
      </c>
      <c r="D1175" s="2">
        <f ca="1">IFERROR(__xludf.DUMMYFUNCTION("""COMPUTED_VALUE"""),44860)</f>
        <v>44860</v>
      </c>
      <c r="E1175" s="3">
        <f ca="1">IFERROR(__xludf.DUMMYFUNCTION("""COMPUTED_VALUE"""),0.999189814814599)</f>
        <v>0.99918981481459901</v>
      </c>
      <c r="F1175" s="1">
        <f ca="1">IFERROR(__xludf.DUMMYFUNCTION("""COMPUTED_VALUE"""),18000)</f>
        <v>18000</v>
      </c>
      <c r="G1175" s="1" t="str">
        <f ca="1">IFERROR(__xludf.DUMMYFUNCTION("""COMPUTED_VALUE"""),"12.9987/77.5461")</f>
        <v>12.9987/77.5461</v>
      </c>
      <c r="H1175" s="1" t="str">
        <f ca="1">IFERROR(__xludf.DUMMYFUNCTION("""COMPUTED_VALUE"""),"Modi Hospital Road")</f>
        <v>Modi Hospital Road</v>
      </c>
      <c r="I1175" s="1"/>
      <c r="J1175" s="1" t="str">
        <f ca="1">IFERROR(__xludf.DUMMYFUNCTION("""COMPUTED_VALUE"""),"0d 01h 12m")</f>
        <v>0d 01h 12m</v>
      </c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13.2">
      <c r="A1176" s="1">
        <f ca="1">IFERROR(__xludf.DUMMYFUNCTION("""COMPUTED_VALUE"""),176)</f>
        <v>176</v>
      </c>
      <c r="B1176" s="1" t="str">
        <f ca="1">IFERROR(__xludf.DUMMYFUNCTION("""COMPUTED_VALUE"""),"NW2_KA04AA9025_Desilting")</f>
        <v>NW2_KA04AA9025_Desilting</v>
      </c>
      <c r="C1176" s="1" t="str">
        <f ca="1">IFERROR(__xludf.DUMMYFUNCTION("""COMPUTED_VALUE"""),"nw2_ka04aa9025_desilting")</f>
        <v>nw2_ka04aa9025_desilting</v>
      </c>
      <c r="D1176" s="2">
        <f ca="1">IFERROR(__xludf.DUMMYFUNCTION("""COMPUTED_VALUE"""),44707)</f>
        <v>44707</v>
      </c>
      <c r="E1176" s="3">
        <f ca="1">IFERROR(__xludf.DUMMYFUNCTION("""COMPUTED_VALUE"""),0.999074074072268)</f>
        <v>0.999074074072268</v>
      </c>
      <c r="F1176" s="1">
        <f ca="1">IFERROR(__xludf.DUMMYFUNCTION("""COMPUTED_VALUE"""),2873)</f>
        <v>2873</v>
      </c>
      <c r="G1176" s="1" t="str">
        <f ca="1">IFERROR(__xludf.DUMMYFUNCTION("""COMPUTED_VALUE"""),"12.9950/77.5383")</f>
        <v>12.9950/77.5383</v>
      </c>
      <c r="H1176" s="1" t="str">
        <f ca="1">IFERROR(__xludf.DUMMYFUNCTION("""COMPUTED_VALUE"""),"Shree Guru Residency")</f>
        <v>Shree Guru Residency</v>
      </c>
      <c r="I1176" s="1"/>
      <c r="J1176" s="1" t="str">
        <f ca="1">IFERROR(__xludf.DUMMYFUNCTION("""COMPUTED_VALUE"""),"0d 00h 00m")</f>
        <v>0d 00h 00m</v>
      </c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13.2">
      <c r="A1177" s="1">
        <f ca="1">IFERROR(__xludf.DUMMYFUNCTION("""COMPUTED_VALUE"""),202)</f>
        <v>202</v>
      </c>
      <c r="B1177" s="1" t="str">
        <f ca="1">IFERROR(__xludf.DUMMYFUNCTION("""COMPUTED_VALUE"""),"NW2_KA04AA9025_Desilting")</f>
        <v>NW2_KA04AA9025_Desilting</v>
      </c>
      <c r="C1177" s="1" t="str">
        <f ca="1">IFERROR(__xludf.DUMMYFUNCTION("""COMPUTED_VALUE"""),"nw2_ka04aa9025_desilting")</f>
        <v>nw2_ka04aa9025_desilting</v>
      </c>
      <c r="D1177" s="2">
        <f ca="1">IFERROR(__xludf.DUMMYFUNCTION("""COMPUTED_VALUE"""),44738)</f>
        <v>44738</v>
      </c>
      <c r="E1177" s="3">
        <f ca="1">IFERROR(__xludf.DUMMYFUNCTION("""COMPUTED_VALUE"""),0.999166666668315)</f>
        <v>0.999166666668315</v>
      </c>
      <c r="F1177" s="1">
        <f ca="1">IFERROR(__xludf.DUMMYFUNCTION("""COMPUTED_VALUE"""),3043)</f>
        <v>3043</v>
      </c>
      <c r="G1177" s="1" t="str">
        <f ca="1">IFERROR(__xludf.DUMMYFUNCTION("""COMPUTED_VALUE"""),"12.9949/77.5378")</f>
        <v>12.9949/77.5378</v>
      </c>
      <c r="H1177" s="1" t="str">
        <f ca="1">IFERROR(__xludf.DUMMYFUNCTION("""COMPUTED_VALUE"""),"Shree Guru Residency")</f>
        <v>Shree Guru Residency</v>
      </c>
      <c r="I1177" s="1"/>
      <c r="J1177" s="1" t="str">
        <f ca="1">IFERROR(__xludf.DUMMYFUNCTION("""COMPUTED_VALUE"""),"0d 00h 00m")</f>
        <v>0d 00h 00m</v>
      </c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13.2">
      <c r="A1178" s="1">
        <f ca="1">IFERROR(__xludf.DUMMYFUNCTION("""COMPUTED_VALUE"""),196)</f>
        <v>196</v>
      </c>
      <c r="B1178" s="1" t="str">
        <f ca="1">IFERROR(__xludf.DUMMYFUNCTION("""COMPUTED_VALUE"""),"NW2_KA04AA9025_Desilting")</f>
        <v>NW2_KA04AA9025_Desilting</v>
      </c>
      <c r="C1178" s="1" t="str">
        <f ca="1">IFERROR(__xludf.DUMMYFUNCTION("""COMPUTED_VALUE"""),"nw2_ka04aa9025_desilting")</f>
        <v>nw2_ka04aa9025_desilting</v>
      </c>
      <c r="D1178" s="2">
        <f ca="1">IFERROR(__xludf.DUMMYFUNCTION("""COMPUTED_VALUE"""),44768)</f>
        <v>44768</v>
      </c>
      <c r="E1178" s="3">
        <f ca="1">IFERROR(__xludf.DUMMYFUNCTION("""COMPUTED_VALUE"""),0.999108796295331)</f>
        <v>0.999108796295331</v>
      </c>
      <c r="F1178" s="1">
        <f ca="1">IFERROR(__xludf.DUMMYFUNCTION("""COMPUTED_VALUE"""),3291)</f>
        <v>3291</v>
      </c>
      <c r="G1178" s="1" t="str">
        <f ca="1">IFERROR(__xludf.DUMMYFUNCTION("""COMPUTED_VALUE"""),"12.9951/77.5384")</f>
        <v>12.9951/77.5384</v>
      </c>
      <c r="H1178" s="1" t="str">
        <f ca="1">IFERROR(__xludf.DUMMYFUNCTION("""COMPUTED_VALUE"""),"Shree Guru Residency")</f>
        <v>Shree Guru Residency</v>
      </c>
      <c r="I1178" s="1"/>
      <c r="J1178" s="1" t="str">
        <f ca="1">IFERROR(__xludf.DUMMYFUNCTION("""COMPUTED_VALUE"""),"0d 00h 00m")</f>
        <v>0d 00h 00m</v>
      </c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13.2">
      <c r="A1179" s="1">
        <f ca="1">IFERROR(__xludf.DUMMYFUNCTION("""COMPUTED_VALUE"""),211)</f>
        <v>211</v>
      </c>
      <c r="B1179" s="1" t="str">
        <f ca="1">IFERROR(__xludf.DUMMYFUNCTION("""COMPUTED_VALUE"""),"NW2_KA04AA9025_Desilting")</f>
        <v>NW2_KA04AA9025_Desilting</v>
      </c>
      <c r="C1179" s="1" t="str">
        <f ca="1">IFERROR(__xludf.DUMMYFUNCTION("""COMPUTED_VALUE"""),"nw2_ka04aa9025_desilting")</f>
        <v>nw2_ka04aa9025_desilting</v>
      </c>
      <c r="D1179" s="2">
        <f ca="1">IFERROR(__xludf.DUMMYFUNCTION("""COMPUTED_VALUE"""),44799)</f>
        <v>44799</v>
      </c>
      <c r="E1179" s="3">
        <f ca="1">IFERROR(__xludf.DUMMYFUNCTION("""COMPUTED_VALUE"""),0.999166666668315)</f>
        <v>0.999166666668315</v>
      </c>
      <c r="F1179" s="1">
        <f ca="1">IFERROR(__xludf.DUMMYFUNCTION("""COMPUTED_VALUE"""),3692)</f>
        <v>3692</v>
      </c>
      <c r="G1179" s="1" t="str">
        <f ca="1">IFERROR(__xludf.DUMMYFUNCTION("""COMPUTED_VALUE"""),"12.9950/77.5384")</f>
        <v>12.9950/77.5384</v>
      </c>
      <c r="H1179" s="1" t="str">
        <f ca="1">IFERROR(__xludf.DUMMYFUNCTION("""COMPUTED_VALUE"""),"Shree Guru Residency")</f>
        <v>Shree Guru Residency</v>
      </c>
      <c r="I1179" s="1"/>
      <c r="J1179" s="1" t="str">
        <f ca="1">IFERROR(__xludf.DUMMYFUNCTION("""COMPUTED_VALUE"""),"0d 00h 00m")</f>
        <v>0d 00h 00m</v>
      </c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13.2">
      <c r="A1180" s="1">
        <f ca="1">IFERROR(__xludf.DUMMYFUNCTION("""COMPUTED_VALUE"""),235)</f>
        <v>235</v>
      </c>
      <c r="B1180" s="1" t="str">
        <f ca="1">IFERROR(__xludf.DUMMYFUNCTION("""COMPUTED_VALUE"""),"NW2_KA04AA9025_Desilting")</f>
        <v>NW2_KA04AA9025_Desilting</v>
      </c>
      <c r="C1180" s="1" t="str">
        <f ca="1">IFERROR(__xludf.DUMMYFUNCTION("""COMPUTED_VALUE"""),"nw2_ka04aa9025_desilting")</f>
        <v>nw2_ka04aa9025_desilting</v>
      </c>
      <c r="D1180" s="2">
        <f ca="1">IFERROR(__xludf.DUMMYFUNCTION("""COMPUTED_VALUE"""),44830)</f>
        <v>44830</v>
      </c>
      <c r="E1180" s="3">
        <f ca="1">IFERROR(__xludf.DUMMYFUNCTION("""COMPUTED_VALUE"""),0.999305555556929)</f>
        <v>0.99930555555692901</v>
      </c>
      <c r="F1180" s="1">
        <f ca="1">IFERROR(__xludf.DUMMYFUNCTION("""COMPUTED_VALUE"""),3998)</f>
        <v>3998</v>
      </c>
      <c r="G1180" s="1" t="str">
        <f ca="1">IFERROR(__xludf.DUMMYFUNCTION("""COMPUTED_VALUE"""),"12.9951/77.5384")</f>
        <v>12.9951/77.5384</v>
      </c>
      <c r="H1180" s="1" t="str">
        <f ca="1">IFERROR(__xludf.DUMMYFUNCTION("""COMPUTED_VALUE"""),"Shree Guru Residency")</f>
        <v>Shree Guru Residency</v>
      </c>
      <c r="I1180" s="1"/>
      <c r="J1180" s="1" t="str">
        <f ca="1">IFERROR(__xludf.DUMMYFUNCTION("""COMPUTED_VALUE"""),"0d 00h 00m")</f>
        <v>0d 00h 00m</v>
      </c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13.2">
      <c r="A1181" s="1">
        <f ca="1">IFERROR(__xludf.DUMMYFUNCTION("""COMPUTED_VALUE"""),186)</f>
        <v>186</v>
      </c>
      <c r="B1181" s="1" t="str">
        <f ca="1">IFERROR(__xludf.DUMMYFUNCTION("""COMPUTED_VALUE"""),"NW2_KA04AA9025_Desilting")</f>
        <v>NW2_KA04AA9025_Desilting</v>
      </c>
      <c r="C1181" s="1" t="str">
        <f ca="1">IFERROR(__xludf.DUMMYFUNCTION("""COMPUTED_VALUE"""),"nw2_ka04aa9025_desilting")</f>
        <v>nw2_ka04aa9025_desilting</v>
      </c>
      <c r="D1181" s="2">
        <f ca="1">IFERROR(__xludf.DUMMYFUNCTION("""COMPUTED_VALUE"""),44860)</f>
        <v>44860</v>
      </c>
      <c r="E1181" s="3">
        <f ca="1">IFERROR(__xludf.DUMMYFUNCTION("""COMPUTED_VALUE"""),0.999108796295331)</f>
        <v>0.999108796295331</v>
      </c>
      <c r="F1181" s="1">
        <f ca="1">IFERROR(__xludf.DUMMYFUNCTION("""COMPUTED_VALUE"""),4352)</f>
        <v>4352</v>
      </c>
      <c r="G1181" s="1" t="str">
        <f ca="1">IFERROR(__xludf.DUMMYFUNCTION("""COMPUTED_VALUE"""),"12.9948/77.5383")</f>
        <v>12.9948/77.5383</v>
      </c>
      <c r="H1181" s="1" t="str">
        <f ca="1">IFERROR(__xludf.DUMMYFUNCTION("""COMPUTED_VALUE"""),"Shree Guru Residency")</f>
        <v>Shree Guru Residency</v>
      </c>
      <c r="I1181" s="1"/>
      <c r="J1181" s="1" t="str">
        <f ca="1">IFERROR(__xludf.DUMMYFUNCTION("""COMPUTED_VALUE"""),"0d 00h 00m")</f>
        <v>0d 00h 00m</v>
      </c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13.2">
      <c r="A1182" s="1">
        <f ca="1">IFERROR(__xludf.DUMMYFUNCTION("""COMPUTED_VALUE"""),167)</f>
        <v>167</v>
      </c>
      <c r="B1182" s="1" t="str">
        <f ca="1">IFERROR(__xludf.DUMMYFUNCTION("""COMPUTED_VALUE"""),"NW2_KA04C5133_jetting")</f>
        <v>NW2_KA04C5133_jetting</v>
      </c>
      <c r="C1182" s="1" t="str">
        <f ca="1">IFERROR(__xludf.DUMMYFUNCTION("""COMPUTED_VALUE"""),"nw2_ka04c5133_jetting")</f>
        <v>nw2_ka04c5133_jetting</v>
      </c>
      <c r="D1182" s="2">
        <f ca="1">IFERROR(__xludf.DUMMYFUNCTION("""COMPUTED_VALUE"""),44707)</f>
        <v>44707</v>
      </c>
      <c r="E1182" s="3">
        <f ca="1">IFERROR(__xludf.DUMMYFUNCTION("""COMPUTED_VALUE"""),0.999016203702922)</f>
        <v>0.99901620370292199</v>
      </c>
      <c r="F1182" s="1">
        <f ca="1">IFERROR(__xludf.DUMMYFUNCTION("""COMPUTED_VALUE"""),14316)</f>
        <v>14316</v>
      </c>
      <c r="G1182" s="1" t="str">
        <f ca="1">IFERROR(__xludf.DUMMYFUNCTION("""COMPUTED_VALUE"""),"12.9949/77.5383")</f>
        <v>12.9949/77.5383</v>
      </c>
      <c r="H1182" s="1" t="str">
        <f ca="1">IFERROR(__xludf.DUMMYFUNCTION("""COMPUTED_VALUE"""),"Shree Guru Residency")</f>
        <v>Shree Guru Residency</v>
      </c>
      <c r="I1182" s="1"/>
      <c r="J1182" s="1" t="str">
        <f ca="1">IFERROR(__xludf.DUMMYFUNCTION("""COMPUTED_VALUE"""),"0d 01h 27m")</f>
        <v>0d 01h 27m</v>
      </c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13.2">
      <c r="A1183" s="1">
        <f ca="1">IFERROR(__xludf.DUMMYFUNCTION("""COMPUTED_VALUE"""),89)</f>
        <v>89</v>
      </c>
      <c r="B1183" s="1" t="str">
        <f ca="1">IFERROR(__xludf.DUMMYFUNCTION("""COMPUTED_VALUE"""),"NW2_KA04C5133_jetting")</f>
        <v>NW2_KA04C5133_jetting</v>
      </c>
      <c r="C1183" s="1" t="str">
        <f ca="1">IFERROR(__xludf.DUMMYFUNCTION("""COMPUTED_VALUE"""),"nw2_ka04c5133_jetting")</f>
        <v>nw2_ka04c5133_jetting</v>
      </c>
      <c r="D1183" s="2">
        <f ca="1">IFERROR(__xludf.DUMMYFUNCTION("""COMPUTED_VALUE"""),44730)</f>
        <v>44730</v>
      </c>
      <c r="E1183" s="3">
        <f ca="1">IFERROR(__xludf.DUMMYFUNCTION("""COMPUTED_VALUE"""),0.676111111111822)</f>
        <v>0.67611111111182198</v>
      </c>
      <c r="F1183" s="1">
        <f ca="1">IFERROR(__xludf.DUMMYFUNCTION("""COMPUTED_VALUE"""),14416)</f>
        <v>14416</v>
      </c>
      <c r="G1183" s="1" t="str">
        <f ca="1">IFERROR(__xludf.DUMMYFUNCTION("""COMPUTED_VALUE"""),"12.9940/77.5290")</f>
        <v>12.9940/77.5290</v>
      </c>
      <c r="H1183" s="1" t="str">
        <f ca="1">IFERROR(__xludf.DUMMYFUNCTION("""COMPUTED_VALUE"""),"KamalaNagar")</f>
        <v>KamalaNagar</v>
      </c>
      <c r="I1183" s="1"/>
      <c r="J1183" s="1" t="str">
        <f ca="1">IFERROR(__xludf.DUMMYFUNCTION("""COMPUTED_VALUE"""),"0d 01h 28m")</f>
        <v>0d 01h 28m</v>
      </c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13.2">
      <c r="A1184" s="1">
        <f ca="1">IFERROR(__xludf.DUMMYFUNCTION("""COMPUTED_VALUE"""),76)</f>
        <v>76</v>
      </c>
      <c r="B1184" s="1" t="str">
        <f ca="1">IFERROR(__xludf.DUMMYFUNCTION("""COMPUTED_VALUE"""),"NW2_KA04C5133_jetting")</f>
        <v>NW2_KA04C5133_jetting</v>
      </c>
      <c r="C1184" s="1" t="str">
        <f ca="1">IFERROR(__xludf.DUMMYFUNCTION("""COMPUTED_VALUE"""),"nw2_ka04c5133_jetting")</f>
        <v>nw2_ka04c5133_jetting</v>
      </c>
      <c r="D1184" s="2">
        <f ca="1">IFERROR(__xludf.DUMMYFUNCTION("""COMPUTED_VALUE"""),44742)</f>
        <v>44742</v>
      </c>
      <c r="E1184" s="3">
        <f ca="1">IFERROR(__xludf.DUMMYFUNCTION("""COMPUTED_VALUE"""),0.570289351850078)</f>
        <v>0.57028935185007801</v>
      </c>
      <c r="F1184" s="1">
        <f ca="1">IFERROR(__xludf.DUMMYFUNCTION("""COMPUTED_VALUE"""),14422)</f>
        <v>14422</v>
      </c>
      <c r="G1184" s="1" t="str">
        <f ca="1">IFERROR(__xludf.DUMMYFUNCTION("""COMPUTED_VALUE"""),"12.9950/77.5265")</f>
        <v>12.9950/77.5265</v>
      </c>
      <c r="H1184" s="1" t="str">
        <f ca="1">IFERROR(__xludf.DUMMYFUNCTION("""COMPUTED_VALUE"""),"KamalaNagar")</f>
        <v>KamalaNagar</v>
      </c>
      <c r="I1184" s="1"/>
      <c r="J1184" s="1" t="str">
        <f ca="1">IFERROR(__xludf.DUMMYFUNCTION("""COMPUTED_VALUE"""),"0d 01h 29m")</f>
        <v>0d 01h 29m</v>
      </c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13.2">
      <c r="A1185" s="1">
        <f ca="1">IFERROR(__xludf.DUMMYFUNCTION("""COMPUTED_VALUE"""),67)</f>
        <v>67</v>
      </c>
      <c r="B1185" s="1" t="str">
        <f ca="1">IFERROR(__xludf.DUMMYFUNCTION("""COMPUTED_VALUE"""),"NW2_KA04C5133_jetting")</f>
        <v>NW2_KA04C5133_jetting</v>
      </c>
      <c r="C1185" s="1" t="str">
        <f ca="1">IFERROR(__xludf.DUMMYFUNCTION("""COMPUTED_VALUE"""),"nw2_ka04c5133_jetting")</f>
        <v>nw2_ka04c5133_jetting</v>
      </c>
      <c r="D1185" s="2">
        <f ca="1">IFERROR(__xludf.DUMMYFUNCTION("""COMPUTED_VALUE"""),44742)</f>
        <v>44742</v>
      </c>
      <c r="E1185" s="3">
        <f ca="1">IFERROR(__xludf.DUMMYFUNCTION("""COMPUTED_VALUE"""),0.570289351850078)</f>
        <v>0.57028935185007801</v>
      </c>
      <c r="F1185" s="1">
        <f ca="1">IFERROR(__xludf.DUMMYFUNCTION("""COMPUTED_VALUE"""),14422)</f>
        <v>14422</v>
      </c>
      <c r="G1185" s="1" t="str">
        <f ca="1">IFERROR(__xludf.DUMMYFUNCTION("""COMPUTED_VALUE"""),"12.9950/77.5265")</f>
        <v>12.9950/77.5265</v>
      </c>
      <c r="H1185" s="1" t="str">
        <f ca="1">IFERROR(__xludf.DUMMYFUNCTION("""COMPUTED_VALUE"""),"KamalaNagar")</f>
        <v>KamalaNagar</v>
      </c>
      <c r="I1185" s="1"/>
      <c r="J1185" s="1" t="str">
        <f ca="1">IFERROR(__xludf.DUMMYFUNCTION("""COMPUTED_VALUE"""),"0d 01h 30m")</f>
        <v>0d 01h 30m</v>
      </c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13.2">
      <c r="A1186" s="1">
        <f ca="1">IFERROR(__xludf.DUMMYFUNCTION("""COMPUTED_VALUE"""),112)</f>
        <v>112</v>
      </c>
      <c r="B1186" s="1" t="str">
        <f ca="1">IFERROR(__xludf.DUMMYFUNCTION("""COMPUTED_VALUE"""),"NW2_KA04C5133_jetting")</f>
        <v>NW2_KA04C5133_jetting</v>
      </c>
      <c r="C1186" s="1" t="str">
        <f ca="1">IFERROR(__xludf.DUMMYFUNCTION("""COMPUTED_VALUE"""),"nw2_ka04c5133_jetting")</f>
        <v>nw2_ka04c5133_jetting</v>
      </c>
      <c r="D1186" s="2">
        <f ca="1">IFERROR(__xludf.DUMMYFUNCTION("""COMPUTED_VALUE"""),44825)</f>
        <v>44825</v>
      </c>
      <c r="E1186" s="3">
        <f ca="1">IFERROR(__xludf.DUMMYFUNCTION("""COMPUTED_VALUE"""),0.421157407407008)</f>
        <v>0.42115740740700802</v>
      </c>
      <c r="F1186" s="1">
        <f ca="1">IFERROR(__xludf.DUMMYFUNCTION("""COMPUTED_VALUE"""),14426)</f>
        <v>14426</v>
      </c>
      <c r="G1186" s="1" t="str">
        <f ca="1">IFERROR(__xludf.DUMMYFUNCTION("""COMPUTED_VALUE"""),"12.9967/77.5284")</f>
        <v>12.9967/77.5284</v>
      </c>
      <c r="H1186" s="1" t="str">
        <f ca="1">IFERROR(__xludf.DUMMYFUNCTION("""COMPUTED_VALUE"""),"KamalaNagar")</f>
        <v>KamalaNagar</v>
      </c>
      <c r="I1186" s="1"/>
      <c r="J1186" s="1" t="str">
        <f ca="1">IFERROR(__xludf.DUMMYFUNCTION("""COMPUTED_VALUE"""),"0d 01h 31m")</f>
        <v>0d 01h 31m</v>
      </c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13.2">
      <c r="A1187" s="1">
        <f ca="1">IFERROR(__xludf.DUMMYFUNCTION("""COMPUTED_VALUE"""),69)</f>
        <v>69</v>
      </c>
      <c r="B1187" s="1" t="str">
        <f ca="1">IFERROR(__xludf.DUMMYFUNCTION("""COMPUTED_VALUE"""),"NW2_KA04C5133_jetting")</f>
        <v>NW2_KA04C5133_jetting</v>
      </c>
      <c r="C1187" s="1" t="str">
        <f ca="1">IFERROR(__xludf.DUMMYFUNCTION("""COMPUTED_VALUE"""),"nw2_ka04c5133_jetting")</f>
        <v>nw2_ka04c5133_jetting</v>
      </c>
      <c r="D1187" s="2">
        <f ca="1">IFERROR(__xludf.DUMMYFUNCTION("""COMPUTED_VALUE"""),44825)</f>
        <v>44825</v>
      </c>
      <c r="E1187" s="3">
        <f ca="1">IFERROR(__xludf.DUMMYFUNCTION("""COMPUTED_VALUE"""),0.421157407407008)</f>
        <v>0.42115740740700802</v>
      </c>
      <c r="F1187" s="1">
        <f ca="1">IFERROR(__xludf.DUMMYFUNCTION("""COMPUTED_VALUE"""),14426)</f>
        <v>14426</v>
      </c>
      <c r="G1187" s="1" t="str">
        <f ca="1">IFERROR(__xludf.DUMMYFUNCTION("""COMPUTED_VALUE"""),"12.9967/77.5284")</f>
        <v>12.9967/77.5284</v>
      </c>
      <c r="H1187" s="1" t="str">
        <f ca="1">IFERROR(__xludf.DUMMYFUNCTION("""COMPUTED_VALUE"""),"KamalaNagar")</f>
        <v>KamalaNagar</v>
      </c>
      <c r="I1187" s="1"/>
      <c r="J1187" s="1" t="str">
        <f ca="1">IFERROR(__xludf.DUMMYFUNCTION("""COMPUTED_VALUE"""),"0d 01h 31m")</f>
        <v>0d 01h 31m</v>
      </c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13.2">
      <c r="A1188" s="1">
        <f ca="1">IFERROR(__xludf.DUMMYFUNCTION("""COMPUTED_VALUE"""),8)</f>
        <v>8</v>
      </c>
      <c r="B1188" s="1" t="str">
        <f ca="1">IFERROR(__xludf.DUMMYFUNCTION("""COMPUTED_VALUE"""),"NW2_KA04D3155_Tanker")</f>
        <v>NW2_KA04D3155_Tanker</v>
      </c>
      <c r="C1188" s="1" t="str">
        <f ca="1">IFERROR(__xludf.DUMMYFUNCTION("""COMPUTED_VALUE"""),"nw2_ka04d3155_tanker")</f>
        <v>nw2_ka04d3155_tanker</v>
      </c>
      <c r="D1188" s="2">
        <f ca="1">IFERROR(__xludf.DUMMYFUNCTION("""COMPUTED_VALUE"""),43703)</f>
        <v>43703</v>
      </c>
      <c r="E1188" s="3">
        <f ca="1">IFERROR(__xludf.DUMMYFUNCTION("""COMPUTED_VALUE"""),0.637210648146719)</f>
        <v>0.63721064814671902</v>
      </c>
      <c r="F1188" s="1">
        <f ca="1">IFERROR(__xludf.DUMMYFUNCTION("""COMPUTED_VALUE"""),3920)</f>
        <v>3920</v>
      </c>
      <c r="G1188" s="1" t="str">
        <f ca="1">IFERROR(__xludf.DUMMYFUNCTION("""COMPUTED_VALUE"""),"12.8837/77.4886")</f>
        <v>12.8837/77.4886</v>
      </c>
      <c r="H1188" s="1" t="str">
        <f ca="1">IFERROR(__xludf.DUMMYFUNCTION("""COMPUTED_VALUE"""),"Tippasandra")</f>
        <v>Tippasandra</v>
      </c>
      <c r="I1188" s="1"/>
      <c r="J1188" s="1" t="str">
        <f ca="1">IFERROR(__xludf.DUMMYFUNCTION("""COMPUTED_VALUE"""),"1213d 19h 13m")</f>
        <v>1213d 19h 13m</v>
      </c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13.2">
      <c r="A1189" s="1">
        <f ca="1">IFERROR(__xludf.DUMMYFUNCTION("""COMPUTED_VALUE"""),8)</f>
        <v>8</v>
      </c>
      <c r="B1189" s="1" t="str">
        <f ca="1">IFERROR(__xludf.DUMMYFUNCTION("""COMPUTED_VALUE"""),"NW2_KA04D3155_Tanker")</f>
        <v>NW2_KA04D3155_Tanker</v>
      </c>
      <c r="C1189" s="1" t="str">
        <f ca="1">IFERROR(__xludf.DUMMYFUNCTION("""COMPUTED_VALUE"""),"nw2_ka04d3155_tanker")</f>
        <v>nw2_ka04d3155_tanker</v>
      </c>
      <c r="D1189" s="2">
        <f ca="1">IFERROR(__xludf.DUMMYFUNCTION("""COMPUTED_VALUE"""),43703)</f>
        <v>43703</v>
      </c>
      <c r="E1189" s="3">
        <f ca="1">IFERROR(__xludf.DUMMYFUNCTION("""COMPUTED_VALUE"""),0.637210648146719)</f>
        <v>0.63721064814671902</v>
      </c>
      <c r="F1189" s="1">
        <f ca="1">IFERROR(__xludf.DUMMYFUNCTION("""COMPUTED_VALUE"""),3920)</f>
        <v>3920</v>
      </c>
      <c r="G1189" s="1" t="str">
        <f ca="1">IFERROR(__xludf.DUMMYFUNCTION("""COMPUTED_VALUE"""),"12.8837/77.4886")</f>
        <v>12.8837/77.4886</v>
      </c>
      <c r="H1189" s="1" t="str">
        <f ca="1">IFERROR(__xludf.DUMMYFUNCTION("""COMPUTED_VALUE"""),"Tippasandra")</f>
        <v>Tippasandra</v>
      </c>
      <c r="I1189" s="1"/>
      <c r="J1189" s="1" t="str">
        <f ca="1">IFERROR(__xludf.DUMMYFUNCTION("""COMPUTED_VALUE"""),"1213d 19h 14m")</f>
        <v>1213d 19h 14m</v>
      </c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13.2">
      <c r="A1190" s="1">
        <f ca="1">IFERROR(__xludf.DUMMYFUNCTION("""COMPUTED_VALUE"""),8)</f>
        <v>8</v>
      </c>
      <c r="B1190" s="1" t="str">
        <f ca="1">IFERROR(__xludf.DUMMYFUNCTION("""COMPUTED_VALUE"""),"NW2_KA04D3155_Tanker")</f>
        <v>NW2_KA04D3155_Tanker</v>
      </c>
      <c r="C1190" s="1" t="str">
        <f ca="1">IFERROR(__xludf.DUMMYFUNCTION("""COMPUTED_VALUE"""),"nw2_ka04d3155_tanker")</f>
        <v>nw2_ka04d3155_tanker</v>
      </c>
      <c r="D1190" s="2">
        <f ca="1">IFERROR(__xludf.DUMMYFUNCTION("""COMPUTED_VALUE"""),43703)</f>
        <v>43703</v>
      </c>
      <c r="E1190" s="3">
        <f ca="1">IFERROR(__xludf.DUMMYFUNCTION("""COMPUTED_VALUE"""),0.637210648146719)</f>
        <v>0.63721064814671902</v>
      </c>
      <c r="F1190" s="1">
        <f ca="1">IFERROR(__xludf.DUMMYFUNCTION("""COMPUTED_VALUE"""),3920)</f>
        <v>3920</v>
      </c>
      <c r="G1190" s="1" t="str">
        <f ca="1">IFERROR(__xludf.DUMMYFUNCTION("""COMPUTED_VALUE"""),"12.8837/77.4886")</f>
        <v>12.8837/77.4886</v>
      </c>
      <c r="H1190" s="1" t="str">
        <f ca="1">IFERROR(__xludf.DUMMYFUNCTION("""COMPUTED_VALUE"""),"Tippasandra")</f>
        <v>Tippasandra</v>
      </c>
      <c r="I1190" s="1"/>
      <c r="J1190" s="1" t="str">
        <f ca="1">IFERROR(__xludf.DUMMYFUNCTION("""COMPUTED_VALUE"""),"1213d 19h 15m")</f>
        <v>1213d 19h 15m</v>
      </c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13.2">
      <c r="A1191" s="1">
        <f ca="1">IFERROR(__xludf.DUMMYFUNCTION("""COMPUTED_VALUE"""),8)</f>
        <v>8</v>
      </c>
      <c r="B1191" s="1" t="str">
        <f ca="1">IFERROR(__xludf.DUMMYFUNCTION("""COMPUTED_VALUE"""),"NW2_KA04D3155_Tanker")</f>
        <v>NW2_KA04D3155_Tanker</v>
      </c>
      <c r="C1191" s="1" t="str">
        <f ca="1">IFERROR(__xludf.DUMMYFUNCTION("""COMPUTED_VALUE"""),"nw2_ka04d3155_tanker")</f>
        <v>nw2_ka04d3155_tanker</v>
      </c>
      <c r="D1191" s="2">
        <f ca="1">IFERROR(__xludf.DUMMYFUNCTION("""COMPUTED_VALUE"""),43703)</f>
        <v>43703</v>
      </c>
      <c r="E1191" s="3">
        <f ca="1">IFERROR(__xludf.DUMMYFUNCTION("""COMPUTED_VALUE"""),0.637210648146719)</f>
        <v>0.63721064814671902</v>
      </c>
      <c r="F1191" s="1">
        <f ca="1">IFERROR(__xludf.DUMMYFUNCTION("""COMPUTED_VALUE"""),3920)</f>
        <v>3920</v>
      </c>
      <c r="G1191" s="1" t="str">
        <f ca="1">IFERROR(__xludf.DUMMYFUNCTION("""COMPUTED_VALUE"""),"12.8837/77.4886")</f>
        <v>12.8837/77.4886</v>
      </c>
      <c r="H1191" s="1" t="str">
        <f ca="1">IFERROR(__xludf.DUMMYFUNCTION("""COMPUTED_VALUE"""),"Tippasandra")</f>
        <v>Tippasandra</v>
      </c>
      <c r="I1191" s="1"/>
      <c r="J1191" s="1" t="str">
        <f ca="1">IFERROR(__xludf.DUMMYFUNCTION("""COMPUTED_VALUE"""),"1213d 19h 16m")</f>
        <v>1213d 19h 16m</v>
      </c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13.2">
      <c r="A1192" s="1">
        <f ca="1">IFERROR(__xludf.DUMMYFUNCTION("""COMPUTED_VALUE"""),8)</f>
        <v>8</v>
      </c>
      <c r="B1192" s="1" t="str">
        <f ca="1">IFERROR(__xludf.DUMMYFUNCTION("""COMPUTED_VALUE"""),"NW2_KA04D3155_Tanker")</f>
        <v>NW2_KA04D3155_Tanker</v>
      </c>
      <c r="C1192" s="1" t="str">
        <f ca="1">IFERROR(__xludf.DUMMYFUNCTION("""COMPUTED_VALUE"""),"nw2_ka04d3155_tanker")</f>
        <v>nw2_ka04d3155_tanker</v>
      </c>
      <c r="D1192" s="2">
        <f ca="1">IFERROR(__xludf.DUMMYFUNCTION("""COMPUTED_VALUE"""),43703)</f>
        <v>43703</v>
      </c>
      <c r="E1192" s="3">
        <f ca="1">IFERROR(__xludf.DUMMYFUNCTION("""COMPUTED_VALUE"""),0.637210648146719)</f>
        <v>0.63721064814671902</v>
      </c>
      <c r="F1192" s="1">
        <f ca="1">IFERROR(__xludf.DUMMYFUNCTION("""COMPUTED_VALUE"""),3920)</f>
        <v>3920</v>
      </c>
      <c r="G1192" s="1" t="str">
        <f ca="1">IFERROR(__xludf.DUMMYFUNCTION("""COMPUTED_VALUE"""),"12.8837/77.4886")</f>
        <v>12.8837/77.4886</v>
      </c>
      <c r="H1192" s="1" t="str">
        <f ca="1">IFERROR(__xludf.DUMMYFUNCTION("""COMPUTED_VALUE"""),"Tippasandra")</f>
        <v>Tippasandra</v>
      </c>
      <c r="I1192" s="1"/>
      <c r="J1192" s="1" t="str">
        <f ca="1">IFERROR(__xludf.DUMMYFUNCTION("""COMPUTED_VALUE"""),"1213d 19h 17m")</f>
        <v>1213d 19h 17m</v>
      </c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13.2">
      <c r="A1193" s="1">
        <f ca="1">IFERROR(__xludf.DUMMYFUNCTION("""COMPUTED_VALUE"""),8)</f>
        <v>8</v>
      </c>
      <c r="B1193" s="1" t="str">
        <f ca="1">IFERROR(__xludf.DUMMYFUNCTION("""COMPUTED_VALUE"""),"NW2_KA04D3155_Tanker")</f>
        <v>NW2_KA04D3155_Tanker</v>
      </c>
      <c r="C1193" s="1" t="str">
        <f ca="1">IFERROR(__xludf.DUMMYFUNCTION("""COMPUTED_VALUE"""),"nw2_ka04d3155_tanker")</f>
        <v>nw2_ka04d3155_tanker</v>
      </c>
      <c r="D1193" s="2">
        <f ca="1">IFERROR(__xludf.DUMMYFUNCTION("""COMPUTED_VALUE"""),43703)</f>
        <v>43703</v>
      </c>
      <c r="E1193" s="3">
        <f ca="1">IFERROR(__xludf.DUMMYFUNCTION("""COMPUTED_VALUE"""),0.637210648146719)</f>
        <v>0.63721064814671902</v>
      </c>
      <c r="F1193" s="1">
        <f ca="1">IFERROR(__xludf.DUMMYFUNCTION("""COMPUTED_VALUE"""),3920)</f>
        <v>3920</v>
      </c>
      <c r="G1193" s="1" t="str">
        <f ca="1">IFERROR(__xludf.DUMMYFUNCTION("""COMPUTED_VALUE"""),"12.8837/77.4886")</f>
        <v>12.8837/77.4886</v>
      </c>
      <c r="H1193" s="1" t="str">
        <f ca="1">IFERROR(__xludf.DUMMYFUNCTION("""COMPUTED_VALUE"""),"Tippasandra")</f>
        <v>Tippasandra</v>
      </c>
      <c r="I1193" s="1"/>
      <c r="J1193" s="1" t="str">
        <f ca="1">IFERROR(__xludf.DUMMYFUNCTION("""COMPUTED_VALUE"""),"1213d 19h 17m")</f>
        <v>1213d 19h 17m</v>
      </c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13.2">
      <c r="A1194" s="1">
        <f ca="1">IFERROR(__xludf.DUMMYFUNCTION("""COMPUTED_VALUE"""),60)</f>
        <v>60</v>
      </c>
      <c r="B1194" s="1" t="str">
        <f ca="1">IFERROR(__xludf.DUMMYFUNCTION("""COMPUTED_VALUE"""),"NW2_KA04D4113_Jetting")</f>
        <v>NW2_KA04D4113_Jetting</v>
      </c>
      <c r="C1194" s="1" t="str">
        <f ca="1">IFERROR(__xludf.DUMMYFUNCTION("""COMPUTED_VALUE"""),"nw2_ka04d4113_jetting")</f>
        <v>nw2_ka04d4113_jetting</v>
      </c>
      <c r="D1194" s="2">
        <f ca="1">IFERROR(__xludf.DUMMYFUNCTION("""COMPUTED_VALUE"""),44671)</f>
        <v>44671</v>
      </c>
      <c r="E1194" s="3">
        <f ca="1">IFERROR(__xludf.DUMMYFUNCTION("""COMPUTED_VALUE"""),0.556423611109494)</f>
        <v>0.55642361110949401</v>
      </c>
      <c r="F1194" s="1">
        <f ca="1">IFERROR(__xludf.DUMMYFUNCTION("""COMPUTED_VALUE"""),13467)</f>
        <v>13467</v>
      </c>
      <c r="G1194" s="1" t="str">
        <f ca="1">IFERROR(__xludf.DUMMYFUNCTION("""COMPUTED_VALUE"""),"12.9783/77.5532")</f>
        <v>12.9783/77.5532</v>
      </c>
      <c r="H1194" s="1" t="str">
        <f ca="1">IFERROR(__xludf.DUMMYFUNCTION("""COMPUTED_VALUE"""),"Magadi Road Tolgate")</f>
        <v>Magadi Road Tolgate</v>
      </c>
      <c r="I1194" s="1"/>
      <c r="J1194" s="1" t="str">
        <f ca="1">IFERROR(__xludf.DUMMYFUNCTION("""COMPUTED_VALUE"""),"17d 00h 24m")</f>
        <v>17d 00h 24m</v>
      </c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13.2">
      <c r="A1195" s="1">
        <f ca="1">IFERROR(__xludf.DUMMYFUNCTION("""COMPUTED_VALUE"""),78)</f>
        <v>78</v>
      </c>
      <c r="B1195" s="1" t="str">
        <f ca="1">IFERROR(__xludf.DUMMYFUNCTION("""COMPUTED_VALUE"""),"NW2_KA04D4113_Jetting")</f>
        <v>NW2_KA04D4113_Jetting</v>
      </c>
      <c r="C1195" s="1" t="str">
        <f ca="1">IFERROR(__xludf.DUMMYFUNCTION("""COMPUTED_VALUE"""),"nw2_ka04d4113_jetting")</f>
        <v>nw2_ka04d4113_jetting</v>
      </c>
      <c r="D1195" s="2">
        <f ca="1">IFERROR(__xludf.DUMMYFUNCTION("""COMPUTED_VALUE"""),44722)</f>
        <v>44722</v>
      </c>
      <c r="E1195" s="3">
        <f ca="1">IFERROR(__xludf.DUMMYFUNCTION("""COMPUTED_VALUE"""),0.705555555556202)</f>
        <v>0.70555555555620197</v>
      </c>
      <c r="F1195" s="1">
        <f ca="1">IFERROR(__xludf.DUMMYFUNCTION("""COMPUTED_VALUE"""),13492)</f>
        <v>13492</v>
      </c>
      <c r="G1195" s="1" t="str">
        <f ca="1">IFERROR(__xludf.DUMMYFUNCTION("""COMPUTED_VALUE"""),"12.9842/77.5371")</f>
        <v>12.9842/77.5371</v>
      </c>
      <c r="H1195" s="1" t="str">
        <f ca="1">IFERROR(__xludf.DUMMYFUNCTION("""COMPUTED_VALUE"""),"BasaveshNagar")</f>
        <v>BasaveshNagar</v>
      </c>
      <c r="I1195" s="1"/>
      <c r="J1195" s="1" t="str">
        <f ca="1">IFERROR(__xludf.DUMMYFUNCTION("""COMPUTED_VALUE"""),"17d 00h 26m")</f>
        <v>17d 00h 26m</v>
      </c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13.2">
      <c r="A1196" s="1">
        <f ca="1">IFERROR(__xludf.DUMMYFUNCTION("""COMPUTED_VALUE"""),60)</f>
        <v>60</v>
      </c>
      <c r="B1196" s="1" t="str">
        <f ca="1">IFERROR(__xludf.DUMMYFUNCTION("""COMPUTED_VALUE"""),"NW2_KA04D4113_Jetting")</f>
        <v>NW2_KA04D4113_Jetting</v>
      </c>
      <c r="C1196" s="1" t="str">
        <f ca="1">IFERROR(__xludf.DUMMYFUNCTION("""COMPUTED_VALUE"""),"nw2_ka04d4113_jetting")</f>
        <v>nw2_ka04d4113_jetting</v>
      </c>
      <c r="D1196" s="2">
        <f ca="1">IFERROR(__xludf.DUMMYFUNCTION("""COMPUTED_VALUE"""),44722)</f>
        <v>44722</v>
      </c>
      <c r="E1196" s="3">
        <f ca="1">IFERROR(__xludf.DUMMYFUNCTION("""COMPUTED_VALUE"""),0.705555555556202)</f>
        <v>0.70555555555620197</v>
      </c>
      <c r="F1196" s="1">
        <f ca="1">IFERROR(__xludf.DUMMYFUNCTION("""COMPUTED_VALUE"""),13492)</f>
        <v>13492</v>
      </c>
      <c r="G1196" s="1" t="str">
        <f ca="1">IFERROR(__xludf.DUMMYFUNCTION("""COMPUTED_VALUE"""),"12.9842/77.5371")</f>
        <v>12.9842/77.5371</v>
      </c>
      <c r="H1196" s="1" t="str">
        <f ca="1">IFERROR(__xludf.DUMMYFUNCTION("""COMPUTED_VALUE"""),"BasaveshNagar")</f>
        <v>BasaveshNagar</v>
      </c>
      <c r="I1196" s="1"/>
      <c r="J1196" s="1" t="str">
        <f ca="1">IFERROR(__xludf.DUMMYFUNCTION("""COMPUTED_VALUE"""),"17d 00h 26m")</f>
        <v>17d 00h 26m</v>
      </c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13.2">
      <c r="A1197" s="1">
        <f ca="1">IFERROR(__xludf.DUMMYFUNCTION("""COMPUTED_VALUE"""),57)</f>
        <v>57</v>
      </c>
      <c r="B1197" s="1" t="str">
        <f ca="1">IFERROR(__xludf.DUMMYFUNCTION("""COMPUTED_VALUE"""),"NW2_KA04D4113_Jetting")</f>
        <v>NW2_KA04D4113_Jetting</v>
      </c>
      <c r="C1197" s="1" t="str">
        <f ca="1">IFERROR(__xludf.DUMMYFUNCTION("""COMPUTED_VALUE"""),"nw2_ka04d4113_jetting")</f>
        <v>nw2_ka04d4113_jetting</v>
      </c>
      <c r="D1197" s="2">
        <f ca="1">IFERROR(__xludf.DUMMYFUNCTION("""COMPUTED_VALUE"""),44722)</f>
        <v>44722</v>
      </c>
      <c r="E1197" s="3">
        <f ca="1">IFERROR(__xludf.DUMMYFUNCTION("""COMPUTED_VALUE"""),0.705555555556202)</f>
        <v>0.70555555555620197</v>
      </c>
      <c r="F1197" s="1">
        <f ca="1">IFERROR(__xludf.DUMMYFUNCTION("""COMPUTED_VALUE"""),13492)</f>
        <v>13492</v>
      </c>
      <c r="G1197" s="1" t="str">
        <f ca="1">IFERROR(__xludf.DUMMYFUNCTION("""COMPUTED_VALUE"""),"12.9842/77.5371")</f>
        <v>12.9842/77.5371</v>
      </c>
      <c r="H1197" s="1" t="str">
        <f ca="1">IFERROR(__xludf.DUMMYFUNCTION("""COMPUTED_VALUE"""),"BasaveshNagar")</f>
        <v>BasaveshNagar</v>
      </c>
      <c r="I1197" s="1"/>
      <c r="J1197" s="1" t="str">
        <f ca="1">IFERROR(__xludf.DUMMYFUNCTION("""COMPUTED_VALUE"""),"17d 00h 27m")</f>
        <v>17d 00h 27m</v>
      </c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13.2">
      <c r="A1198" s="1">
        <f ca="1">IFERROR(__xludf.DUMMYFUNCTION("""COMPUTED_VALUE"""),124)</f>
        <v>124</v>
      </c>
      <c r="B1198" s="1" t="str">
        <f ca="1">IFERROR(__xludf.DUMMYFUNCTION("""COMPUTED_VALUE"""),"NW2_KA04D4113_Jetting")</f>
        <v>NW2_KA04D4113_Jetting</v>
      </c>
      <c r="C1198" s="1" t="str">
        <f ca="1">IFERROR(__xludf.DUMMYFUNCTION("""COMPUTED_VALUE"""),"nw2_ka04d4113_jetting")</f>
        <v>nw2_ka04d4113_jetting</v>
      </c>
      <c r="D1198" s="2">
        <f ca="1">IFERROR(__xludf.DUMMYFUNCTION("""COMPUTED_VALUE"""),44827)</f>
        <v>44827</v>
      </c>
      <c r="E1198" s="3">
        <f ca="1">IFERROR(__xludf.DUMMYFUNCTION("""COMPUTED_VALUE"""),0.558807870369491)</f>
        <v>0.55880787036949098</v>
      </c>
      <c r="F1198" s="1">
        <f ca="1">IFERROR(__xludf.DUMMYFUNCTION("""COMPUTED_VALUE"""),13508)</f>
        <v>13508</v>
      </c>
      <c r="G1198" s="1" t="str">
        <f ca="1">IFERROR(__xludf.DUMMYFUNCTION("""COMPUTED_VALUE"""),"12.9862/77.5398")</f>
        <v>12.9862/77.5398</v>
      </c>
      <c r="H1198" s="1" t="str">
        <f ca="1">IFERROR(__xludf.DUMMYFUNCTION("""COMPUTED_VALUE"""),"BasaveshNagar")</f>
        <v>BasaveshNagar</v>
      </c>
      <c r="I1198" s="1"/>
      <c r="J1198" s="1" t="str">
        <f ca="1">IFERROR(__xludf.DUMMYFUNCTION("""COMPUTED_VALUE"""),"17d 00h 28m")</f>
        <v>17d 00h 28m</v>
      </c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13.2">
      <c r="A1199" s="1">
        <f ca="1">IFERROR(__xludf.DUMMYFUNCTION("""COMPUTED_VALUE"""),75)</f>
        <v>75</v>
      </c>
      <c r="B1199" s="1" t="str">
        <f ca="1">IFERROR(__xludf.DUMMYFUNCTION("""COMPUTED_VALUE"""),"NW2_KA04D4113_Jetting")</f>
        <v>NW2_KA04D4113_Jetting</v>
      </c>
      <c r="C1199" s="1" t="str">
        <f ca="1">IFERROR(__xludf.DUMMYFUNCTION("""COMPUTED_VALUE"""),"nw2_ka04d4113_jetting")</f>
        <v>nw2_ka04d4113_jetting</v>
      </c>
      <c r="D1199" s="2">
        <f ca="1">IFERROR(__xludf.DUMMYFUNCTION("""COMPUTED_VALUE"""),44835)</f>
        <v>44835</v>
      </c>
      <c r="E1199" s="3">
        <f ca="1">IFERROR(__xludf.DUMMYFUNCTION("""COMPUTED_VALUE"""),0.389490740741166)</f>
        <v>0.38949074074116602</v>
      </c>
      <c r="F1199" s="1">
        <f ca="1">IFERROR(__xludf.DUMMYFUNCTION("""COMPUTED_VALUE"""),13526)</f>
        <v>13526</v>
      </c>
      <c r="G1199" s="1" t="str">
        <f ca="1">IFERROR(__xludf.DUMMYFUNCTION("""COMPUTED_VALUE"""),"12.9821/77.5384")</f>
        <v>12.9821/77.5384</v>
      </c>
      <c r="H1199" s="1" t="str">
        <f ca="1">IFERROR(__xludf.DUMMYFUNCTION("""COMPUTED_VALUE"""),"Housing Board")</f>
        <v>Housing Board</v>
      </c>
      <c r="I1199" s="1"/>
      <c r="J1199" s="1" t="str">
        <f ca="1">IFERROR(__xludf.DUMMYFUNCTION("""COMPUTED_VALUE"""),"17d 00h 29m")</f>
        <v>17d 00h 29m</v>
      </c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13.2">
      <c r="A1200" s="1">
        <f ca="1">IFERROR(__xludf.DUMMYFUNCTION("""COMPUTED_VALUE"""),92)</f>
        <v>92</v>
      </c>
      <c r="B1200" s="1" t="str">
        <f ca="1">IFERROR(__xludf.DUMMYFUNCTION("""COMPUTED_VALUE"""),"NW2_KA04D5235_Tanker")</f>
        <v>NW2_KA04D5235_Tanker</v>
      </c>
      <c r="C1200" s="1" t="str">
        <f ca="1">IFERROR(__xludf.DUMMYFUNCTION("""COMPUTED_VALUE"""),"nw2_ka04d5235_tanker")</f>
        <v>nw2_ka04d5235_tanker</v>
      </c>
      <c r="D1200" s="2">
        <f ca="1">IFERROR(__xludf.DUMMYFUNCTION("""COMPUTED_VALUE"""),44701)</f>
        <v>44701</v>
      </c>
      <c r="E1200" s="3">
        <f ca="1">IFERROR(__xludf.DUMMYFUNCTION("""COMPUTED_VALUE"""),0.627696759260288)</f>
        <v>0.62769675926028801</v>
      </c>
      <c r="F1200" s="1">
        <f ca="1">IFERROR(__xludf.DUMMYFUNCTION("""COMPUTED_VALUE"""),20432)</f>
        <v>20432</v>
      </c>
      <c r="G1200" s="1" t="str">
        <f ca="1">IFERROR(__xludf.DUMMYFUNCTION("""COMPUTED_VALUE"""),"12.9949/77.5382")</f>
        <v>12.9949/77.5382</v>
      </c>
      <c r="H1200" s="1" t="str">
        <f ca="1">IFERROR(__xludf.DUMMYFUNCTION("""COMPUTED_VALUE"""),"Shree Guru Residency")</f>
        <v>Shree Guru Residency</v>
      </c>
      <c r="I1200" s="1"/>
      <c r="J1200" s="1" t="str">
        <f ca="1">IFERROR(__xludf.DUMMYFUNCTION("""COMPUTED_VALUE"""),"0d 00h 00m")</f>
        <v>0d 00h 00m</v>
      </c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13.2">
      <c r="A1201" s="1">
        <f ca="1">IFERROR(__xludf.DUMMYFUNCTION("""COMPUTED_VALUE"""),210)</f>
        <v>210</v>
      </c>
      <c r="B1201" s="1" t="str">
        <f ca="1">IFERROR(__xludf.DUMMYFUNCTION("""COMPUTED_VALUE"""),"NW2_KA04D5235_Tanker")</f>
        <v>NW2_KA04D5235_Tanker</v>
      </c>
      <c r="C1201" s="1" t="str">
        <f ca="1">IFERROR(__xludf.DUMMYFUNCTION("""COMPUTED_VALUE"""),"nw2_ka04d5235_tanker")</f>
        <v>nw2_ka04d5235_tanker</v>
      </c>
      <c r="D1201" s="2">
        <f ca="1">IFERROR(__xludf.DUMMYFUNCTION("""COMPUTED_VALUE"""),44738)</f>
        <v>44738</v>
      </c>
      <c r="E1201" s="3">
        <f ca="1">IFERROR(__xludf.DUMMYFUNCTION("""COMPUTED_VALUE"""),0.999189814814599)</f>
        <v>0.99918981481459901</v>
      </c>
      <c r="F1201" s="1">
        <f ca="1">IFERROR(__xludf.DUMMYFUNCTION("""COMPUTED_VALUE"""),20488)</f>
        <v>20488</v>
      </c>
      <c r="G1201" s="1" t="str">
        <f ca="1">IFERROR(__xludf.DUMMYFUNCTION("""COMPUTED_VALUE"""),"12.9950/77.5383")</f>
        <v>12.9950/77.5383</v>
      </c>
      <c r="H1201" s="1" t="str">
        <f ca="1">IFERROR(__xludf.DUMMYFUNCTION("""COMPUTED_VALUE"""),"Shree Guru Residency")</f>
        <v>Shree Guru Residency</v>
      </c>
      <c r="I1201" s="1"/>
      <c r="J1201" s="1" t="str">
        <f ca="1">IFERROR(__xludf.DUMMYFUNCTION("""COMPUTED_VALUE"""),"0d 00h 00m")</f>
        <v>0d 00h 00m</v>
      </c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13.2">
      <c r="A1202" s="1">
        <f ca="1">IFERROR(__xludf.DUMMYFUNCTION("""COMPUTED_VALUE"""),208)</f>
        <v>208</v>
      </c>
      <c r="B1202" s="1" t="str">
        <f ca="1">IFERROR(__xludf.DUMMYFUNCTION("""COMPUTED_VALUE"""),"NW2_KA04D5235_Tanker")</f>
        <v>NW2_KA04D5235_Tanker</v>
      </c>
      <c r="C1202" s="1" t="str">
        <f ca="1">IFERROR(__xludf.DUMMYFUNCTION("""COMPUTED_VALUE"""),"nw2_ka04d5235_tanker")</f>
        <v>nw2_ka04d5235_tanker</v>
      </c>
      <c r="D1202" s="2">
        <f ca="1">IFERROR(__xludf.DUMMYFUNCTION("""COMPUTED_VALUE"""),44768)</f>
        <v>44768</v>
      </c>
      <c r="E1202" s="3">
        <f ca="1">IFERROR(__xludf.DUMMYFUNCTION("""COMPUTED_VALUE"""),0.999178240741457)</f>
        <v>0.999178240741457</v>
      </c>
      <c r="F1202" s="1">
        <f ca="1">IFERROR(__xludf.DUMMYFUNCTION("""COMPUTED_VALUE"""),20763)</f>
        <v>20763</v>
      </c>
      <c r="G1202" s="1" t="str">
        <f ca="1">IFERROR(__xludf.DUMMYFUNCTION("""COMPUTED_VALUE"""),"12.9947/77.5383")</f>
        <v>12.9947/77.5383</v>
      </c>
      <c r="H1202" s="1" t="str">
        <f ca="1">IFERROR(__xludf.DUMMYFUNCTION("""COMPUTED_VALUE"""),"Shree Guru Residency")</f>
        <v>Shree Guru Residency</v>
      </c>
      <c r="I1202" s="1"/>
      <c r="J1202" s="1" t="str">
        <f ca="1">IFERROR(__xludf.DUMMYFUNCTION("""COMPUTED_VALUE"""),"0d 00h 00m")</f>
        <v>0d 00h 00m</v>
      </c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13.2">
      <c r="A1203" s="1">
        <f ca="1">IFERROR(__xludf.DUMMYFUNCTION("""COMPUTED_VALUE"""),230)</f>
        <v>230</v>
      </c>
      <c r="B1203" s="1" t="str">
        <f ca="1">IFERROR(__xludf.DUMMYFUNCTION("""COMPUTED_VALUE"""),"NW2_KA04D5235_Tanker")</f>
        <v>NW2_KA04D5235_Tanker</v>
      </c>
      <c r="C1203" s="1" t="str">
        <f ca="1">IFERROR(__xludf.DUMMYFUNCTION("""COMPUTED_VALUE"""),"nw2_ka04d5235_tanker")</f>
        <v>nw2_ka04d5235_tanker</v>
      </c>
      <c r="D1203" s="2">
        <f ca="1">IFERROR(__xludf.DUMMYFUNCTION("""COMPUTED_VALUE"""),44799)</f>
        <v>44799</v>
      </c>
      <c r="E1203" s="3">
        <f ca="1">IFERROR(__xludf.DUMMYFUNCTION("""COMPUTED_VALUE"""),0.999282407407008)</f>
        <v>0.99928240740700802</v>
      </c>
      <c r="F1203" s="1">
        <f ca="1">IFERROR(__xludf.DUMMYFUNCTION("""COMPUTED_VALUE"""),21046)</f>
        <v>21046</v>
      </c>
      <c r="G1203" s="1" t="str">
        <f ca="1">IFERROR(__xludf.DUMMYFUNCTION("""COMPUTED_VALUE"""),"12.9947/77.5378")</f>
        <v>12.9947/77.5378</v>
      </c>
      <c r="H1203" s="1" t="str">
        <f ca="1">IFERROR(__xludf.DUMMYFUNCTION("""COMPUTED_VALUE"""),"Shree Guru Residency")</f>
        <v>Shree Guru Residency</v>
      </c>
      <c r="I1203" s="1"/>
      <c r="J1203" s="1" t="str">
        <f ca="1">IFERROR(__xludf.DUMMYFUNCTION("""COMPUTED_VALUE"""),"0d 00h 00m")</f>
        <v>0d 00h 00m</v>
      </c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13.2">
      <c r="A1204" s="1">
        <f ca="1">IFERROR(__xludf.DUMMYFUNCTION("""COMPUTED_VALUE"""),211)</f>
        <v>211</v>
      </c>
      <c r="B1204" s="1" t="str">
        <f ca="1">IFERROR(__xludf.DUMMYFUNCTION("""COMPUTED_VALUE"""),"NW2_KA04D5235_Tanker")</f>
        <v>NW2_KA04D5235_Tanker</v>
      </c>
      <c r="C1204" s="1" t="str">
        <f ca="1">IFERROR(__xludf.DUMMYFUNCTION("""COMPUTED_VALUE"""),"nw2_ka04d5235_tanker")</f>
        <v>nw2_ka04d5235_tanker</v>
      </c>
      <c r="D1204" s="2">
        <f ca="1">IFERROR(__xludf.DUMMYFUNCTION("""COMPUTED_VALUE"""),44830)</f>
        <v>44830</v>
      </c>
      <c r="E1204" s="3">
        <f ca="1">IFERROR(__xludf.DUMMYFUNCTION("""COMPUTED_VALUE"""),0.99920138888774)</f>
        <v>0.99920138888774002</v>
      </c>
      <c r="F1204" s="1">
        <f ca="1">IFERROR(__xludf.DUMMYFUNCTION("""COMPUTED_VALUE"""),21548)</f>
        <v>21548</v>
      </c>
      <c r="G1204" s="1" t="str">
        <f ca="1">IFERROR(__xludf.DUMMYFUNCTION("""COMPUTED_VALUE"""),"12.9951/77.5383")</f>
        <v>12.9951/77.5383</v>
      </c>
      <c r="H1204" s="1" t="str">
        <f ca="1">IFERROR(__xludf.DUMMYFUNCTION("""COMPUTED_VALUE"""),"Shree Guru Residency")</f>
        <v>Shree Guru Residency</v>
      </c>
      <c r="I1204" s="1"/>
      <c r="J1204" s="1" t="str">
        <f ca="1">IFERROR(__xludf.DUMMYFUNCTION("""COMPUTED_VALUE"""),"0d 00h 00m")</f>
        <v>0d 00h 00m</v>
      </c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13.2">
      <c r="A1205" s="1">
        <f ca="1">IFERROR(__xludf.DUMMYFUNCTION("""COMPUTED_VALUE"""),222)</f>
        <v>222</v>
      </c>
      <c r="B1205" s="1" t="str">
        <f ca="1">IFERROR(__xludf.DUMMYFUNCTION("""COMPUTED_VALUE"""),"NW2_KA04D5235_Tanker")</f>
        <v>NW2_KA04D5235_Tanker</v>
      </c>
      <c r="C1205" s="1" t="str">
        <f ca="1">IFERROR(__xludf.DUMMYFUNCTION("""COMPUTED_VALUE"""),"nw2_ka04d5235_tanker")</f>
        <v>nw2_ka04d5235_tanker</v>
      </c>
      <c r="D1205" s="2">
        <f ca="1">IFERROR(__xludf.DUMMYFUNCTION("""COMPUTED_VALUE"""),44860)</f>
        <v>44860</v>
      </c>
      <c r="E1205" s="3">
        <f ca="1">IFERROR(__xludf.DUMMYFUNCTION("""COMPUTED_VALUE"""),0.999236111110803)</f>
        <v>0.99923611111080302</v>
      </c>
      <c r="F1205" s="1">
        <f ca="1">IFERROR(__xludf.DUMMYFUNCTION("""COMPUTED_VALUE"""),21835)</f>
        <v>21835</v>
      </c>
      <c r="G1205" s="1" t="str">
        <f ca="1">IFERROR(__xludf.DUMMYFUNCTION("""COMPUTED_VALUE"""),"12.9949/77.5383")</f>
        <v>12.9949/77.5383</v>
      </c>
      <c r="H1205" s="1" t="str">
        <f ca="1">IFERROR(__xludf.DUMMYFUNCTION("""COMPUTED_VALUE"""),"Shree Guru Residency")</f>
        <v>Shree Guru Residency</v>
      </c>
      <c r="I1205" s="1"/>
      <c r="J1205" s="1" t="str">
        <f ca="1">IFERROR(__xludf.DUMMYFUNCTION("""COMPUTED_VALUE"""),"0d 00h 00m")</f>
        <v>0d 00h 00m</v>
      </c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13.2">
      <c r="A1206" s="1">
        <f ca="1">IFERROR(__xludf.DUMMYFUNCTION("""COMPUTED_VALUE"""),22)</f>
        <v>22</v>
      </c>
      <c r="B1206" s="1" t="str">
        <f ca="1">IFERROR(__xludf.DUMMYFUNCTION("""COMPUTED_VALUE"""),"NW3_KA04A3043_JETTING")</f>
        <v>NW3_KA04A3043_JETTING</v>
      </c>
      <c r="C1206" s="1" t="str">
        <f ca="1">IFERROR(__xludf.DUMMYFUNCTION("""COMPUTED_VALUE"""),"nw3_ka04a3043_jetting")</f>
        <v>nw3_ka04a3043_jetting</v>
      </c>
      <c r="D1206" s="2">
        <f ca="1">IFERROR(__xludf.DUMMYFUNCTION("""COMPUTED_VALUE"""),41640)</f>
        <v>41640</v>
      </c>
      <c r="E1206" s="3">
        <f ca="1">IFERROR(__xludf.DUMMYFUNCTION("""COMPUTED_VALUE"""),0.22976851851854)</f>
        <v>0.22976851851853999</v>
      </c>
      <c r="F1206" s="1">
        <f ca="1">IFERROR(__xludf.DUMMYFUNCTION("""COMPUTED_VALUE"""),21623)</f>
        <v>21623</v>
      </c>
      <c r="G1206" s="1"/>
      <c r="H1206" s="1"/>
      <c r="I1206" s="1"/>
      <c r="J1206" s="1" t="str">
        <f ca="1">IFERROR(__xludf.DUMMYFUNCTION("""COMPUTED_VALUE"""),"16d 22h 18m")</f>
        <v>16d 22h 18m</v>
      </c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13.2">
      <c r="A1207" s="1">
        <f ca="1">IFERROR(__xludf.DUMMYFUNCTION("""COMPUTED_VALUE"""),22)</f>
        <v>22</v>
      </c>
      <c r="B1207" s="1" t="str">
        <f ca="1">IFERROR(__xludf.DUMMYFUNCTION("""COMPUTED_VALUE"""),"NW3_KA04A3043_JETTING")</f>
        <v>NW3_KA04A3043_JETTING</v>
      </c>
      <c r="C1207" s="1" t="str">
        <f ca="1">IFERROR(__xludf.DUMMYFUNCTION("""COMPUTED_VALUE"""),"nw3_ka04a3043_jetting")</f>
        <v>nw3_ka04a3043_jetting</v>
      </c>
      <c r="D1207" s="2">
        <f ca="1">IFERROR(__xludf.DUMMYFUNCTION("""COMPUTED_VALUE"""),41640)</f>
        <v>41640</v>
      </c>
      <c r="E1207" s="3">
        <f ca="1">IFERROR(__xludf.DUMMYFUNCTION("""COMPUTED_VALUE"""),0.22976851851854)</f>
        <v>0.22976851851853999</v>
      </c>
      <c r="F1207" s="1">
        <f ca="1">IFERROR(__xludf.DUMMYFUNCTION("""COMPUTED_VALUE"""),21623)</f>
        <v>21623</v>
      </c>
      <c r="G1207" s="1"/>
      <c r="H1207" s="1"/>
      <c r="I1207" s="1"/>
      <c r="J1207" s="1" t="str">
        <f ca="1">IFERROR(__xludf.DUMMYFUNCTION("""COMPUTED_VALUE"""),"16d 22h 19m")</f>
        <v>16d 22h 19m</v>
      </c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13.2">
      <c r="A1208" s="1">
        <f ca="1">IFERROR(__xludf.DUMMYFUNCTION("""COMPUTED_VALUE"""),22)</f>
        <v>22</v>
      </c>
      <c r="B1208" s="1" t="str">
        <f ca="1">IFERROR(__xludf.DUMMYFUNCTION("""COMPUTED_VALUE"""),"NW3_KA04A3043_JETTING")</f>
        <v>NW3_KA04A3043_JETTING</v>
      </c>
      <c r="C1208" s="1" t="str">
        <f ca="1">IFERROR(__xludf.DUMMYFUNCTION("""COMPUTED_VALUE"""),"nw3_ka04a3043_jetting")</f>
        <v>nw3_ka04a3043_jetting</v>
      </c>
      <c r="D1208" s="2">
        <f ca="1">IFERROR(__xludf.DUMMYFUNCTION("""COMPUTED_VALUE"""),41640)</f>
        <v>41640</v>
      </c>
      <c r="E1208" s="3">
        <f ca="1">IFERROR(__xludf.DUMMYFUNCTION("""COMPUTED_VALUE"""),0.22976851851854)</f>
        <v>0.22976851851853999</v>
      </c>
      <c r="F1208" s="1">
        <f ca="1">IFERROR(__xludf.DUMMYFUNCTION("""COMPUTED_VALUE"""),21623)</f>
        <v>21623</v>
      </c>
      <c r="G1208" s="1"/>
      <c r="H1208" s="1"/>
      <c r="I1208" s="1"/>
      <c r="J1208" s="1" t="str">
        <f ca="1">IFERROR(__xludf.DUMMYFUNCTION("""COMPUTED_VALUE"""),"16d 22h 22m")</f>
        <v>16d 22h 22m</v>
      </c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13.2">
      <c r="A1209" s="1">
        <f ca="1">IFERROR(__xludf.DUMMYFUNCTION("""COMPUTED_VALUE"""),22)</f>
        <v>22</v>
      </c>
      <c r="B1209" s="1" t="str">
        <f ca="1">IFERROR(__xludf.DUMMYFUNCTION("""COMPUTED_VALUE"""),"NW3_KA04A3043_JETTING")</f>
        <v>NW3_KA04A3043_JETTING</v>
      </c>
      <c r="C1209" s="1" t="str">
        <f ca="1">IFERROR(__xludf.DUMMYFUNCTION("""COMPUTED_VALUE"""),"nw3_ka04a3043_jetting")</f>
        <v>nw3_ka04a3043_jetting</v>
      </c>
      <c r="D1209" s="2">
        <f ca="1">IFERROR(__xludf.DUMMYFUNCTION("""COMPUTED_VALUE"""),41640)</f>
        <v>41640</v>
      </c>
      <c r="E1209" s="3">
        <f ca="1">IFERROR(__xludf.DUMMYFUNCTION("""COMPUTED_VALUE"""),0.22976851851854)</f>
        <v>0.22976851851853999</v>
      </c>
      <c r="F1209" s="1">
        <f ca="1">IFERROR(__xludf.DUMMYFUNCTION("""COMPUTED_VALUE"""),21623)</f>
        <v>21623</v>
      </c>
      <c r="G1209" s="1"/>
      <c r="H1209" s="1"/>
      <c r="I1209" s="1"/>
      <c r="J1209" s="1" t="str">
        <f ca="1">IFERROR(__xludf.DUMMYFUNCTION("""COMPUTED_VALUE"""),"16d 22h 23m")</f>
        <v>16d 22h 23m</v>
      </c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13.2">
      <c r="A1210" s="1">
        <f ca="1">IFERROR(__xludf.DUMMYFUNCTION("""COMPUTED_VALUE"""),22)</f>
        <v>22</v>
      </c>
      <c r="B1210" s="1" t="str">
        <f ca="1">IFERROR(__xludf.DUMMYFUNCTION("""COMPUTED_VALUE"""),"NW3_KA04A3043_JETTING")</f>
        <v>NW3_KA04A3043_JETTING</v>
      </c>
      <c r="C1210" s="1" t="str">
        <f ca="1">IFERROR(__xludf.DUMMYFUNCTION("""COMPUTED_VALUE"""),"nw3_ka04a3043_jetting")</f>
        <v>nw3_ka04a3043_jetting</v>
      </c>
      <c r="D1210" s="2">
        <f ca="1">IFERROR(__xludf.DUMMYFUNCTION("""COMPUTED_VALUE"""),41640)</f>
        <v>41640</v>
      </c>
      <c r="E1210" s="3">
        <f ca="1">IFERROR(__xludf.DUMMYFUNCTION("""COMPUTED_VALUE"""),0.22976851851854)</f>
        <v>0.22976851851853999</v>
      </c>
      <c r="F1210" s="1">
        <f ca="1">IFERROR(__xludf.DUMMYFUNCTION("""COMPUTED_VALUE"""),21623)</f>
        <v>21623</v>
      </c>
      <c r="G1210" s="1"/>
      <c r="H1210" s="1"/>
      <c r="I1210" s="1"/>
      <c r="J1210" s="1" t="str">
        <f ca="1">IFERROR(__xludf.DUMMYFUNCTION("""COMPUTED_VALUE"""),"16d 22h 24m")</f>
        <v>16d 22h 24m</v>
      </c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13.2">
      <c r="A1211" s="1">
        <f ca="1">IFERROR(__xludf.DUMMYFUNCTION("""COMPUTED_VALUE"""),22)</f>
        <v>22</v>
      </c>
      <c r="B1211" s="1" t="str">
        <f ca="1">IFERROR(__xludf.DUMMYFUNCTION("""COMPUTED_VALUE"""),"NW3_KA04A3043_JETTING")</f>
        <v>NW3_KA04A3043_JETTING</v>
      </c>
      <c r="C1211" s="1" t="str">
        <f ca="1">IFERROR(__xludf.DUMMYFUNCTION("""COMPUTED_VALUE"""),"nw3_ka04a3043_jetting")</f>
        <v>nw3_ka04a3043_jetting</v>
      </c>
      <c r="D1211" s="2">
        <f ca="1">IFERROR(__xludf.DUMMYFUNCTION("""COMPUTED_VALUE"""),41640)</f>
        <v>41640</v>
      </c>
      <c r="E1211" s="3">
        <f ca="1">IFERROR(__xludf.DUMMYFUNCTION("""COMPUTED_VALUE"""),0.22976851851854)</f>
        <v>0.22976851851853999</v>
      </c>
      <c r="F1211" s="1">
        <f ca="1">IFERROR(__xludf.DUMMYFUNCTION("""COMPUTED_VALUE"""),21623)</f>
        <v>21623</v>
      </c>
      <c r="G1211" s="1"/>
      <c r="H1211" s="1"/>
      <c r="I1211" s="1"/>
      <c r="J1211" s="1" t="str">
        <f ca="1">IFERROR(__xludf.DUMMYFUNCTION("""COMPUTED_VALUE"""),"16d 22h 25m")</f>
        <v>16d 22h 25m</v>
      </c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13.2">
      <c r="A1212" s="1">
        <f ca="1">IFERROR(__xludf.DUMMYFUNCTION("""COMPUTED_VALUE"""),22)</f>
        <v>22</v>
      </c>
      <c r="B1212" s="1" t="str">
        <f ca="1">IFERROR(__xludf.DUMMYFUNCTION("""COMPUTED_VALUE"""),"NW3_KA04A3043_JETTING")</f>
        <v>NW3_KA04A3043_JETTING</v>
      </c>
      <c r="C1212" s="1" t="str">
        <f ca="1">IFERROR(__xludf.DUMMYFUNCTION("""COMPUTED_VALUE"""),"nw3_ka04a3043_jetting")</f>
        <v>nw3_ka04a3043_jetting</v>
      </c>
      <c r="D1212" s="2">
        <f ca="1">IFERROR(__xludf.DUMMYFUNCTION("""COMPUTED_VALUE"""),41640)</f>
        <v>41640</v>
      </c>
      <c r="E1212" s="3">
        <f ca="1">IFERROR(__xludf.DUMMYFUNCTION("""COMPUTED_VALUE"""),0.22976851851854)</f>
        <v>0.22976851851853999</v>
      </c>
      <c r="F1212" s="1">
        <f ca="1">IFERROR(__xludf.DUMMYFUNCTION("""COMPUTED_VALUE"""),21623)</f>
        <v>21623</v>
      </c>
      <c r="G1212" s="1"/>
      <c r="H1212" s="1"/>
      <c r="I1212" s="1"/>
      <c r="J1212" s="1" t="str">
        <f ca="1">IFERROR(__xludf.DUMMYFUNCTION("""COMPUTED_VALUE"""),"16d 22h 26m")</f>
        <v>16d 22h 26m</v>
      </c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13.2">
      <c r="A1213" s="1">
        <f ca="1">IFERROR(__xludf.DUMMYFUNCTION("""COMPUTED_VALUE"""),136)</f>
        <v>136</v>
      </c>
      <c r="B1213" s="1" t="str">
        <f ca="1">IFERROR(__xludf.DUMMYFUNCTION("""COMPUTED_VALUE"""),"NW3_KA04AA7686_Desilting")</f>
        <v>NW3_KA04AA7686_Desilting</v>
      </c>
      <c r="C1213" s="1" t="str">
        <f ca="1">IFERROR(__xludf.DUMMYFUNCTION("""COMPUTED_VALUE"""),"nw3_ka04aa7686_desilting")</f>
        <v>nw3_ka04aa7686_desilting</v>
      </c>
      <c r="D1213" s="2">
        <f ca="1">IFERROR(__xludf.DUMMYFUNCTION("""COMPUTED_VALUE"""),44707)</f>
        <v>44707</v>
      </c>
      <c r="E1213" s="3">
        <f ca="1">IFERROR(__xludf.DUMMYFUNCTION("""COMPUTED_VALUE"""),0.71084490740759)</f>
        <v>0.71084490740758999</v>
      </c>
      <c r="F1213" s="1">
        <f ca="1">IFERROR(__xludf.DUMMYFUNCTION("""COMPUTED_VALUE"""),14844)</f>
        <v>14844</v>
      </c>
      <c r="G1213" s="1" t="str">
        <f ca="1">IFERROR(__xludf.DUMMYFUNCTION("""COMPUTED_VALUE"""),"13.0328/77.5183")</f>
        <v>13.0328/77.5183</v>
      </c>
      <c r="H1213" s="1" t="str">
        <f ca="1">IFERROR(__xludf.DUMMYFUNCTION("""COMPUTED_VALUE"""),"Choksandra")</f>
        <v>Choksandra</v>
      </c>
      <c r="I1213" s="1"/>
      <c r="J1213" s="1" t="str">
        <f ca="1">IFERROR(__xludf.DUMMYFUNCTION("""COMPUTED_VALUE"""),"1d 14h 22m")</f>
        <v>1d 14h 22m</v>
      </c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13.2">
      <c r="A1214" s="1">
        <f ca="1">IFERROR(__xludf.DUMMYFUNCTION("""COMPUTED_VALUE"""),127)</f>
        <v>127</v>
      </c>
      <c r="B1214" s="1" t="str">
        <f ca="1">IFERROR(__xludf.DUMMYFUNCTION("""COMPUTED_VALUE"""),"NW3_KA04AA7686_Desilting")</f>
        <v>NW3_KA04AA7686_Desilting</v>
      </c>
      <c r="C1214" s="1" t="str">
        <f ca="1">IFERROR(__xludf.DUMMYFUNCTION("""COMPUTED_VALUE"""),"nw3_ka04aa7686_desilting")</f>
        <v>nw3_ka04aa7686_desilting</v>
      </c>
      <c r="D1214" s="2">
        <f ca="1">IFERROR(__xludf.DUMMYFUNCTION("""COMPUTED_VALUE"""),44737)</f>
        <v>44737</v>
      </c>
      <c r="E1214" s="3">
        <f ca="1">IFERROR(__xludf.DUMMYFUNCTION("""COMPUTED_VALUE"""),0.584988425925985)</f>
        <v>0.58498842592598499</v>
      </c>
      <c r="F1214" s="1">
        <f ca="1">IFERROR(__xludf.DUMMYFUNCTION("""COMPUTED_VALUE"""),15129)</f>
        <v>15129</v>
      </c>
      <c r="G1214" s="1" t="str">
        <f ca="1">IFERROR(__xludf.DUMMYFUNCTION("""COMPUTED_VALUE"""),"13.0328/77.5183")</f>
        <v>13.0328/77.5183</v>
      </c>
      <c r="H1214" s="1" t="str">
        <f ca="1">IFERROR(__xludf.DUMMYFUNCTION("""COMPUTED_VALUE"""),"Choksandra")</f>
        <v>Choksandra</v>
      </c>
      <c r="I1214" s="1"/>
      <c r="J1214" s="1" t="str">
        <f ca="1">IFERROR(__xludf.DUMMYFUNCTION("""COMPUTED_VALUE"""),"1d 14h 23m")</f>
        <v>1d 14h 23m</v>
      </c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13.2">
      <c r="A1215" s="1">
        <f ca="1">IFERROR(__xludf.DUMMYFUNCTION("""COMPUTED_VALUE"""),150)</f>
        <v>150</v>
      </c>
      <c r="B1215" s="1" t="str">
        <f ca="1">IFERROR(__xludf.DUMMYFUNCTION("""COMPUTED_VALUE"""),"NW3_KA04AA7686_Desilting")</f>
        <v>NW3_KA04AA7686_Desilting</v>
      </c>
      <c r="C1215" s="1" t="str">
        <f ca="1">IFERROR(__xludf.DUMMYFUNCTION("""COMPUTED_VALUE"""),"nw3_ka04aa7686_desilting")</f>
        <v>nw3_ka04aa7686_desilting</v>
      </c>
      <c r="D1215" s="2">
        <f ca="1">IFERROR(__xludf.DUMMYFUNCTION("""COMPUTED_VALUE"""),44768)</f>
        <v>44768</v>
      </c>
      <c r="E1215" s="3">
        <f ca="1">IFERROR(__xludf.DUMMYFUNCTION("""COMPUTED_VALUE"""),0.746759259258396)</f>
        <v>0.74675925925839604</v>
      </c>
      <c r="F1215" s="1">
        <f ca="1">IFERROR(__xludf.DUMMYFUNCTION("""COMPUTED_VALUE"""),15365)</f>
        <v>15365</v>
      </c>
      <c r="G1215" s="1" t="str">
        <f ca="1">IFERROR(__xludf.DUMMYFUNCTION("""COMPUTED_VALUE"""),"13.0359/77.5181")</f>
        <v>13.0359/77.5181</v>
      </c>
      <c r="H1215" s="1" t="str">
        <f ca="1">IFERROR(__xludf.DUMMYFUNCTION("""COMPUTED_VALUE"""),"Chokkasandra")</f>
        <v>Chokkasandra</v>
      </c>
      <c r="I1215" s="1"/>
      <c r="J1215" s="1" t="str">
        <f ca="1">IFERROR(__xludf.DUMMYFUNCTION("""COMPUTED_VALUE"""),"1d 14h 24m")</f>
        <v>1d 14h 24m</v>
      </c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13.2">
      <c r="A1216" s="1">
        <f ca="1">IFERROR(__xludf.DUMMYFUNCTION("""COMPUTED_VALUE"""),157)</f>
        <v>157</v>
      </c>
      <c r="B1216" s="1" t="str">
        <f ca="1">IFERROR(__xludf.DUMMYFUNCTION("""COMPUTED_VALUE"""),"NW3_KA04AA7686_Desilting")</f>
        <v>NW3_KA04AA7686_Desilting</v>
      </c>
      <c r="C1216" s="1" t="str">
        <f ca="1">IFERROR(__xludf.DUMMYFUNCTION("""COMPUTED_VALUE"""),"nw3_ka04aa7686_desilting")</f>
        <v>nw3_ka04aa7686_desilting</v>
      </c>
      <c r="D1216" s="2">
        <f ca="1">IFERROR(__xludf.DUMMYFUNCTION("""COMPUTED_VALUE"""),44799)</f>
        <v>44799</v>
      </c>
      <c r="E1216" s="3">
        <f ca="1">IFERROR(__xludf.DUMMYFUNCTION("""COMPUTED_VALUE"""),0.761527777776791)</f>
        <v>0.76152777777679104</v>
      </c>
      <c r="F1216" s="1">
        <f ca="1">IFERROR(__xludf.DUMMYFUNCTION("""COMPUTED_VALUE"""),15595)</f>
        <v>15595</v>
      </c>
      <c r="G1216" s="1" t="str">
        <f ca="1">IFERROR(__xludf.DUMMYFUNCTION("""COMPUTED_VALUE"""),"13.0328/77.5183")</f>
        <v>13.0328/77.5183</v>
      </c>
      <c r="H1216" s="1" t="str">
        <f ca="1">IFERROR(__xludf.DUMMYFUNCTION("""COMPUTED_VALUE"""),"Choksandra")</f>
        <v>Choksandra</v>
      </c>
      <c r="I1216" s="1"/>
      <c r="J1216" s="1" t="str">
        <f ca="1">IFERROR(__xludf.DUMMYFUNCTION("""COMPUTED_VALUE"""),"1d 14h 25m")</f>
        <v>1d 14h 25m</v>
      </c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13.2">
      <c r="A1217" s="1">
        <f ca="1">IFERROR(__xludf.DUMMYFUNCTION("""COMPUTED_VALUE"""),149)</f>
        <v>149</v>
      </c>
      <c r="B1217" s="1" t="str">
        <f ca="1">IFERROR(__xludf.DUMMYFUNCTION("""COMPUTED_VALUE"""),"NW3_KA04AA7686_Desilting")</f>
        <v>NW3_KA04AA7686_Desilting</v>
      </c>
      <c r="C1217" s="1" t="str">
        <f ca="1">IFERROR(__xludf.DUMMYFUNCTION("""COMPUTED_VALUE"""),"nw3_ka04aa7686_desilting")</f>
        <v>nw3_ka04aa7686_desilting</v>
      </c>
      <c r="D1217" s="2">
        <f ca="1">IFERROR(__xludf.DUMMYFUNCTION("""COMPUTED_VALUE"""),44830)</f>
        <v>44830</v>
      </c>
      <c r="E1217" s="3">
        <f ca="1">IFERROR(__xludf.DUMMYFUNCTION("""COMPUTED_VALUE"""),0.680266203704377)</f>
        <v>0.68026620370437696</v>
      </c>
      <c r="F1217" s="1">
        <f ca="1">IFERROR(__xludf.DUMMYFUNCTION("""COMPUTED_VALUE"""),15861)</f>
        <v>15861</v>
      </c>
      <c r="G1217" s="1" t="str">
        <f ca="1">IFERROR(__xludf.DUMMYFUNCTION("""COMPUTED_VALUE"""),"13.0328/77.5183")</f>
        <v>13.0328/77.5183</v>
      </c>
      <c r="H1217" s="1" t="str">
        <f ca="1">IFERROR(__xludf.DUMMYFUNCTION("""COMPUTED_VALUE"""),"Choksandra")</f>
        <v>Choksandra</v>
      </c>
      <c r="I1217" s="1"/>
      <c r="J1217" s="1" t="str">
        <f ca="1">IFERROR(__xludf.DUMMYFUNCTION("""COMPUTED_VALUE"""),"1d 14h 26m")</f>
        <v>1d 14h 26m</v>
      </c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13.2">
      <c r="A1218" s="1">
        <f ca="1">IFERROR(__xludf.DUMMYFUNCTION("""COMPUTED_VALUE"""),134)</f>
        <v>134</v>
      </c>
      <c r="B1218" s="1" t="str">
        <f ca="1">IFERROR(__xludf.DUMMYFUNCTION("""COMPUTED_VALUE"""),"NW3_KA04AA7686_Desilting")</f>
        <v>NW3_KA04AA7686_Desilting</v>
      </c>
      <c r="C1218" s="1" t="str">
        <f ca="1">IFERROR(__xludf.DUMMYFUNCTION("""COMPUTED_VALUE"""),"nw3_ka04aa7686_desilting")</f>
        <v>nw3_ka04aa7686_desilting</v>
      </c>
      <c r="D1218" s="2">
        <f ca="1">IFERROR(__xludf.DUMMYFUNCTION("""COMPUTED_VALUE"""),44860)</f>
        <v>44860</v>
      </c>
      <c r="E1218" s="3">
        <f ca="1">IFERROR(__xludf.DUMMYFUNCTION("""COMPUTED_VALUE"""),0.579074074074014)</f>
        <v>0.57907407407401401</v>
      </c>
      <c r="F1218" s="1">
        <f ca="1">IFERROR(__xludf.DUMMYFUNCTION("""COMPUTED_VALUE"""),16087)</f>
        <v>16087</v>
      </c>
      <c r="G1218" s="1" t="str">
        <f ca="1">IFERROR(__xludf.DUMMYFUNCTION("""COMPUTED_VALUE"""),"13.0328/77.5183")</f>
        <v>13.0328/77.5183</v>
      </c>
      <c r="H1218" s="1" t="str">
        <f ca="1">IFERROR(__xludf.DUMMYFUNCTION("""COMPUTED_VALUE"""),"Choksandra")</f>
        <v>Choksandra</v>
      </c>
      <c r="I1218" s="1"/>
      <c r="J1218" s="1" t="str">
        <f ca="1">IFERROR(__xludf.DUMMYFUNCTION("""COMPUTED_VALUE"""),"1d 14h 27m")</f>
        <v>1d 14h 27m</v>
      </c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13.2">
      <c r="A1219" s="1">
        <f ca="1">IFERROR(__xludf.DUMMYFUNCTION("""COMPUTED_VALUE"""),114)</f>
        <v>114</v>
      </c>
      <c r="B1219" s="1" t="str">
        <f ca="1">IFERROR(__xludf.DUMMYFUNCTION("""COMPUTED_VALUE"""),"NW3_KA04AB6025_JETTING")</f>
        <v>NW3_KA04AB6025_JETTING</v>
      </c>
      <c r="C1219" s="1" t="str">
        <f ca="1">IFERROR(__xludf.DUMMYFUNCTION("""COMPUTED_VALUE"""),"nw3_ka04ab6025_jetting")</f>
        <v>nw3_ka04ab6025_jetting</v>
      </c>
      <c r="D1219" s="2">
        <f ca="1">IFERROR(__xludf.DUMMYFUNCTION("""COMPUTED_VALUE"""),43868)</f>
        <v>43868</v>
      </c>
      <c r="E1219" s="3">
        <f ca="1">IFERROR(__xludf.DUMMYFUNCTION("""COMPUTED_VALUE"""),0.253460648149484)</f>
        <v>0.25346064814948399</v>
      </c>
      <c r="F1219" s="1">
        <f ca="1">IFERROR(__xludf.DUMMYFUNCTION("""COMPUTED_VALUE"""),1609344)</f>
        <v>1609344</v>
      </c>
      <c r="G1219" s="1" t="str">
        <f ca="1">IFERROR(__xludf.DUMMYFUNCTION("""COMPUTED_VALUE"""),"13.0620/77.5044")</f>
        <v>13.0620/77.5044</v>
      </c>
      <c r="H1219" s="1" t="str">
        <f ca="1">IFERROR(__xludf.DUMMYFUNCTION("""COMPUTED_VALUE"""),"Bagalkunti")</f>
        <v>Bagalkunti</v>
      </c>
      <c r="I1219" s="1"/>
      <c r="J1219" s="1" t="str">
        <f ca="1">IFERROR(__xludf.DUMMYFUNCTION("""COMPUTED_VALUE"""),"0d 00h 00m")</f>
        <v>0d 00h 00m</v>
      </c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13.2">
      <c r="A1220" s="1">
        <f ca="1">IFERROR(__xludf.DUMMYFUNCTION("""COMPUTED_VALUE"""),114)</f>
        <v>114</v>
      </c>
      <c r="B1220" s="1" t="str">
        <f ca="1">IFERROR(__xludf.DUMMYFUNCTION("""COMPUTED_VALUE"""),"NW3_KA04AB6025_JETTING")</f>
        <v>NW3_KA04AB6025_JETTING</v>
      </c>
      <c r="C1220" s="1" t="str">
        <f ca="1">IFERROR(__xludf.DUMMYFUNCTION("""COMPUTED_VALUE"""),"nw3_ka04ab6025_jetting")</f>
        <v>nw3_ka04ab6025_jetting</v>
      </c>
      <c r="D1220" s="2">
        <f ca="1">IFERROR(__xludf.DUMMYFUNCTION("""COMPUTED_VALUE"""),43868)</f>
        <v>43868</v>
      </c>
      <c r="E1220" s="3">
        <f ca="1">IFERROR(__xludf.DUMMYFUNCTION("""COMPUTED_VALUE"""),0.253460648149484)</f>
        <v>0.25346064814948399</v>
      </c>
      <c r="F1220" s="1">
        <f ca="1">IFERROR(__xludf.DUMMYFUNCTION("""COMPUTED_VALUE"""),1609344)</f>
        <v>1609344</v>
      </c>
      <c r="G1220" s="1" t="str">
        <f ca="1">IFERROR(__xludf.DUMMYFUNCTION("""COMPUTED_VALUE"""),"13.0620/77.5044")</f>
        <v>13.0620/77.5044</v>
      </c>
      <c r="H1220" s="1" t="str">
        <f ca="1">IFERROR(__xludf.DUMMYFUNCTION("""COMPUTED_VALUE"""),"Bagalkunti")</f>
        <v>Bagalkunti</v>
      </c>
      <c r="I1220" s="1"/>
      <c r="J1220" s="1" t="str">
        <f ca="1">IFERROR(__xludf.DUMMYFUNCTION("""COMPUTED_VALUE"""),"0d 00h 00m")</f>
        <v>0d 00h 00m</v>
      </c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13.2">
      <c r="A1221" s="1">
        <f ca="1">IFERROR(__xludf.DUMMYFUNCTION("""COMPUTED_VALUE"""),111)</f>
        <v>111</v>
      </c>
      <c r="B1221" s="1" t="str">
        <f ca="1">IFERROR(__xludf.DUMMYFUNCTION("""COMPUTED_VALUE"""),"NW3_KA04AB6025_JETTING")</f>
        <v>NW3_KA04AB6025_JETTING</v>
      </c>
      <c r="C1221" s="1" t="str">
        <f ca="1">IFERROR(__xludf.DUMMYFUNCTION("""COMPUTED_VALUE"""),"nw3_ka04ab6025_jetting")</f>
        <v>nw3_ka04ab6025_jetting</v>
      </c>
      <c r="D1221" s="2">
        <f ca="1">IFERROR(__xludf.DUMMYFUNCTION("""COMPUTED_VALUE"""),43868)</f>
        <v>43868</v>
      </c>
      <c r="E1221" s="3">
        <f ca="1">IFERROR(__xludf.DUMMYFUNCTION("""COMPUTED_VALUE"""),0.253460648149484)</f>
        <v>0.25346064814948399</v>
      </c>
      <c r="F1221" s="1">
        <f ca="1">IFERROR(__xludf.DUMMYFUNCTION("""COMPUTED_VALUE"""),1609344)</f>
        <v>1609344</v>
      </c>
      <c r="G1221" s="1" t="str">
        <f ca="1">IFERROR(__xludf.DUMMYFUNCTION("""COMPUTED_VALUE"""),"13.0620/77.5044")</f>
        <v>13.0620/77.5044</v>
      </c>
      <c r="H1221" s="1" t="str">
        <f ca="1">IFERROR(__xludf.DUMMYFUNCTION("""COMPUTED_VALUE"""),"Bagalkunti")</f>
        <v>Bagalkunti</v>
      </c>
      <c r="I1221" s="1"/>
      <c r="J1221" s="1" t="str">
        <f ca="1">IFERROR(__xludf.DUMMYFUNCTION("""COMPUTED_VALUE"""),"0d 00h 00m")</f>
        <v>0d 00h 00m</v>
      </c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13.2">
      <c r="A1222" s="1">
        <f ca="1">IFERROR(__xludf.DUMMYFUNCTION("""COMPUTED_VALUE"""),111)</f>
        <v>111</v>
      </c>
      <c r="B1222" s="1" t="str">
        <f ca="1">IFERROR(__xludf.DUMMYFUNCTION("""COMPUTED_VALUE"""),"NW3_KA04AB6025_JETTING")</f>
        <v>NW3_KA04AB6025_JETTING</v>
      </c>
      <c r="C1222" s="1" t="str">
        <f ca="1">IFERROR(__xludf.DUMMYFUNCTION("""COMPUTED_VALUE"""),"nw3_ka04ab6025_jetting")</f>
        <v>nw3_ka04ab6025_jetting</v>
      </c>
      <c r="D1222" s="2">
        <f ca="1">IFERROR(__xludf.DUMMYFUNCTION("""COMPUTED_VALUE"""),43868)</f>
        <v>43868</v>
      </c>
      <c r="E1222" s="3">
        <f ca="1">IFERROR(__xludf.DUMMYFUNCTION("""COMPUTED_VALUE"""),0.253460648149484)</f>
        <v>0.25346064814948399</v>
      </c>
      <c r="F1222" s="1">
        <f ca="1">IFERROR(__xludf.DUMMYFUNCTION("""COMPUTED_VALUE"""),1609344)</f>
        <v>1609344</v>
      </c>
      <c r="G1222" s="1" t="str">
        <f ca="1">IFERROR(__xludf.DUMMYFUNCTION("""COMPUTED_VALUE"""),"13.0620/77.5044")</f>
        <v>13.0620/77.5044</v>
      </c>
      <c r="H1222" s="1" t="str">
        <f ca="1">IFERROR(__xludf.DUMMYFUNCTION("""COMPUTED_VALUE"""),"Bagalkunti")</f>
        <v>Bagalkunti</v>
      </c>
      <c r="I1222" s="1"/>
      <c r="J1222" s="1" t="str">
        <f ca="1">IFERROR(__xludf.DUMMYFUNCTION("""COMPUTED_VALUE"""),"0d 00h 00m")</f>
        <v>0d 00h 00m</v>
      </c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13.2">
      <c r="A1223" s="1">
        <f ca="1">IFERROR(__xludf.DUMMYFUNCTION("""COMPUTED_VALUE"""),111)</f>
        <v>111</v>
      </c>
      <c r="B1223" s="1" t="str">
        <f ca="1">IFERROR(__xludf.DUMMYFUNCTION("""COMPUTED_VALUE"""),"NW3_KA04AB6025_JETTING")</f>
        <v>NW3_KA04AB6025_JETTING</v>
      </c>
      <c r="C1223" s="1" t="str">
        <f ca="1">IFERROR(__xludf.DUMMYFUNCTION("""COMPUTED_VALUE"""),"nw3_ka04ab6025_jetting")</f>
        <v>nw3_ka04ab6025_jetting</v>
      </c>
      <c r="D1223" s="2">
        <f ca="1">IFERROR(__xludf.DUMMYFUNCTION("""COMPUTED_VALUE"""),43868)</f>
        <v>43868</v>
      </c>
      <c r="E1223" s="3">
        <f ca="1">IFERROR(__xludf.DUMMYFUNCTION("""COMPUTED_VALUE"""),0.253460648149484)</f>
        <v>0.25346064814948399</v>
      </c>
      <c r="F1223" s="1">
        <f ca="1">IFERROR(__xludf.DUMMYFUNCTION("""COMPUTED_VALUE"""),1609344)</f>
        <v>1609344</v>
      </c>
      <c r="G1223" s="1" t="str">
        <f ca="1">IFERROR(__xludf.DUMMYFUNCTION("""COMPUTED_VALUE"""),"13.0620/77.5044")</f>
        <v>13.0620/77.5044</v>
      </c>
      <c r="H1223" s="1" t="str">
        <f ca="1">IFERROR(__xludf.DUMMYFUNCTION("""COMPUTED_VALUE"""),"Bagalkunti")</f>
        <v>Bagalkunti</v>
      </c>
      <c r="I1223" s="1"/>
      <c r="J1223" s="1" t="str">
        <f ca="1">IFERROR(__xludf.DUMMYFUNCTION("""COMPUTED_VALUE"""),"0d 00h 00m")</f>
        <v>0d 00h 00m</v>
      </c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13.2">
      <c r="A1224" s="1">
        <f ca="1">IFERROR(__xludf.DUMMYFUNCTION("""COMPUTED_VALUE"""),111)</f>
        <v>111</v>
      </c>
      <c r="B1224" s="1" t="str">
        <f ca="1">IFERROR(__xludf.DUMMYFUNCTION("""COMPUTED_VALUE"""),"NW3_KA04AB6025_JETTING")</f>
        <v>NW3_KA04AB6025_JETTING</v>
      </c>
      <c r="C1224" s="1" t="str">
        <f ca="1">IFERROR(__xludf.DUMMYFUNCTION("""COMPUTED_VALUE"""),"nw3_ka04ab6025_jetting")</f>
        <v>nw3_ka04ab6025_jetting</v>
      </c>
      <c r="D1224" s="2">
        <f ca="1">IFERROR(__xludf.DUMMYFUNCTION("""COMPUTED_VALUE"""),43868)</f>
        <v>43868</v>
      </c>
      <c r="E1224" s="3">
        <f ca="1">IFERROR(__xludf.DUMMYFUNCTION("""COMPUTED_VALUE"""),0.253460648149484)</f>
        <v>0.25346064814948399</v>
      </c>
      <c r="F1224" s="1">
        <f ca="1">IFERROR(__xludf.DUMMYFUNCTION("""COMPUTED_VALUE"""),1609344)</f>
        <v>1609344</v>
      </c>
      <c r="G1224" s="1" t="str">
        <f ca="1">IFERROR(__xludf.DUMMYFUNCTION("""COMPUTED_VALUE"""),"13.0620/77.5044")</f>
        <v>13.0620/77.5044</v>
      </c>
      <c r="H1224" s="1" t="str">
        <f ca="1">IFERROR(__xludf.DUMMYFUNCTION("""COMPUTED_VALUE"""),"Bagalkunti")</f>
        <v>Bagalkunti</v>
      </c>
      <c r="I1224" s="1"/>
      <c r="J1224" s="1" t="str">
        <f ca="1">IFERROR(__xludf.DUMMYFUNCTION("""COMPUTED_VALUE"""),"0d 00h 00m")</f>
        <v>0d 00h 00m</v>
      </c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13.2">
      <c r="A1225" s="1">
        <f ca="1">IFERROR(__xludf.DUMMYFUNCTION("""COMPUTED_VALUE"""),111)</f>
        <v>111</v>
      </c>
      <c r="B1225" s="1" t="str">
        <f ca="1">IFERROR(__xludf.DUMMYFUNCTION("""COMPUTED_VALUE"""),"NW3_KA04AB6025_JETTING")</f>
        <v>NW3_KA04AB6025_JETTING</v>
      </c>
      <c r="C1225" s="1" t="str">
        <f ca="1">IFERROR(__xludf.DUMMYFUNCTION("""COMPUTED_VALUE"""),"nw3_ka04ab6025_jetting")</f>
        <v>nw3_ka04ab6025_jetting</v>
      </c>
      <c r="D1225" s="2">
        <f ca="1">IFERROR(__xludf.DUMMYFUNCTION("""COMPUTED_VALUE"""),43868)</f>
        <v>43868</v>
      </c>
      <c r="E1225" s="3">
        <f ca="1">IFERROR(__xludf.DUMMYFUNCTION("""COMPUTED_VALUE"""),0.253460648149484)</f>
        <v>0.25346064814948399</v>
      </c>
      <c r="F1225" s="1">
        <f ca="1">IFERROR(__xludf.DUMMYFUNCTION("""COMPUTED_VALUE"""),1609344)</f>
        <v>1609344</v>
      </c>
      <c r="G1225" s="1" t="str">
        <f ca="1">IFERROR(__xludf.DUMMYFUNCTION("""COMPUTED_VALUE"""),"13.0620/77.5044")</f>
        <v>13.0620/77.5044</v>
      </c>
      <c r="H1225" s="1" t="str">
        <f ca="1">IFERROR(__xludf.DUMMYFUNCTION("""COMPUTED_VALUE"""),"Bagalkunti")</f>
        <v>Bagalkunti</v>
      </c>
      <c r="I1225" s="1"/>
      <c r="J1225" s="1" t="str">
        <f ca="1">IFERROR(__xludf.DUMMYFUNCTION("""COMPUTED_VALUE"""),"0d 00h 00m")</f>
        <v>0d 00h 00m</v>
      </c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13.2">
      <c r="A1226" s="1">
        <f ca="1">IFERROR(__xludf.DUMMYFUNCTION("""COMPUTED_VALUE"""),162)</f>
        <v>162</v>
      </c>
      <c r="B1226" s="1" t="str">
        <f ca="1">IFERROR(__xludf.DUMMYFUNCTION("""COMPUTED_VALUE"""),"NW3_KA04AB6028_Jetting")</f>
        <v>NW3_KA04AB6028_Jetting</v>
      </c>
      <c r="C1226" s="1" t="str">
        <f ca="1">IFERROR(__xludf.DUMMYFUNCTION("""COMPUTED_VALUE"""),"nw3_ka04ab6028_jetting")</f>
        <v>nw3_ka04ab6028_jetting</v>
      </c>
      <c r="D1226" s="2">
        <f ca="1">IFERROR(__xludf.DUMMYFUNCTION("""COMPUTED_VALUE"""),44707)</f>
        <v>44707</v>
      </c>
      <c r="E1226" s="3">
        <f ca="1">IFERROR(__xludf.DUMMYFUNCTION("""COMPUTED_VALUE"""),0.99900462962978)</f>
        <v>0.99900462962977998</v>
      </c>
      <c r="F1226" s="1">
        <f ca="1">IFERROR(__xludf.DUMMYFUNCTION("""COMPUTED_VALUE"""),15727)</f>
        <v>15727</v>
      </c>
      <c r="G1226" s="1" t="str">
        <f ca="1">IFERROR(__xludf.DUMMYFUNCTION("""COMPUTED_VALUE"""),"13.0329/77.5181")</f>
        <v>13.0329/77.5181</v>
      </c>
      <c r="H1226" s="1" t="str">
        <f ca="1">IFERROR(__xludf.DUMMYFUNCTION("""COMPUTED_VALUE"""),"Choksandra")</f>
        <v>Choksandra</v>
      </c>
      <c r="I1226" s="1"/>
      <c r="J1226" s="1" t="str">
        <f ca="1">IFERROR(__xludf.DUMMYFUNCTION("""COMPUTED_VALUE"""),"25d 17h 11m")</f>
        <v>25d 17h 11m</v>
      </c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13.2">
      <c r="A1227" s="1">
        <f ca="1">IFERROR(__xludf.DUMMYFUNCTION("""COMPUTED_VALUE"""),217)</f>
        <v>217</v>
      </c>
      <c r="B1227" s="1" t="str">
        <f ca="1">IFERROR(__xludf.DUMMYFUNCTION("""COMPUTED_VALUE"""),"NW3_KA04AB6028_Jetting")</f>
        <v>NW3_KA04AB6028_Jetting</v>
      </c>
      <c r="C1227" s="1" t="str">
        <f ca="1">IFERROR(__xludf.DUMMYFUNCTION("""COMPUTED_VALUE"""),"nw3_ka04ab6028_jetting")</f>
        <v>nw3_ka04ab6028_jetting</v>
      </c>
      <c r="D1227" s="2">
        <f ca="1">IFERROR(__xludf.DUMMYFUNCTION("""COMPUTED_VALUE"""),44738)</f>
        <v>44738</v>
      </c>
      <c r="E1227" s="3">
        <f ca="1">IFERROR(__xludf.DUMMYFUNCTION("""COMPUTED_VALUE"""),0.999224537037662)</f>
        <v>0.99922453703766201</v>
      </c>
      <c r="F1227" s="1">
        <f ca="1">IFERROR(__xludf.DUMMYFUNCTION("""COMPUTED_VALUE"""),16306)</f>
        <v>16306</v>
      </c>
      <c r="G1227" s="1" t="str">
        <f ca="1">IFERROR(__xludf.DUMMYFUNCTION("""COMPUTED_VALUE"""),"13.0329/77.5181")</f>
        <v>13.0329/77.5181</v>
      </c>
      <c r="H1227" s="1" t="str">
        <f ca="1">IFERROR(__xludf.DUMMYFUNCTION("""COMPUTED_VALUE"""),"Choksandra")</f>
        <v>Choksandra</v>
      </c>
      <c r="I1227" s="1"/>
      <c r="J1227" s="1" t="str">
        <f ca="1">IFERROR(__xludf.DUMMYFUNCTION("""COMPUTED_VALUE"""),"25d 17h 12m")</f>
        <v>25d 17h 12m</v>
      </c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13.2">
      <c r="A1228" s="1">
        <f ca="1">IFERROR(__xludf.DUMMYFUNCTION("""COMPUTED_VALUE"""),206)</f>
        <v>206</v>
      </c>
      <c r="B1228" s="1" t="str">
        <f ca="1">IFERROR(__xludf.DUMMYFUNCTION("""COMPUTED_VALUE"""),"NW3_KA04AB6028_Jetting")</f>
        <v>NW3_KA04AB6028_Jetting</v>
      </c>
      <c r="C1228" s="1" t="str">
        <f ca="1">IFERROR(__xludf.DUMMYFUNCTION("""COMPUTED_VALUE"""),"nw3_ka04ab6028_jetting")</f>
        <v>nw3_ka04ab6028_jetting</v>
      </c>
      <c r="D1228" s="2">
        <f ca="1">IFERROR(__xludf.DUMMYFUNCTION("""COMPUTED_VALUE"""),44768)</f>
        <v>44768</v>
      </c>
      <c r="E1228" s="3">
        <f ca="1">IFERROR(__xludf.DUMMYFUNCTION("""COMPUTED_VALUE"""),0.999155092591536)</f>
        <v>0.99915509259153601</v>
      </c>
      <c r="F1228" s="1">
        <f ca="1">IFERROR(__xludf.DUMMYFUNCTION("""COMPUTED_VALUE"""),16784)</f>
        <v>16784</v>
      </c>
      <c r="G1228" s="1" t="str">
        <f ca="1">IFERROR(__xludf.DUMMYFUNCTION("""COMPUTED_VALUE"""),"13.0328/77.5182")</f>
        <v>13.0328/77.5182</v>
      </c>
      <c r="H1228" s="1" t="str">
        <f ca="1">IFERROR(__xludf.DUMMYFUNCTION("""COMPUTED_VALUE"""),"Choksandra")</f>
        <v>Choksandra</v>
      </c>
      <c r="I1228" s="1"/>
      <c r="J1228" s="1" t="str">
        <f ca="1">IFERROR(__xludf.DUMMYFUNCTION("""COMPUTED_VALUE"""),"25d 17h 13m")</f>
        <v>25d 17h 13m</v>
      </c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13.2">
      <c r="A1229" s="1">
        <f ca="1">IFERROR(__xludf.DUMMYFUNCTION("""COMPUTED_VALUE"""),178)</f>
        <v>178</v>
      </c>
      <c r="B1229" s="1" t="str">
        <f ca="1">IFERROR(__xludf.DUMMYFUNCTION("""COMPUTED_VALUE"""),"NW3_KA04AB6028_Jetting")</f>
        <v>NW3_KA04AB6028_Jetting</v>
      </c>
      <c r="C1229" s="1" t="str">
        <f ca="1">IFERROR(__xludf.DUMMYFUNCTION("""COMPUTED_VALUE"""),"nw3_ka04ab6028_jetting")</f>
        <v>nw3_ka04ab6028_jetting</v>
      </c>
      <c r="D1229" s="2">
        <f ca="1">IFERROR(__xludf.DUMMYFUNCTION("""COMPUTED_VALUE"""),44799)</f>
        <v>44799</v>
      </c>
      <c r="E1229" s="3">
        <f ca="1">IFERROR(__xludf.DUMMYFUNCTION("""COMPUTED_VALUE"""),0.999016203702922)</f>
        <v>0.99901620370292199</v>
      </c>
      <c r="F1229" s="1">
        <f ca="1">IFERROR(__xludf.DUMMYFUNCTION("""COMPUTED_VALUE"""),21547)</f>
        <v>21547</v>
      </c>
      <c r="G1229" s="1" t="str">
        <f ca="1">IFERROR(__xludf.DUMMYFUNCTION("""COMPUTED_VALUE"""),"13.0328/77.5181")</f>
        <v>13.0328/77.5181</v>
      </c>
      <c r="H1229" s="1" t="str">
        <f ca="1">IFERROR(__xludf.DUMMYFUNCTION("""COMPUTED_VALUE"""),"Choksandra")</f>
        <v>Choksandra</v>
      </c>
      <c r="I1229" s="1"/>
      <c r="J1229" s="1" t="str">
        <f ca="1">IFERROR(__xludf.DUMMYFUNCTION("""COMPUTED_VALUE"""),"25d 17h 13m")</f>
        <v>25d 17h 13m</v>
      </c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13.2">
      <c r="A1230" s="1">
        <f ca="1">IFERROR(__xludf.DUMMYFUNCTION("""COMPUTED_VALUE"""),194)</f>
        <v>194</v>
      </c>
      <c r="B1230" s="1" t="str">
        <f ca="1">IFERROR(__xludf.DUMMYFUNCTION("""COMPUTED_VALUE"""),"NW3_KA04AB6028_Jetting")</f>
        <v>NW3_KA04AB6028_Jetting</v>
      </c>
      <c r="C1230" s="1" t="str">
        <f ca="1">IFERROR(__xludf.DUMMYFUNCTION("""COMPUTED_VALUE"""),"nw3_ka04ab6028_jetting")</f>
        <v>nw3_ka04ab6028_jetting</v>
      </c>
      <c r="D1230" s="2">
        <f ca="1">IFERROR(__xludf.DUMMYFUNCTION("""COMPUTED_VALUE"""),44830)</f>
        <v>44830</v>
      </c>
      <c r="E1230" s="3">
        <f ca="1">IFERROR(__xludf.DUMMYFUNCTION("""COMPUTED_VALUE"""),0.999108796295331)</f>
        <v>0.999108796295331</v>
      </c>
      <c r="F1230" s="1">
        <f ca="1">IFERROR(__xludf.DUMMYFUNCTION("""COMPUTED_VALUE"""),22307)</f>
        <v>22307</v>
      </c>
      <c r="G1230" s="1" t="str">
        <f ca="1">IFERROR(__xludf.DUMMYFUNCTION("""COMPUTED_VALUE"""),"13.0327/77.5180")</f>
        <v>13.0327/77.5180</v>
      </c>
      <c r="H1230" s="1" t="str">
        <f ca="1">IFERROR(__xludf.DUMMYFUNCTION("""COMPUTED_VALUE"""),"Choksandra")</f>
        <v>Choksandra</v>
      </c>
      <c r="I1230" s="1"/>
      <c r="J1230" s="1" t="str">
        <f ca="1">IFERROR(__xludf.DUMMYFUNCTION("""COMPUTED_VALUE"""),"25d 17h 14m")</f>
        <v>25d 17h 14m</v>
      </c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13.2">
      <c r="A1231" s="1">
        <f ca="1">IFERROR(__xludf.DUMMYFUNCTION("""COMPUTED_VALUE"""),215)</f>
        <v>215</v>
      </c>
      <c r="B1231" s="1" t="str">
        <f ca="1">IFERROR(__xludf.DUMMYFUNCTION("""COMPUTED_VALUE"""),"NW3_KA04AB6028_Jetting")</f>
        <v>NW3_KA04AB6028_Jetting</v>
      </c>
      <c r="C1231" s="1" t="str">
        <f ca="1">IFERROR(__xludf.DUMMYFUNCTION("""COMPUTED_VALUE"""),"nw3_ka04ab6028_jetting")</f>
        <v>nw3_ka04ab6028_jetting</v>
      </c>
      <c r="D1231" s="2">
        <f ca="1">IFERROR(__xludf.DUMMYFUNCTION("""COMPUTED_VALUE"""),44860)</f>
        <v>44860</v>
      </c>
      <c r="E1231" s="3">
        <f ca="1">IFERROR(__xludf.DUMMYFUNCTION("""COMPUTED_VALUE"""),0.999224537037662)</f>
        <v>0.99922453703766201</v>
      </c>
      <c r="F1231" s="1">
        <f ca="1">IFERROR(__xludf.DUMMYFUNCTION("""COMPUTED_VALUE"""),22986)</f>
        <v>22986</v>
      </c>
      <c r="G1231" s="1" t="str">
        <f ca="1">IFERROR(__xludf.DUMMYFUNCTION("""COMPUTED_VALUE"""),"13.0326/77.5182")</f>
        <v>13.0326/77.5182</v>
      </c>
      <c r="H1231" s="1" t="str">
        <f ca="1">IFERROR(__xludf.DUMMYFUNCTION("""COMPUTED_VALUE"""),"Choksandra")</f>
        <v>Choksandra</v>
      </c>
      <c r="I1231" s="1"/>
      <c r="J1231" s="1" t="str">
        <f ca="1">IFERROR(__xludf.DUMMYFUNCTION("""COMPUTED_VALUE"""),"25d 17h 15m")</f>
        <v>25d 17h 15m</v>
      </c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13.2">
      <c r="A1232" s="1">
        <f ca="1">IFERROR(__xludf.DUMMYFUNCTION("""COMPUTED_VALUE"""),155)</f>
        <v>155</v>
      </c>
      <c r="B1232" s="1" t="str">
        <f ca="1">IFERROR(__xludf.DUMMYFUNCTION("""COMPUTED_VALUE"""),"NW3_KA04AC5936_Tanker")</f>
        <v>NW3_KA04AC5936_Tanker</v>
      </c>
      <c r="C1232" s="1" t="str">
        <f ca="1">IFERROR(__xludf.DUMMYFUNCTION("""COMPUTED_VALUE"""),"nw3_ka04ac5936_tanker")</f>
        <v>nw3_ka04ac5936_tanker</v>
      </c>
      <c r="D1232" s="2">
        <f ca="1">IFERROR(__xludf.DUMMYFUNCTION("""COMPUTED_VALUE"""),44707)</f>
        <v>44707</v>
      </c>
      <c r="E1232" s="3">
        <f ca="1">IFERROR(__xludf.DUMMYFUNCTION("""COMPUTED_VALUE"""),0.998981481479859)</f>
        <v>0.99898148147985899</v>
      </c>
      <c r="F1232" s="1">
        <f ca="1">IFERROR(__xludf.DUMMYFUNCTION("""COMPUTED_VALUE"""),22159)</f>
        <v>22159</v>
      </c>
      <c r="G1232" s="1" t="str">
        <f ca="1">IFERROR(__xludf.DUMMYFUNCTION("""COMPUTED_VALUE"""),"13.0327/77.5183")</f>
        <v>13.0327/77.5183</v>
      </c>
      <c r="H1232" s="1" t="str">
        <f ca="1">IFERROR(__xludf.DUMMYFUNCTION("""COMPUTED_VALUE"""),"Choksandra")</f>
        <v>Choksandra</v>
      </c>
      <c r="I1232" s="1"/>
      <c r="J1232" s="1" t="str">
        <f ca="1">IFERROR(__xludf.DUMMYFUNCTION("""COMPUTED_VALUE"""),"34d 13h 18m")</f>
        <v>34d 13h 18m</v>
      </c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13.2">
      <c r="A1233" s="1">
        <f ca="1">IFERROR(__xludf.DUMMYFUNCTION("""COMPUTED_VALUE"""),233)</f>
        <v>233</v>
      </c>
      <c r="B1233" s="1" t="str">
        <f ca="1">IFERROR(__xludf.DUMMYFUNCTION("""COMPUTED_VALUE"""),"NW3_KA04AC5936_Tanker")</f>
        <v>NW3_KA04AC5936_Tanker</v>
      </c>
      <c r="C1233" s="1" t="str">
        <f ca="1">IFERROR(__xludf.DUMMYFUNCTION("""COMPUTED_VALUE"""),"nw3_ka04ac5936_tanker")</f>
        <v>nw3_ka04ac5936_tanker</v>
      </c>
      <c r="D1233" s="2">
        <f ca="1">IFERROR(__xludf.DUMMYFUNCTION("""COMPUTED_VALUE"""),44738)</f>
        <v>44738</v>
      </c>
      <c r="E1233" s="3">
        <f ca="1">IFERROR(__xludf.DUMMYFUNCTION("""COMPUTED_VALUE"""),0.999305555556929)</f>
        <v>0.99930555555692901</v>
      </c>
      <c r="F1233" s="1">
        <f ca="1">IFERROR(__xludf.DUMMYFUNCTION("""COMPUTED_VALUE"""),22505)</f>
        <v>22505</v>
      </c>
      <c r="G1233" s="1" t="str">
        <f ca="1">IFERROR(__xludf.DUMMYFUNCTION("""COMPUTED_VALUE"""),"13.0329/77.5184")</f>
        <v>13.0329/77.5184</v>
      </c>
      <c r="H1233" s="1" t="str">
        <f ca="1">IFERROR(__xludf.DUMMYFUNCTION("""COMPUTED_VALUE"""),"Choksandra")</f>
        <v>Choksandra</v>
      </c>
      <c r="I1233" s="1"/>
      <c r="J1233" s="1" t="str">
        <f ca="1">IFERROR(__xludf.DUMMYFUNCTION("""COMPUTED_VALUE"""),"34d 13h 19m")</f>
        <v>34d 13h 19m</v>
      </c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13.2">
      <c r="A1234" s="1">
        <f ca="1">IFERROR(__xludf.DUMMYFUNCTION("""COMPUTED_VALUE"""),95)</f>
        <v>95</v>
      </c>
      <c r="B1234" s="1" t="str">
        <f ca="1">IFERROR(__xludf.DUMMYFUNCTION("""COMPUTED_VALUE"""),"NW3_KA04AC5936_Tanker")</f>
        <v>NW3_KA04AC5936_Tanker</v>
      </c>
      <c r="C1234" s="1" t="str">
        <f ca="1">IFERROR(__xludf.DUMMYFUNCTION("""COMPUTED_VALUE"""),"nw3_ka04ac5936_tanker")</f>
        <v>nw3_ka04ac5936_tanker</v>
      </c>
      <c r="D1234" s="2">
        <f ca="1">IFERROR(__xludf.DUMMYFUNCTION("""COMPUTED_VALUE"""),44755)</f>
        <v>44755</v>
      </c>
      <c r="E1234" s="3">
        <f ca="1">IFERROR(__xludf.DUMMYFUNCTION("""COMPUTED_VALUE"""),0.714398148149484)</f>
        <v>0.71439814814948399</v>
      </c>
      <c r="F1234" s="1">
        <f ca="1">IFERROR(__xludf.DUMMYFUNCTION("""COMPUTED_VALUE"""),22689)</f>
        <v>22689</v>
      </c>
      <c r="G1234" s="1" t="str">
        <f ca="1">IFERROR(__xludf.DUMMYFUNCTION("""COMPUTED_VALUE"""),"13.0346/77.5191")</f>
        <v>13.0346/77.5191</v>
      </c>
      <c r="H1234" s="1" t="str">
        <f ca="1">IFERROR(__xludf.DUMMYFUNCTION("""COMPUTED_VALUE"""),"Chokkasandra")</f>
        <v>Chokkasandra</v>
      </c>
      <c r="I1234" s="1"/>
      <c r="J1234" s="1" t="str">
        <f ca="1">IFERROR(__xludf.DUMMYFUNCTION("""COMPUTED_VALUE"""),"34d 13h 19m")</f>
        <v>34d 13h 19m</v>
      </c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13.2">
      <c r="A1235" s="1">
        <f ca="1">IFERROR(__xludf.DUMMYFUNCTION("""COMPUTED_VALUE"""),115)</f>
        <v>115</v>
      </c>
      <c r="B1235" s="1" t="str">
        <f ca="1">IFERROR(__xludf.DUMMYFUNCTION("""COMPUTED_VALUE"""),"NW3_KA04AC5936_Tanker")</f>
        <v>NW3_KA04AC5936_Tanker</v>
      </c>
      <c r="C1235" s="1" t="str">
        <f ca="1">IFERROR(__xludf.DUMMYFUNCTION("""COMPUTED_VALUE"""),"nw3_ka04ac5936_tanker")</f>
        <v>nw3_ka04ac5936_tanker</v>
      </c>
      <c r="D1235" s="2">
        <f ca="1">IFERROR(__xludf.DUMMYFUNCTION("""COMPUTED_VALUE"""),44788)</f>
        <v>44788</v>
      </c>
      <c r="E1235" s="3">
        <f ca="1">IFERROR(__xludf.DUMMYFUNCTION("""COMPUTED_VALUE"""),0.244513888890651)</f>
        <v>0.24451388889065101</v>
      </c>
      <c r="F1235" s="1">
        <f ca="1">IFERROR(__xludf.DUMMYFUNCTION("""COMPUTED_VALUE"""),22694)</f>
        <v>22694</v>
      </c>
      <c r="G1235" s="1" t="str">
        <f ca="1">IFERROR(__xludf.DUMMYFUNCTION("""COMPUTED_VALUE"""),"13.0328/77.5186")</f>
        <v>13.0328/77.5186</v>
      </c>
      <c r="H1235" s="1" t="str">
        <f ca="1">IFERROR(__xludf.DUMMYFUNCTION("""COMPUTED_VALUE"""),"Choksandra")</f>
        <v>Choksandra</v>
      </c>
      <c r="I1235" s="1"/>
      <c r="J1235" s="1" t="str">
        <f ca="1">IFERROR(__xludf.DUMMYFUNCTION("""COMPUTED_VALUE"""),"34d 13h 20m")</f>
        <v>34d 13h 20m</v>
      </c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13.2">
      <c r="A1236" s="1">
        <f ca="1">IFERROR(__xludf.DUMMYFUNCTION("""COMPUTED_VALUE"""),76)</f>
        <v>76</v>
      </c>
      <c r="B1236" s="1" t="str">
        <f ca="1">IFERROR(__xludf.DUMMYFUNCTION("""COMPUTED_VALUE"""),"NW3_KA04AC5936_Tanker")</f>
        <v>NW3_KA04AC5936_Tanker</v>
      </c>
      <c r="C1236" s="1" t="str">
        <f ca="1">IFERROR(__xludf.DUMMYFUNCTION("""COMPUTED_VALUE"""),"nw3_ka04ac5936_tanker")</f>
        <v>nw3_ka04ac5936_tanker</v>
      </c>
      <c r="D1236" s="2">
        <f ca="1">IFERROR(__xludf.DUMMYFUNCTION("""COMPUTED_VALUE"""),44788)</f>
        <v>44788</v>
      </c>
      <c r="E1236" s="3">
        <f ca="1">IFERROR(__xludf.DUMMYFUNCTION("""COMPUTED_VALUE"""),0.244513888890651)</f>
        <v>0.24451388889065101</v>
      </c>
      <c r="F1236" s="1">
        <f ca="1">IFERROR(__xludf.DUMMYFUNCTION("""COMPUTED_VALUE"""),22694)</f>
        <v>22694</v>
      </c>
      <c r="G1236" s="1" t="str">
        <f ca="1">IFERROR(__xludf.DUMMYFUNCTION("""COMPUTED_VALUE"""),"13.0328/77.5186")</f>
        <v>13.0328/77.5186</v>
      </c>
      <c r="H1236" s="1" t="str">
        <f ca="1">IFERROR(__xludf.DUMMYFUNCTION("""COMPUTED_VALUE"""),"Choksandra")</f>
        <v>Choksandra</v>
      </c>
      <c r="I1236" s="1"/>
      <c r="J1236" s="1" t="str">
        <f ca="1">IFERROR(__xludf.DUMMYFUNCTION("""COMPUTED_VALUE"""),"34d 13h 21m")</f>
        <v>34d 13h 21m</v>
      </c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13.2">
      <c r="A1237" s="1">
        <f ca="1">IFERROR(__xludf.DUMMYFUNCTION("""COMPUTED_VALUE"""),202)</f>
        <v>202</v>
      </c>
      <c r="B1237" s="1" t="str">
        <f ca="1">IFERROR(__xludf.DUMMYFUNCTION("""COMPUTED_VALUE"""),"NW3_KA04AC5936_Tanker")</f>
        <v>NW3_KA04AC5936_Tanker</v>
      </c>
      <c r="C1237" s="1" t="str">
        <f ca="1">IFERROR(__xludf.DUMMYFUNCTION("""COMPUTED_VALUE"""),"nw3_ka04ac5936_tanker")</f>
        <v>nw3_ka04ac5936_tanker</v>
      </c>
      <c r="D1237" s="2">
        <f ca="1">IFERROR(__xludf.DUMMYFUNCTION("""COMPUTED_VALUE"""),44860)</f>
        <v>44860</v>
      </c>
      <c r="E1237" s="3">
        <f ca="1">IFERROR(__xludf.DUMMYFUNCTION("""COMPUTED_VALUE"""),0.999166666668315)</f>
        <v>0.999166666668315</v>
      </c>
      <c r="F1237" s="1">
        <f ca="1">IFERROR(__xludf.DUMMYFUNCTION("""COMPUTED_VALUE"""),22889)</f>
        <v>22889</v>
      </c>
      <c r="G1237" s="1" t="str">
        <f ca="1">IFERROR(__xludf.DUMMYFUNCTION("""COMPUTED_VALUE"""),"12.9940/77.5157")</f>
        <v>12.9940/77.5157</v>
      </c>
      <c r="H1237" s="1" t="str">
        <f ca="1">IFERROR(__xludf.DUMMYFUNCTION("""COMPUTED_VALUE"""),"KamalaNagar")</f>
        <v>KamalaNagar</v>
      </c>
      <c r="I1237" s="1"/>
      <c r="J1237" s="1" t="str">
        <f ca="1">IFERROR(__xludf.DUMMYFUNCTION("""COMPUTED_VALUE"""),"34d 13h 22m")</f>
        <v>34d 13h 22m</v>
      </c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13.2">
      <c r="A1238" s="1">
        <f ca="1">IFERROR(__xludf.DUMMYFUNCTION("""COMPUTED_VALUE"""),113)</f>
        <v>113</v>
      </c>
      <c r="B1238" s="1" t="str">
        <f ca="1">IFERROR(__xludf.DUMMYFUNCTION("""COMPUTED_VALUE"""),"NW3_KA04C2197_Jetting")</f>
        <v>NW3_KA04C2197_Jetting</v>
      </c>
      <c r="C1238" s="1" t="str">
        <f ca="1">IFERROR(__xludf.DUMMYFUNCTION("""COMPUTED_VALUE"""),"nw3_ka04c2197_jetting")</f>
        <v>nw3_ka04c2197_jetting</v>
      </c>
      <c r="D1238" s="2">
        <f ca="1">IFERROR(__xludf.DUMMYFUNCTION("""COMPUTED_VALUE"""),44706)</f>
        <v>44706</v>
      </c>
      <c r="E1238" s="3">
        <f ca="1">IFERROR(__xludf.DUMMYFUNCTION("""COMPUTED_VALUE"""),0.558668981480877)</f>
        <v>0.55866898148087696</v>
      </c>
      <c r="F1238" s="1">
        <f ca="1">IFERROR(__xludf.DUMMYFUNCTION("""COMPUTED_VALUE"""),18957)</f>
        <v>18957</v>
      </c>
      <c r="G1238" s="1" t="str">
        <f ca="1">IFERROR(__xludf.DUMMYFUNCTION("""COMPUTED_VALUE"""),"13.0356/77.5215")</f>
        <v>13.0356/77.5215</v>
      </c>
      <c r="H1238" s="1" t="str">
        <f ca="1">IFERROR(__xludf.DUMMYFUNCTION("""COMPUTED_VALUE"""),"Chokkasandra")</f>
        <v>Chokkasandra</v>
      </c>
      <c r="I1238" s="1"/>
      <c r="J1238" s="1" t="str">
        <f ca="1">IFERROR(__xludf.DUMMYFUNCTION("""COMPUTED_VALUE"""),"9d 19h 50m")</f>
        <v>9d 19h 50m</v>
      </c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13.2">
      <c r="A1239" s="1">
        <f ca="1">IFERROR(__xludf.DUMMYFUNCTION("""COMPUTED_VALUE"""),90)</f>
        <v>90</v>
      </c>
      <c r="B1239" s="1" t="str">
        <f ca="1">IFERROR(__xludf.DUMMYFUNCTION("""COMPUTED_VALUE"""),"NW3_KA04C2197_Jetting")</f>
        <v>NW3_KA04C2197_Jetting</v>
      </c>
      <c r="C1239" s="1" t="str">
        <f ca="1">IFERROR(__xludf.DUMMYFUNCTION("""COMPUTED_VALUE"""),"nw3_ka04c2197_jetting")</f>
        <v>nw3_ka04c2197_jetting</v>
      </c>
      <c r="D1239" s="2">
        <f ca="1">IFERROR(__xludf.DUMMYFUNCTION("""COMPUTED_VALUE"""),44730)</f>
        <v>44730</v>
      </c>
      <c r="E1239" s="3">
        <f ca="1">IFERROR(__xludf.DUMMYFUNCTION("""COMPUTED_VALUE"""),0.956643518518831)</f>
        <v>0.956643518518831</v>
      </c>
      <c r="F1239" s="1">
        <f ca="1">IFERROR(__xludf.DUMMYFUNCTION("""COMPUTED_VALUE"""),19062)</f>
        <v>19062</v>
      </c>
      <c r="G1239" s="1" t="str">
        <f ca="1">IFERROR(__xludf.DUMMYFUNCTION("""COMPUTED_VALUE"""),"13.0329/77.5185")</f>
        <v>13.0329/77.5185</v>
      </c>
      <c r="H1239" s="1" t="str">
        <f ca="1">IFERROR(__xludf.DUMMYFUNCTION("""COMPUTED_VALUE"""),"Choksandra")</f>
        <v>Choksandra</v>
      </c>
      <c r="I1239" s="1"/>
      <c r="J1239" s="1" t="str">
        <f ca="1">IFERROR(__xludf.DUMMYFUNCTION("""COMPUTED_VALUE"""),"9d 19h 51m")</f>
        <v>9d 19h 51m</v>
      </c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13.2">
      <c r="A1240" s="1">
        <f ca="1">IFERROR(__xludf.DUMMYFUNCTION("""COMPUTED_VALUE"""),64)</f>
        <v>64</v>
      </c>
      <c r="B1240" s="1" t="str">
        <f ca="1">IFERROR(__xludf.DUMMYFUNCTION("""COMPUTED_VALUE"""),"NW3_KA04C2197_Jetting")</f>
        <v>NW3_KA04C2197_Jetting</v>
      </c>
      <c r="C1240" s="1" t="str">
        <f ca="1">IFERROR(__xludf.DUMMYFUNCTION("""COMPUTED_VALUE"""),"nw3_ka04c2197_jetting")</f>
        <v>nw3_ka04c2197_jetting</v>
      </c>
      <c r="D1240" s="2">
        <f ca="1">IFERROR(__xludf.DUMMYFUNCTION("""COMPUTED_VALUE"""),44730)</f>
        <v>44730</v>
      </c>
      <c r="E1240" s="3">
        <f ca="1">IFERROR(__xludf.DUMMYFUNCTION("""COMPUTED_VALUE"""),0.956643518518831)</f>
        <v>0.956643518518831</v>
      </c>
      <c r="F1240" s="1">
        <f ca="1">IFERROR(__xludf.DUMMYFUNCTION("""COMPUTED_VALUE"""),19062)</f>
        <v>19062</v>
      </c>
      <c r="G1240" s="1" t="str">
        <f ca="1">IFERROR(__xludf.DUMMYFUNCTION("""COMPUTED_VALUE"""),"13.0329/77.5185")</f>
        <v>13.0329/77.5185</v>
      </c>
      <c r="H1240" s="1" t="str">
        <f ca="1">IFERROR(__xludf.DUMMYFUNCTION("""COMPUTED_VALUE"""),"Choksandra")</f>
        <v>Choksandra</v>
      </c>
      <c r="I1240" s="1"/>
      <c r="J1240" s="1" t="str">
        <f ca="1">IFERROR(__xludf.DUMMYFUNCTION("""COMPUTED_VALUE"""),"9d 19h 52m")</f>
        <v>9d 19h 52m</v>
      </c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13.2">
      <c r="A1241" s="1">
        <f ca="1">IFERROR(__xludf.DUMMYFUNCTION("""COMPUTED_VALUE"""),229)</f>
        <v>229</v>
      </c>
      <c r="B1241" s="1" t="str">
        <f ca="1">IFERROR(__xludf.DUMMYFUNCTION("""COMPUTED_VALUE"""),"NW3_KA04C2197_Jetting")</f>
        <v>NW3_KA04C2197_Jetting</v>
      </c>
      <c r="C1241" s="1" t="str">
        <f ca="1">IFERROR(__xludf.DUMMYFUNCTION("""COMPUTED_VALUE"""),"nw3_ka04c2197_jetting")</f>
        <v>nw3_ka04c2197_jetting</v>
      </c>
      <c r="D1241" s="2">
        <f ca="1">IFERROR(__xludf.DUMMYFUNCTION("""COMPUTED_VALUE"""),44799)</f>
        <v>44799</v>
      </c>
      <c r="E1241" s="3">
        <f ca="1">IFERROR(__xludf.DUMMYFUNCTION("""COMPUTED_VALUE"""),0.999270833333866)</f>
        <v>0.99927083333386602</v>
      </c>
      <c r="F1241" s="1">
        <f ca="1">IFERROR(__xludf.DUMMYFUNCTION("""COMPUTED_VALUE"""),19154)</f>
        <v>19154</v>
      </c>
      <c r="G1241" s="1" t="str">
        <f ca="1">IFERROR(__xludf.DUMMYFUNCTION("""COMPUTED_VALUE"""),"13.0327/77.5181")</f>
        <v>13.0327/77.5181</v>
      </c>
      <c r="H1241" s="1" t="str">
        <f ca="1">IFERROR(__xludf.DUMMYFUNCTION("""COMPUTED_VALUE"""),"Choksandra")</f>
        <v>Choksandra</v>
      </c>
      <c r="I1241" s="1"/>
      <c r="J1241" s="1" t="str">
        <f ca="1">IFERROR(__xludf.DUMMYFUNCTION("""COMPUTED_VALUE"""),"9d 19h 53m")</f>
        <v>9d 19h 53m</v>
      </c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13.2">
      <c r="A1242" s="1">
        <f ca="1">IFERROR(__xludf.DUMMYFUNCTION("""COMPUTED_VALUE"""),106)</f>
        <v>106</v>
      </c>
      <c r="B1242" s="1" t="str">
        <f ca="1">IFERROR(__xludf.DUMMYFUNCTION("""COMPUTED_VALUE"""),"NW3_KA04C2197_Jetting")</f>
        <v>NW3_KA04C2197_Jetting</v>
      </c>
      <c r="C1242" s="1" t="str">
        <f ca="1">IFERROR(__xludf.DUMMYFUNCTION("""COMPUTED_VALUE"""),"nw3_ka04c2197_jetting")</f>
        <v>nw3_ka04c2197_jetting</v>
      </c>
      <c r="D1242" s="2">
        <f ca="1">IFERROR(__xludf.DUMMYFUNCTION("""COMPUTED_VALUE"""),44823)</f>
        <v>44823</v>
      </c>
      <c r="E1242" s="3">
        <f ca="1">IFERROR(__xludf.DUMMYFUNCTION("""COMPUTED_VALUE"""),0.690601851852989)</f>
        <v>0.69060185185298895</v>
      </c>
      <c r="F1242" s="1">
        <f ca="1">IFERROR(__xludf.DUMMYFUNCTION("""COMPUTED_VALUE"""),19389)</f>
        <v>19389</v>
      </c>
      <c r="G1242" s="1" t="str">
        <f ca="1">IFERROR(__xludf.DUMMYFUNCTION("""COMPUTED_VALUE"""),"13.0327/77.5184")</f>
        <v>13.0327/77.5184</v>
      </c>
      <c r="H1242" s="1" t="str">
        <f ca="1">IFERROR(__xludf.DUMMYFUNCTION("""COMPUTED_VALUE"""),"Choksandra")</f>
        <v>Choksandra</v>
      </c>
      <c r="I1242" s="1"/>
      <c r="J1242" s="1" t="str">
        <f ca="1">IFERROR(__xludf.DUMMYFUNCTION("""COMPUTED_VALUE"""),"9d 19h 54m")</f>
        <v>9d 19h 54m</v>
      </c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13.2">
      <c r="A1243" s="1">
        <f ca="1">IFERROR(__xludf.DUMMYFUNCTION("""COMPUTED_VALUE"""),131)</f>
        <v>131</v>
      </c>
      <c r="B1243" s="1" t="str">
        <f ca="1">IFERROR(__xludf.DUMMYFUNCTION("""COMPUTED_VALUE"""),"NW3_KA04C2197_Jetting")</f>
        <v>NW3_KA04C2197_Jetting</v>
      </c>
      <c r="C1243" s="1" t="str">
        <f ca="1">IFERROR(__xludf.DUMMYFUNCTION("""COMPUTED_VALUE"""),"nw3_ka04c2197_jetting")</f>
        <v>nw3_ka04c2197_jetting</v>
      </c>
      <c r="D1243" s="2">
        <f ca="1">IFERROR(__xludf.DUMMYFUNCTION("""COMPUTED_VALUE"""),44860)</f>
        <v>44860</v>
      </c>
      <c r="E1243" s="3">
        <f ca="1">IFERROR(__xludf.DUMMYFUNCTION("""COMPUTED_VALUE"""),0.55920138888905)</f>
        <v>0.55920138888905002</v>
      </c>
      <c r="F1243" s="1">
        <f ca="1">IFERROR(__xludf.DUMMYFUNCTION("""COMPUTED_VALUE"""),19609)</f>
        <v>19609</v>
      </c>
      <c r="G1243" s="1" t="str">
        <f ca="1">IFERROR(__xludf.DUMMYFUNCTION("""COMPUTED_VALUE"""),"13.0328/77.5184")</f>
        <v>13.0328/77.5184</v>
      </c>
      <c r="H1243" s="1" t="str">
        <f ca="1">IFERROR(__xludf.DUMMYFUNCTION("""COMPUTED_VALUE"""),"Choksandra")</f>
        <v>Choksandra</v>
      </c>
      <c r="I1243" s="1"/>
      <c r="J1243" s="1" t="str">
        <f ca="1">IFERROR(__xludf.DUMMYFUNCTION("""COMPUTED_VALUE"""),"9d 19h 54m")</f>
        <v>9d 19h 54m</v>
      </c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13.2">
      <c r="A1244" s="1">
        <f ca="1">IFERROR(__xludf.DUMMYFUNCTION("""COMPUTED_VALUE"""),153)</f>
        <v>153</v>
      </c>
      <c r="B1244" s="1" t="str">
        <f ca="1">IFERROR(__xludf.DUMMYFUNCTION("""COMPUTED_VALUE"""),"NW3_KA04C5133_JETTING")</f>
        <v>NW3_KA04C5133_JETTING</v>
      </c>
      <c r="C1244" s="1" t="str">
        <f ca="1">IFERROR(__xludf.DUMMYFUNCTION("""COMPUTED_VALUE"""),"nw3_ka04c5133_jetting")</f>
        <v>nw3_ka04c5133_jetting</v>
      </c>
      <c r="D1244" s="2">
        <f ca="1">IFERROR(__xludf.DUMMYFUNCTION("""COMPUTED_VALUE"""),45310)</f>
        <v>45310</v>
      </c>
      <c r="E1244" s="3">
        <f ca="1">IFERROR(__xludf.DUMMYFUNCTION("""COMPUTED_VALUE"""),0.505462962963065)</f>
        <v>0.50546296296306503</v>
      </c>
      <c r="F1244" s="1">
        <f ca="1">IFERROR(__xludf.DUMMYFUNCTION("""COMPUTED_VALUE"""),15720)</f>
        <v>15720</v>
      </c>
      <c r="G1244" s="1" t="str">
        <f ca="1">IFERROR(__xludf.DUMMYFUNCTION("""COMPUTED_VALUE"""),"12.9906/77.5471")</f>
        <v>12.9906/77.5471</v>
      </c>
      <c r="H1244" s="1" t="str">
        <f ca="1">IFERROR(__xludf.DUMMYFUNCTION("""COMPUTED_VALUE"""),"Shivanahalli")</f>
        <v>Shivanahalli</v>
      </c>
      <c r="I1244" s="1"/>
      <c r="J1244" s="1" t="str">
        <f ca="1">IFERROR(__xludf.DUMMYFUNCTION("""COMPUTED_VALUE"""),"0d 00h 06m")</f>
        <v>0d 00h 06m</v>
      </c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13.2">
      <c r="A1245" s="1">
        <f ca="1">IFERROR(__xludf.DUMMYFUNCTION("""COMPUTED_VALUE"""),107)</f>
        <v>107</v>
      </c>
      <c r="B1245" s="1" t="str">
        <f ca="1">IFERROR(__xludf.DUMMYFUNCTION("""COMPUTED_VALUE"""),"NW3_KA04C5135_Jetting")</f>
        <v>NW3_KA04C5135_Jetting</v>
      </c>
      <c r="C1245" s="1" t="str">
        <f ca="1">IFERROR(__xludf.DUMMYFUNCTION("""COMPUTED_VALUE"""),"nw3_ka04c5135_jetting")</f>
        <v>nw3_ka04c5135_jetting</v>
      </c>
      <c r="D1245" s="2">
        <f ca="1">IFERROR(__xludf.DUMMYFUNCTION("""COMPUTED_VALUE"""),44705)</f>
        <v>44705</v>
      </c>
      <c r="E1245" s="3">
        <f ca="1">IFERROR(__xludf.DUMMYFUNCTION("""COMPUTED_VALUE"""),0.438530092593282)</f>
        <v>0.43853009259328202</v>
      </c>
      <c r="F1245" s="1">
        <f ca="1">IFERROR(__xludf.DUMMYFUNCTION("""COMPUTED_VALUE"""),16071)</f>
        <v>16071</v>
      </c>
      <c r="G1245" s="1" t="str">
        <f ca="1">IFERROR(__xludf.DUMMYFUNCTION("""COMPUTED_VALUE"""),"13.0047/77.5016")</f>
        <v>13.0047/77.5016</v>
      </c>
      <c r="H1245" s="1" t="str">
        <f ca="1">IFERROR(__xludf.DUMMYFUNCTION("""COMPUTED_VALUE"""),"Hegganhalli")</f>
        <v>Hegganhalli</v>
      </c>
      <c r="I1245" s="1"/>
      <c r="J1245" s="1" t="str">
        <f ca="1">IFERROR(__xludf.DUMMYFUNCTION("""COMPUTED_VALUE"""),"66d 00h 50m")</f>
        <v>66d 00h 50m</v>
      </c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13.2">
      <c r="A1246" s="1">
        <f ca="1">IFERROR(__xludf.DUMMYFUNCTION("""COMPUTED_VALUE"""),235)</f>
        <v>235</v>
      </c>
      <c r="B1246" s="1" t="str">
        <f ca="1">IFERROR(__xludf.DUMMYFUNCTION("""COMPUTED_VALUE"""),"NW3_KA04C5135_Jetting")</f>
        <v>NW3_KA04C5135_Jetting</v>
      </c>
      <c r="C1246" s="1" t="str">
        <f ca="1">IFERROR(__xludf.DUMMYFUNCTION("""COMPUTED_VALUE"""),"nw3_ka04c5135_jetting")</f>
        <v>nw3_ka04c5135_jetting</v>
      </c>
      <c r="D1246" s="2">
        <f ca="1">IFERROR(__xludf.DUMMYFUNCTION("""COMPUTED_VALUE"""),44738)</f>
        <v>44738</v>
      </c>
      <c r="E1246" s="3">
        <f ca="1">IFERROR(__xludf.DUMMYFUNCTION("""COMPUTED_VALUE"""),0.999305555556929)</f>
        <v>0.99930555555692901</v>
      </c>
      <c r="F1246" s="1">
        <f ca="1">IFERROR(__xludf.DUMMYFUNCTION("""COMPUTED_VALUE"""),16218)</f>
        <v>16218</v>
      </c>
      <c r="G1246" s="1" t="str">
        <f ca="1">IFERROR(__xludf.DUMMYFUNCTION("""COMPUTED_VALUE"""),"12.9939/77.5157")</f>
        <v>12.9939/77.5157</v>
      </c>
      <c r="H1246" s="1" t="str">
        <f ca="1">IFERROR(__xludf.DUMMYFUNCTION("""COMPUTED_VALUE"""),"KamalaNagar")</f>
        <v>KamalaNagar</v>
      </c>
      <c r="I1246" s="1"/>
      <c r="J1246" s="1" t="str">
        <f ca="1">IFERROR(__xludf.DUMMYFUNCTION("""COMPUTED_VALUE"""),"66d 00h 51m")</f>
        <v>66d 00h 51m</v>
      </c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13.2">
      <c r="A1247" s="1">
        <f ca="1">IFERROR(__xludf.DUMMYFUNCTION("""COMPUTED_VALUE"""),222)</f>
        <v>222</v>
      </c>
      <c r="B1247" s="1" t="str">
        <f ca="1">IFERROR(__xludf.DUMMYFUNCTION("""COMPUTED_VALUE"""),"NW3_KA04C5135_Jetting")</f>
        <v>NW3_KA04C5135_Jetting</v>
      </c>
      <c r="C1247" s="1" t="str">
        <f ca="1">IFERROR(__xludf.DUMMYFUNCTION("""COMPUTED_VALUE"""),"nw3_ka04c5135_jetting")</f>
        <v>nw3_ka04c5135_jetting</v>
      </c>
      <c r="D1247" s="2">
        <f ca="1">IFERROR(__xludf.DUMMYFUNCTION("""COMPUTED_VALUE"""),44768)</f>
        <v>44768</v>
      </c>
      <c r="E1247" s="3">
        <f ca="1">IFERROR(__xludf.DUMMYFUNCTION("""COMPUTED_VALUE"""),0.999259259260725)</f>
        <v>0.99925925926072501</v>
      </c>
      <c r="F1247" s="1">
        <f ca="1">IFERROR(__xludf.DUMMYFUNCTION("""COMPUTED_VALUE"""),16299)</f>
        <v>16299</v>
      </c>
      <c r="G1247" s="1" t="str">
        <f ca="1">IFERROR(__xludf.DUMMYFUNCTION("""COMPUTED_VALUE"""),"12.9940/77.5157")</f>
        <v>12.9940/77.5157</v>
      </c>
      <c r="H1247" s="1" t="str">
        <f ca="1">IFERROR(__xludf.DUMMYFUNCTION("""COMPUTED_VALUE"""),"KamalaNagar")</f>
        <v>KamalaNagar</v>
      </c>
      <c r="I1247" s="1"/>
      <c r="J1247" s="1" t="str">
        <f ca="1">IFERROR(__xludf.DUMMYFUNCTION("""COMPUTED_VALUE"""),"66d 00h 52m")</f>
        <v>66d 00h 52m</v>
      </c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13.2">
      <c r="A1248" s="1">
        <f ca="1">IFERROR(__xludf.DUMMYFUNCTION("""COMPUTED_VALUE"""),192)</f>
        <v>192</v>
      </c>
      <c r="B1248" s="1" t="str">
        <f ca="1">IFERROR(__xludf.DUMMYFUNCTION("""COMPUTED_VALUE"""),"NW3_KA04C5135_Jetting")</f>
        <v>NW3_KA04C5135_Jetting</v>
      </c>
      <c r="C1248" s="1" t="str">
        <f ca="1">IFERROR(__xludf.DUMMYFUNCTION("""COMPUTED_VALUE"""),"nw3_ka04c5135_jetting")</f>
        <v>nw3_ka04c5135_jetting</v>
      </c>
      <c r="D1248" s="2">
        <f ca="1">IFERROR(__xludf.DUMMYFUNCTION("""COMPUTED_VALUE"""),44799)</f>
        <v>44799</v>
      </c>
      <c r="E1248" s="3">
        <f ca="1">IFERROR(__xludf.DUMMYFUNCTION("""COMPUTED_VALUE"""),0.999085648149048)</f>
        <v>0.99908564814904799</v>
      </c>
      <c r="F1248" s="1">
        <f ca="1">IFERROR(__xludf.DUMMYFUNCTION("""COMPUTED_VALUE"""),16645)</f>
        <v>16645</v>
      </c>
      <c r="G1248" s="1" t="str">
        <f ca="1">IFERROR(__xludf.DUMMYFUNCTION("""COMPUTED_VALUE"""),"12.9939/77.5157")</f>
        <v>12.9939/77.5157</v>
      </c>
      <c r="H1248" s="1" t="str">
        <f ca="1">IFERROR(__xludf.DUMMYFUNCTION("""COMPUTED_VALUE"""),"KamalaNagar")</f>
        <v>KamalaNagar</v>
      </c>
      <c r="I1248" s="1"/>
      <c r="J1248" s="1" t="str">
        <f ca="1">IFERROR(__xludf.DUMMYFUNCTION("""COMPUTED_VALUE"""),"66d 00h 53m")</f>
        <v>66d 00h 53m</v>
      </c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13.2">
      <c r="A1249" s="1">
        <f ca="1">IFERROR(__xludf.DUMMYFUNCTION("""COMPUTED_VALUE"""),191)</f>
        <v>191</v>
      </c>
      <c r="B1249" s="1" t="str">
        <f ca="1">IFERROR(__xludf.DUMMYFUNCTION("""COMPUTED_VALUE"""),"NW3_KA04C5135_Jetting")</f>
        <v>NW3_KA04C5135_Jetting</v>
      </c>
      <c r="C1249" s="1" t="str">
        <f ca="1">IFERROR(__xludf.DUMMYFUNCTION("""COMPUTED_VALUE"""),"nw3_ka04c5135_jetting")</f>
        <v>nw3_ka04c5135_jetting</v>
      </c>
      <c r="D1249" s="2">
        <f ca="1">IFERROR(__xludf.DUMMYFUNCTION("""COMPUTED_VALUE"""),44830)</f>
        <v>44830</v>
      </c>
      <c r="E1249" s="3">
        <f ca="1">IFERROR(__xludf.DUMMYFUNCTION("""COMPUTED_VALUE"""),0.999097222222189)</f>
        <v>0.999097222222189</v>
      </c>
      <c r="F1249" s="1">
        <f ca="1">IFERROR(__xludf.DUMMYFUNCTION("""COMPUTED_VALUE"""),16987)</f>
        <v>16987</v>
      </c>
      <c r="G1249" s="1" t="str">
        <f ca="1">IFERROR(__xludf.DUMMYFUNCTION("""COMPUTED_VALUE"""),"12.9938/77.5158")</f>
        <v>12.9938/77.5158</v>
      </c>
      <c r="H1249" s="1" t="str">
        <f ca="1">IFERROR(__xludf.DUMMYFUNCTION("""COMPUTED_VALUE"""),"KamalaNagar")</f>
        <v>KamalaNagar</v>
      </c>
      <c r="I1249" s="1"/>
      <c r="J1249" s="1" t="str">
        <f ca="1">IFERROR(__xludf.DUMMYFUNCTION("""COMPUTED_VALUE"""),"66d 00h 54m")</f>
        <v>66d 00h 54m</v>
      </c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13.2">
      <c r="A1250" s="1">
        <f ca="1">IFERROR(__xludf.DUMMYFUNCTION("""COMPUTED_VALUE"""),87)</f>
        <v>87</v>
      </c>
      <c r="B1250" s="1" t="str">
        <f ca="1">IFERROR(__xludf.DUMMYFUNCTION("""COMPUTED_VALUE"""),"NW3_KA04C5135_Jetting")</f>
        <v>NW3_KA04C5135_Jetting</v>
      </c>
      <c r="C1250" s="1" t="str">
        <f ca="1">IFERROR(__xludf.DUMMYFUNCTION("""COMPUTED_VALUE"""),"nw3_ka04c5135_jetting")</f>
        <v>nw3_ka04c5135_jetting</v>
      </c>
      <c r="D1250" s="2">
        <f ca="1">IFERROR(__xludf.DUMMYFUNCTION("""COMPUTED_VALUE"""),44851)</f>
        <v>44851</v>
      </c>
      <c r="E1250" s="3">
        <f ca="1">IFERROR(__xludf.DUMMYFUNCTION("""COMPUTED_VALUE"""),0.403113425927585)</f>
        <v>0.40311342592758498</v>
      </c>
      <c r="F1250" s="1">
        <f ca="1">IFERROR(__xludf.DUMMYFUNCTION("""COMPUTED_VALUE"""),17196)</f>
        <v>17196</v>
      </c>
      <c r="G1250" s="1" t="str">
        <f ca="1">IFERROR(__xludf.DUMMYFUNCTION("""COMPUTED_VALUE"""),"12.9944/77.5157")</f>
        <v>12.9944/77.5157</v>
      </c>
      <c r="H1250" s="1" t="str">
        <f ca="1">IFERROR(__xludf.DUMMYFUNCTION("""COMPUTED_VALUE"""),"KamalaNagar")</f>
        <v>KamalaNagar</v>
      </c>
      <c r="I1250" s="1"/>
      <c r="J1250" s="1" t="str">
        <f ca="1">IFERROR(__xludf.DUMMYFUNCTION("""COMPUTED_VALUE"""),"66d 00h 54m")</f>
        <v>66d 00h 54m</v>
      </c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13.2">
      <c r="A1251" s="1">
        <f ca="1">IFERROR(__xludf.DUMMYFUNCTION("""COMPUTED_VALUE"""),44)</f>
        <v>44</v>
      </c>
      <c r="B1251" s="1" t="str">
        <f ca="1">IFERROR(__xludf.DUMMYFUNCTION("""COMPUTED_VALUE"""),"NW3_KA04D4113_JETTING")</f>
        <v>NW3_KA04D4113_JETTING</v>
      </c>
      <c r="C1251" s="1" t="str">
        <f ca="1">IFERROR(__xludf.DUMMYFUNCTION("""COMPUTED_VALUE"""),"nw3_ka04d4113_jetting")</f>
        <v>nw3_ka04d4113_jetting</v>
      </c>
      <c r="D1251" s="2">
        <f ca="1">IFERROR(__xludf.DUMMYFUNCTION("""COMPUTED_VALUE"""),41640)</f>
        <v>41640</v>
      </c>
      <c r="E1251" s="3">
        <f ca="1">IFERROR(__xludf.DUMMYFUNCTION("""COMPUTED_VALUE"""),0.242048611111385)</f>
        <v>0.24204861111138501</v>
      </c>
      <c r="F1251" s="1">
        <f ca="1">IFERROR(__xludf.DUMMYFUNCTION("""COMPUTED_VALUE"""),14574)</f>
        <v>14574</v>
      </c>
      <c r="G1251" s="1"/>
      <c r="H1251" s="1"/>
      <c r="I1251" s="1"/>
      <c r="J1251" s="1" t="str">
        <f ca="1">IFERROR(__xludf.DUMMYFUNCTION("""COMPUTED_VALUE"""),"0d 00h 00m")</f>
        <v>0d 00h 00m</v>
      </c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13.2">
      <c r="A1252" s="1">
        <f ca="1">IFERROR(__xludf.DUMMYFUNCTION("""COMPUTED_VALUE"""),44)</f>
        <v>44</v>
      </c>
      <c r="B1252" s="1" t="str">
        <f ca="1">IFERROR(__xludf.DUMMYFUNCTION("""COMPUTED_VALUE"""),"NW3_KA04D4113_JETTING")</f>
        <v>NW3_KA04D4113_JETTING</v>
      </c>
      <c r="C1252" s="1" t="str">
        <f ca="1">IFERROR(__xludf.DUMMYFUNCTION("""COMPUTED_VALUE"""),"nw3_ka04d4113_jetting")</f>
        <v>nw3_ka04d4113_jetting</v>
      </c>
      <c r="D1252" s="2">
        <f ca="1">IFERROR(__xludf.DUMMYFUNCTION("""COMPUTED_VALUE"""),41640)</f>
        <v>41640</v>
      </c>
      <c r="E1252" s="3">
        <f ca="1">IFERROR(__xludf.DUMMYFUNCTION("""COMPUTED_VALUE"""),0.242048611111385)</f>
        <v>0.24204861111138501</v>
      </c>
      <c r="F1252" s="1">
        <f ca="1">IFERROR(__xludf.DUMMYFUNCTION("""COMPUTED_VALUE"""),14574)</f>
        <v>14574</v>
      </c>
      <c r="G1252" s="1"/>
      <c r="H1252" s="1"/>
      <c r="I1252" s="1"/>
      <c r="J1252" s="1" t="str">
        <f ca="1">IFERROR(__xludf.DUMMYFUNCTION("""COMPUTED_VALUE"""),"0d 00h 00m")</f>
        <v>0d 00h 00m</v>
      </c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13.2">
      <c r="A1253" s="1">
        <f ca="1">IFERROR(__xludf.DUMMYFUNCTION("""COMPUTED_VALUE"""),44)</f>
        <v>44</v>
      </c>
      <c r="B1253" s="1" t="str">
        <f ca="1">IFERROR(__xludf.DUMMYFUNCTION("""COMPUTED_VALUE"""),"NW3_KA04D4113_JETTING")</f>
        <v>NW3_KA04D4113_JETTING</v>
      </c>
      <c r="C1253" s="1" t="str">
        <f ca="1">IFERROR(__xludf.DUMMYFUNCTION("""COMPUTED_VALUE"""),"nw3_ka04d4113_jetting")</f>
        <v>nw3_ka04d4113_jetting</v>
      </c>
      <c r="D1253" s="2">
        <f ca="1">IFERROR(__xludf.DUMMYFUNCTION("""COMPUTED_VALUE"""),41640)</f>
        <v>41640</v>
      </c>
      <c r="E1253" s="3">
        <f ca="1">IFERROR(__xludf.DUMMYFUNCTION("""COMPUTED_VALUE"""),0.242048611111385)</f>
        <v>0.24204861111138501</v>
      </c>
      <c r="F1253" s="1">
        <f ca="1">IFERROR(__xludf.DUMMYFUNCTION("""COMPUTED_VALUE"""),14574)</f>
        <v>14574</v>
      </c>
      <c r="G1253" s="1"/>
      <c r="H1253" s="1"/>
      <c r="I1253" s="1"/>
      <c r="J1253" s="1" t="str">
        <f ca="1">IFERROR(__xludf.DUMMYFUNCTION("""COMPUTED_VALUE"""),"0d 00h 00m")</f>
        <v>0d 00h 00m</v>
      </c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13.2">
      <c r="A1254" s="1">
        <f ca="1">IFERROR(__xludf.DUMMYFUNCTION("""COMPUTED_VALUE"""),44)</f>
        <v>44</v>
      </c>
      <c r="B1254" s="1" t="str">
        <f ca="1">IFERROR(__xludf.DUMMYFUNCTION("""COMPUTED_VALUE"""),"NW3_KA04D4113_JETTING")</f>
        <v>NW3_KA04D4113_JETTING</v>
      </c>
      <c r="C1254" s="1" t="str">
        <f ca="1">IFERROR(__xludf.DUMMYFUNCTION("""COMPUTED_VALUE"""),"nw3_ka04d4113_jetting")</f>
        <v>nw3_ka04d4113_jetting</v>
      </c>
      <c r="D1254" s="2">
        <f ca="1">IFERROR(__xludf.DUMMYFUNCTION("""COMPUTED_VALUE"""),41640)</f>
        <v>41640</v>
      </c>
      <c r="E1254" s="3">
        <f ca="1">IFERROR(__xludf.DUMMYFUNCTION("""COMPUTED_VALUE"""),0.242048611111385)</f>
        <v>0.24204861111138501</v>
      </c>
      <c r="F1254" s="1">
        <f ca="1">IFERROR(__xludf.DUMMYFUNCTION("""COMPUTED_VALUE"""),14574)</f>
        <v>14574</v>
      </c>
      <c r="G1254" s="1"/>
      <c r="H1254" s="1"/>
      <c r="I1254" s="1"/>
      <c r="J1254" s="1" t="str">
        <f ca="1">IFERROR(__xludf.DUMMYFUNCTION("""COMPUTED_VALUE"""),"0d 00h 00m")</f>
        <v>0d 00h 00m</v>
      </c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13.2">
      <c r="A1255" s="1">
        <f ca="1">IFERROR(__xludf.DUMMYFUNCTION("""COMPUTED_VALUE"""),44)</f>
        <v>44</v>
      </c>
      <c r="B1255" s="1" t="str">
        <f ca="1">IFERROR(__xludf.DUMMYFUNCTION("""COMPUTED_VALUE"""),"NW3_KA04D4113_JETTING")</f>
        <v>NW3_KA04D4113_JETTING</v>
      </c>
      <c r="C1255" s="1" t="str">
        <f ca="1">IFERROR(__xludf.DUMMYFUNCTION("""COMPUTED_VALUE"""),"nw3_ka04d4113_jetting")</f>
        <v>nw3_ka04d4113_jetting</v>
      </c>
      <c r="D1255" s="2">
        <f ca="1">IFERROR(__xludf.DUMMYFUNCTION("""COMPUTED_VALUE"""),41640)</f>
        <v>41640</v>
      </c>
      <c r="E1255" s="3">
        <f ca="1">IFERROR(__xludf.DUMMYFUNCTION("""COMPUTED_VALUE"""),0.242048611111385)</f>
        <v>0.24204861111138501</v>
      </c>
      <c r="F1255" s="1">
        <f ca="1">IFERROR(__xludf.DUMMYFUNCTION("""COMPUTED_VALUE"""),14574)</f>
        <v>14574</v>
      </c>
      <c r="G1255" s="1"/>
      <c r="H1255" s="1"/>
      <c r="I1255" s="1"/>
      <c r="J1255" s="1" t="str">
        <f ca="1">IFERROR(__xludf.DUMMYFUNCTION("""COMPUTED_VALUE"""),"0d 00h 00m")</f>
        <v>0d 00h 00m</v>
      </c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13.2">
      <c r="A1256" s="1">
        <f ca="1">IFERROR(__xludf.DUMMYFUNCTION("""COMPUTED_VALUE"""),44)</f>
        <v>44</v>
      </c>
      <c r="B1256" s="1" t="str">
        <f ca="1">IFERROR(__xludf.DUMMYFUNCTION("""COMPUTED_VALUE"""),"NW3_KA04D4113_JETTING")</f>
        <v>NW3_KA04D4113_JETTING</v>
      </c>
      <c r="C1256" s="1" t="str">
        <f ca="1">IFERROR(__xludf.DUMMYFUNCTION("""COMPUTED_VALUE"""),"nw3_ka04d4113_jetting")</f>
        <v>nw3_ka04d4113_jetting</v>
      </c>
      <c r="D1256" s="2">
        <f ca="1">IFERROR(__xludf.DUMMYFUNCTION("""COMPUTED_VALUE"""),41640)</f>
        <v>41640</v>
      </c>
      <c r="E1256" s="3">
        <f ca="1">IFERROR(__xludf.DUMMYFUNCTION("""COMPUTED_VALUE"""),0.242048611111385)</f>
        <v>0.24204861111138501</v>
      </c>
      <c r="F1256" s="1">
        <f ca="1">IFERROR(__xludf.DUMMYFUNCTION("""COMPUTED_VALUE"""),14574)</f>
        <v>14574</v>
      </c>
      <c r="G1256" s="1"/>
      <c r="H1256" s="1"/>
      <c r="I1256" s="1"/>
      <c r="J1256" s="1" t="str">
        <f ca="1">IFERROR(__xludf.DUMMYFUNCTION("""COMPUTED_VALUE"""),"0d 00h 00m")</f>
        <v>0d 00h 00m</v>
      </c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13.2">
      <c r="A1257" s="1">
        <f ca="1">IFERROR(__xludf.DUMMYFUNCTION("""COMPUTED_VALUE"""),44)</f>
        <v>44</v>
      </c>
      <c r="B1257" s="1" t="str">
        <f ca="1">IFERROR(__xludf.DUMMYFUNCTION("""COMPUTED_VALUE"""),"NW3_KA04D4113_JETTING")</f>
        <v>NW3_KA04D4113_JETTING</v>
      </c>
      <c r="C1257" s="1" t="str">
        <f ca="1">IFERROR(__xludf.DUMMYFUNCTION("""COMPUTED_VALUE"""),"nw3_ka04d4113_jetting")</f>
        <v>nw3_ka04d4113_jetting</v>
      </c>
      <c r="D1257" s="2">
        <f ca="1">IFERROR(__xludf.DUMMYFUNCTION("""COMPUTED_VALUE"""),41640)</f>
        <v>41640</v>
      </c>
      <c r="E1257" s="3">
        <f ca="1">IFERROR(__xludf.DUMMYFUNCTION("""COMPUTED_VALUE"""),0.242048611111385)</f>
        <v>0.24204861111138501</v>
      </c>
      <c r="F1257" s="1">
        <f ca="1">IFERROR(__xludf.DUMMYFUNCTION("""COMPUTED_VALUE"""),14574)</f>
        <v>14574</v>
      </c>
      <c r="G1257" s="1"/>
      <c r="H1257" s="1"/>
      <c r="I1257" s="1"/>
      <c r="J1257" s="1" t="str">
        <f ca="1">IFERROR(__xludf.DUMMYFUNCTION("""COMPUTED_VALUE"""),"0d 00h 01m")</f>
        <v>0d 00h 01m</v>
      </c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13.2">
      <c r="A1258" s="1">
        <f ca="1">IFERROR(__xludf.DUMMYFUNCTION("""COMPUTED_VALUE"""),77)</f>
        <v>77</v>
      </c>
      <c r="B1258" s="1" t="str">
        <f ca="1">IFERROR(__xludf.DUMMYFUNCTION("""COMPUTED_VALUE"""),"NW3_KA04D5126_TANKER")</f>
        <v>NW3_KA04D5126_TANKER</v>
      </c>
      <c r="C1258" s="1" t="str">
        <f ca="1">IFERROR(__xludf.DUMMYFUNCTION("""COMPUTED_VALUE"""),"nw3_ka04d5126_tanker")</f>
        <v>nw3_ka04d5126_tanker</v>
      </c>
      <c r="D1258" s="2">
        <f ca="1">IFERROR(__xludf.DUMMYFUNCTION("""COMPUTED_VALUE"""),41640)</f>
        <v>41640</v>
      </c>
      <c r="E1258" s="3">
        <f ca="1">IFERROR(__xludf.DUMMYFUNCTION("""COMPUTED_VALUE"""),0.65454861110993)</f>
        <v>0.65454861110993001</v>
      </c>
      <c r="F1258" s="1">
        <f ca="1">IFERROR(__xludf.DUMMYFUNCTION("""COMPUTED_VALUE"""),18784)</f>
        <v>18784</v>
      </c>
      <c r="G1258" s="1" t="str">
        <f ca="1">IFERROR(__xludf.DUMMYFUNCTION("""COMPUTED_VALUE"""),"13.0433/77.5155")</f>
        <v>13.0433/77.5155</v>
      </c>
      <c r="H1258" s="1" t="str">
        <f ca="1">IFERROR(__xludf.DUMMYFUNCTION("""COMPUTED_VALUE"""),"Dasarhalli")</f>
        <v>Dasarhalli</v>
      </c>
      <c r="I1258" s="1"/>
      <c r="J1258" s="1" t="str">
        <f ca="1">IFERROR(__xludf.DUMMYFUNCTION("""COMPUTED_VALUE"""),"0d 00h 00m")</f>
        <v>0d 00h 00m</v>
      </c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13.2">
      <c r="A1259" s="1">
        <f ca="1">IFERROR(__xludf.DUMMYFUNCTION("""COMPUTED_VALUE"""),77)</f>
        <v>77</v>
      </c>
      <c r="B1259" s="1" t="str">
        <f ca="1">IFERROR(__xludf.DUMMYFUNCTION("""COMPUTED_VALUE"""),"NW3_KA04D5126_TANKER")</f>
        <v>NW3_KA04D5126_TANKER</v>
      </c>
      <c r="C1259" s="1" t="str">
        <f ca="1">IFERROR(__xludf.DUMMYFUNCTION("""COMPUTED_VALUE"""),"nw3_ka04d5126_tanker")</f>
        <v>nw3_ka04d5126_tanker</v>
      </c>
      <c r="D1259" s="2">
        <f ca="1">IFERROR(__xludf.DUMMYFUNCTION("""COMPUTED_VALUE"""),41640)</f>
        <v>41640</v>
      </c>
      <c r="E1259" s="3">
        <f ca="1">IFERROR(__xludf.DUMMYFUNCTION("""COMPUTED_VALUE"""),0.65454861110993)</f>
        <v>0.65454861110993001</v>
      </c>
      <c r="F1259" s="1">
        <f ca="1">IFERROR(__xludf.DUMMYFUNCTION("""COMPUTED_VALUE"""),18784)</f>
        <v>18784</v>
      </c>
      <c r="G1259" s="1" t="str">
        <f ca="1">IFERROR(__xludf.DUMMYFUNCTION("""COMPUTED_VALUE"""),"13.0433/77.5155")</f>
        <v>13.0433/77.5155</v>
      </c>
      <c r="H1259" s="1" t="str">
        <f ca="1">IFERROR(__xludf.DUMMYFUNCTION("""COMPUTED_VALUE"""),"Dasarhalli")</f>
        <v>Dasarhalli</v>
      </c>
      <c r="I1259" s="1"/>
      <c r="J1259" s="1" t="str">
        <f ca="1">IFERROR(__xludf.DUMMYFUNCTION("""COMPUTED_VALUE"""),"0d 00h 00m")</f>
        <v>0d 00h 00m</v>
      </c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13.2">
      <c r="A1260" s="1">
        <f ca="1">IFERROR(__xludf.DUMMYFUNCTION("""COMPUTED_VALUE"""),75)</f>
        <v>75</v>
      </c>
      <c r="B1260" s="1" t="str">
        <f ca="1">IFERROR(__xludf.DUMMYFUNCTION("""COMPUTED_VALUE"""),"NW3_KA04D5126_TANKER")</f>
        <v>NW3_KA04D5126_TANKER</v>
      </c>
      <c r="C1260" s="1" t="str">
        <f ca="1">IFERROR(__xludf.DUMMYFUNCTION("""COMPUTED_VALUE"""),"nw3_ka04d5126_tanker")</f>
        <v>nw3_ka04d5126_tanker</v>
      </c>
      <c r="D1260" s="2">
        <f ca="1">IFERROR(__xludf.DUMMYFUNCTION("""COMPUTED_VALUE"""),41640)</f>
        <v>41640</v>
      </c>
      <c r="E1260" s="3">
        <f ca="1">IFERROR(__xludf.DUMMYFUNCTION("""COMPUTED_VALUE"""),0.65454861110993)</f>
        <v>0.65454861110993001</v>
      </c>
      <c r="F1260" s="1">
        <f ca="1">IFERROR(__xludf.DUMMYFUNCTION("""COMPUTED_VALUE"""),18784)</f>
        <v>18784</v>
      </c>
      <c r="G1260" s="1" t="str">
        <f ca="1">IFERROR(__xludf.DUMMYFUNCTION("""COMPUTED_VALUE"""),"13.0433/77.5155")</f>
        <v>13.0433/77.5155</v>
      </c>
      <c r="H1260" s="1" t="str">
        <f ca="1">IFERROR(__xludf.DUMMYFUNCTION("""COMPUTED_VALUE"""),"Dasarhalli")</f>
        <v>Dasarhalli</v>
      </c>
      <c r="I1260" s="1"/>
      <c r="J1260" s="1" t="str">
        <f ca="1">IFERROR(__xludf.DUMMYFUNCTION("""COMPUTED_VALUE"""),"0d 00h 00m")</f>
        <v>0d 00h 00m</v>
      </c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13.2">
      <c r="A1261" s="1">
        <f ca="1">IFERROR(__xludf.DUMMYFUNCTION("""COMPUTED_VALUE"""),75)</f>
        <v>75</v>
      </c>
      <c r="B1261" s="1" t="str">
        <f ca="1">IFERROR(__xludf.DUMMYFUNCTION("""COMPUTED_VALUE"""),"NW3_KA04D5126_TANKER")</f>
        <v>NW3_KA04D5126_TANKER</v>
      </c>
      <c r="C1261" s="1" t="str">
        <f ca="1">IFERROR(__xludf.DUMMYFUNCTION("""COMPUTED_VALUE"""),"nw3_ka04d5126_tanker")</f>
        <v>nw3_ka04d5126_tanker</v>
      </c>
      <c r="D1261" s="2">
        <f ca="1">IFERROR(__xludf.DUMMYFUNCTION("""COMPUTED_VALUE"""),41640)</f>
        <v>41640</v>
      </c>
      <c r="E1261" s="3">
        <f ca="1">IFERROR(__xludf.DUMMYFUNCTION("""COMPUTED_VALUE"""),0.65454861110993)</f>
        <v>0.65454861110993001</v>
      </c>
      <c r="F1261" s="1">
        <f ca="1">IFERROR(__xludf.DUMMYFUNCTION("""COMPUTED_VALUE"""),18784)</f>
        <v>18784</v>
      </c>
      <c r="G1261" s="1" t="str">
        <f ca="1">IFERROR(__xludf.DUMMYFUNCTION("""COMPUTED_VALUE"""),"13.0433/77.5155")</f>
        <v>13.0433/77.5155</v>
      </c>
      <c r="H1261" s="1" t="str">
        <f ca="1">IFERROR(__xludf.DUMMYFUNCTION("""COMPUTED_VALUE"""),"Dasarhalli")</f>
        <v>Dasarhalli</v>
      </c>
      <c r="I1261" s="1"/>
      <c r="J1261" s="1" t="str">
        <f ca="1">IFERROR(__xludf.DUMMYFUNCTION("""COMPUTED_VALUE"""),"0d 00h 01m")</f>
        <v>0d 00h 01m</v>
      </c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13.2">
      <c r="A1262" s="1">
        <f ca="1">IFERROR(__xludf.DUMMYFUNCTION("""COMPUTED_VALUE"""),75)</f>
        <v>75</v>
      </c>
      <c r="B1262" s="1" t="str">
        <f ca="1">IFERROR(__xludf.DUMMYFUNCTION("""COMPUTED_VALUE"""),"NW3_KA04D5126_TANKER")</f>
        <v>NW3_KA04D5126_TANKER</v>
      </c>
      <c r="C1262" s="1" t="str">
        <f ca="1">IFERROR(__xludf.DUMMYFUNCTION("""COMPUTED_VALUE"""),"nw3_ka04d5126_tanker")</f>
        <v>nw3_ka04d5126_tanker</v>
      </c>
      <c r="D1262" s="2">
        <f ca="1">IFERROR(__xludf.DUMMYFUNCTION("""COMPUTED_VALUE"""),41640)</f>
        <v>41640</v>
      </c>
      <c r="E1262" s="3">
        <f ca="1">IFERROR(__xludf.DUMMYFUNCTION("""COMPUTED_VALUE"""),0.65454861110993)</f>
        <v>0.65454861110993001</v>
      </c>
      <c r="F1262" s="1">
        <f ca="1">IFERROR(__xludf.DUMMYFUNCTION("""COMPUTED_VALUE"""),18784)</f>
        <v>18784</v>
      </c>
      <c r="G1262" s="1" t="str">
        <f ca="1">IFERROR(__xludf.DUMMYFUNCTION("""COMPUTED_VALUE"""),"13.0433/77.5155")</f>
        <v>13.0433/77.5155</v>
      </c>
      <c r="H1262" s="1" t="str">
        <f ca="1">IFERROR(__xludf.DUMMYFUNCTION("""COMPUTED_VALUE"""),"Dasarhalli")</f>
        <v>Dasarhalli</v>
      </c>
      <c r="I1262" s="1"/>
      <c r="J1262" s="1" t="str">
        <f ca="1">IFERROR(__xludf.DUMMYFUNCTION("""COMPUTED_VALUE"""),"0d 00h 00m")</f>
        <v>0d 00h 00m</v>
      </c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13.2">
      <c r="A1263" s="1">
        <f ca="1">IFERROR(__xludf.DUMMYFUNCTION("""COMPUTED_VALUE"""),75)</f>
        <v>75</v>
      </c>
      <c r="B1263" s="1" t="str">
        <f ca="1">IFERROR(__xludf.DUMMYFUNCTION("""COMPUTED_VALUE"""),"NW3_KA04D5126_TANKER")</f>
        <v>NW3_KA04D5126_TANKER</v>
      </c>
      <c r="C1263" s="1" t="str">
        <f ca="1">IFERROR(__xludf.DUMMYFUNCTION("""COMPUTED_VALUE"""),"nw3_ka04d5126_tanker")</f>
        <v>nw3_ka04d5126_tanker</v>
      </c>
      <c r="D1263" s="2">
        <f ca="1">IFERROR(__xludf.DUMMYFUNCTION("""COMPUTED_VALUE"""),41640)</f>
        <v>41640</v>
      </c>
      <c r="E1263" s="3">
        <f ca="1">IFERROR(__xludf.DUMMYFUNCTION("""COMPUTED_VALUE"""),0.65454861110993)</f>
        <v>0.65454861110993001</v>
      </c>
      <c r="F1263" s="1">
        <f ca="1">IFERROR(__xludf.DUMMYFUNCTION("""COMPUTED_VALUE"""),18784)</f>
        <v>18784</v>
      </c>
      <c r="G1263" s="1" t="str">
        <f ca="1">IFERROR(__xludf.DUMMYFUNCTION("""COMPUTED_VALUE"""),"13.0433/77.5155")</f>
        <v>13.0433/77.5155</v>
      </c>
      <c r="H1263" s="1" t="str">
        <f ca="1">IFERROR(__xludf.DUMMYFUNCTION("""COMPUTED_VALUE"""),"Dasarhalli")</f>
        <v>Dasarhalli</v>
      </c>
      <c r="I1263" s="1"/>
      <c r="J1263" s="1" t="str">
        <f ca="1">IFERROR(__xludf.DUMMYFUNCTION("""COMPUTED_VALUE"""),"0d 00h 00m")</f>
        <v>0d 00h 00m</v>
      </c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13.2">
      <c r="A1264" s="1">
        <f ca="1">IFERROR(__xludf.DUMMYFUNCTION("""COMPUTED_VALUE"""),75)</f>
        <v>75</v>
      </c>
      <c r="B1264" s="1" t="str">
        <f ca="1">IFERROR(__xludf.DUMMYFUNCTION("""COMPUTED_VALUE"""),"NW3_KA04D5126_TANKER")</f>
        <v>NW3_KA04D5126_TANKER</v>
      </c>
      <c r="C1264" s="1" t="str">
        <f ca="1">IFERROR(__xludf.DUMMYFUNCTION("""COMPUTED_VALUE"""),"nw3_ka04d5126_tanker")</f>
        <v>nw3_ka04d5126_tanker</v>
      </c>
      <c r="D1264" s="2">
        <f ca="1">IFERROR(__xludf.DUMMYFUNCTION("""COMPUTED_VALUE"""),41640)</f>
        <v>41640</v>
      </c>
      <c r="E1264" s="3">
        <f ca="1">IFERROR(__xludf.DUMMYFUNCTION("""COMPUTED_VALUE"""),0.65454861110993)</f>
        <v>0.65454861110993001</v>
      </c>
      <c r="F1264" s="1">
        <f ca="1">IFERROR(__xludf.DUMMYFUNCTION("""COMPUTED_VALUE"""),18784)</f>
        <v>18784</v>
      </c>
      <c r="G1264" s="1" t="str">
        <f ca="1">IFERROR(__xludf.DUMMYFUNCTION("""COMPUTED_VALUE"""),"13.0433/77.5155")</f>
        <v>13.0433/77.5155</v>
      </c>
      <c r="H1264" s="1" t="str">
        <f ca="1">IFERROR(__xludf.DUMMYFUNCTION("""COMPUTED_VALUE"""),"DÄsarhalli")</f>
        <v>DÄsarhalli</v>
      </c>
      <c r="I1264" s="1"/>
      <c r="J1264" s="1" t="str">
        <f ca="1">IFERROR(__xludf.DUMMYFUNCTION("""COMPUTED_VALUE"""),"0d 00h 00m")</f>
        <v>0d 00h 00m</v>
      </c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13.2">
      <c r="A1265" s="1">
        <f ca="1">IFERROR(__xludf.DUMMYFUNCTION("""COMPUTED_VALUE"""),138)</f>
        <v>138</v>
      </c>
      <c r="B1265" s="1" t="str">
        <f ca="1">IFERROR(__xludf.DUMMYFUNCTION("""COMPUTED_VALUE"""),"NW3_KA04D5165_Jetting")</f>
        <v>NW3_KA04D5165_Jetting</v>
      </c>
      <c r="C1265" s="1" t="str">
        <f ca="1">IFERROR(__xludf.DUMMYFUNCTION("""COMPUTED_VALUE"""),"nw3_ka04d5165_jetting")</f>
        <v>nw3_ka04d5165_jetting</v>
      </c>
      <c r="D1265" s="2">
        <f ca="1">IFERROR(__xludf.DUMMYFUNCTION("""COMPUTED_VALUE"""),44707)</f>
        <v>44707</v>
      </c>
      <c r="E1265" s="3">
        <f ca="1">IFERROR(__xludf.DUMMYFUNCTION("""COMPUTED_VALUE"""),0.714120370368618)</f>
        <v>0.71412037036861797</v>
      </c>
      <c r="F1265" s="1">
        <f ca="1">IFERROR(__xludf.DUMMYFUNCTION("""COMPUTED_VALUE"""),20742)</f>
        <v>20742</v>
      </c>
      <c r="G1265" s="1" t="str">
        <f ca="1">IFERROR(__xludf.DUMMYFUNCTION("""COMPUTED_VALUE"""),"13.0327/77.5182")</f>
        <v>13.0327/77.5182</v>
      </c>
      <c r="H1265" s="1" t="str">
        <f ca="1">IFERROR(__xludf.DUMMYFUNCTION("""COMPUTED_VALUE"""),"Choksandra")</f>
        <v>Choksandra</v>
      </c>
      <c r="I1265" s="1"/>
      <c r="J1265" s="1" t="str">
        <f ca="1">IFERROR(__xludf.DUMMYFUNCTION("""COMPUTED_VALUE"""),"0d 00h 22m")</f>
        <v>0d 00h 22m</v>
      </c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13.2">
      <c r="A1266" s="1">
        <f ca="1">IFERROR(__xludf.DUMMYFUNCTION("""COMPUTED_VALUE"""),105)</f>
        <v>105</v>
      </c>
      <c r="B1266" s="1" t="str">
        <f ca="1">IFERROR(__xludf.DUMMYFUNCTION("""COMPUTED_VALUE"""),"NW3_KA04D5165_Jetting")</f>
        <v>NW3_KA04D5165_Jetting</v>
      </c>
      <c r="C1266" s="1" t="str">
        <f ca="1">IFERROR(__xludf.DUMMYFUNCTION("""COMPUTED_VALUE"""),"nw3_ka04d5165_jetting")</f>
        <v>nw3_ka04d5165_jetting</v>
      </c>
      <c r="D1266" s="2">
        <f ca="1">IFERROR(__xludf.DUMMYFUNCTION("""COMPUTED_VALUE"""),44734)</f>
        <v>44734</v>
      </c>
      <c r="E1266" s="3">
        <f ca="1">IFERROR(__xludf.DUMMYFUNCTION("""COMPUTED_VALUE"""),0.546550925926567)</f>
        <v>0.54655092592656696</v>
      </c>
      <c r="F1266" s="1">
        <f ca="1">IFERROR(__xludf.DUMMYFUNCTION("""COMPUTED_VALUE"""),20960)</f>
        <v>20960</v>
      </c>
      <c r="G1266" s="1" t="str">
        <f ca="1">IFERROR(__xludf.DUMMYFUNCTION("""COMPUTED_VALUE"""),"13.0324/77.5186")</f>
        <v>13.0324/77.5186</v>
      </c>
      <c r="H1266" s="1" t="str">
        <f ca="1">IFERROR(__xludf.DUMMYFUNCTION("""COMPUTED_VALUE"""),"Choksandra")</f>
        <v>Choksandra</v>
      </c>
      <c r="I1266" s="1"/>
      <c r="J1266" s="1" t="str">
        <f ca="1">IFERROR(__xludf.DUMMYFUNCTION("""COMPUTED_VALUE"""),"0d 00h 23m")</f>
        <v>0d 00h 23m</v>
      </c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13.2">
      <c r="A1267" s="1">
        <f ca="1">IFERROR(__xludf.DUMMYFUNCTION("""COMPUTED_VALUE"""),148)</f>
        <v>148</v>
      </c>
      <c r="B1267" s="1" t="str">
        <f ca="1">IFERROR(__xludf.DUMMYFUNCTION("""COMPUTED_VALUE"""),"NW3_KA04D5165_Jetting")</f>
        <v>NW3_KA04D5165_Jetting</v>
      </c>
      <c r="C1267" s="1" t="str">
        <f ca="1">IFERROR(__xludf.DUMMYFUNCTION("""COMPUTED_VALUE"""),"nw3_ka04d5165_jetting")</f>
        <v>nw3_ka04d5165_jetting</v>
      </c>
      <c r="D1267" s="2">
        <f ca="1">IFERROR(__xludf.DUMMYFUNCTION("""COMPUTED_VALUE"""),44768)</f>
        <v>44768</v>
      </c>
      <c r="E1267" s="3">
        <f ca="1">IFERROR(__xludf.DUMMYFUNCTION("""COMPUTED_VALUE"""),0.714097222222335)</f>
        <v>0.71409722222233496</v>
      </c>
      <c r="F1267" s="1">
        <f ca="1">IFERROR(__xludf.DUMMYFUNCTION("""COMPUTED_VALUE"""),21130)</f>
        <v>21130</v>
      </c>
      <c r="G1267" s="1" t="str">
        <f ca="1">IFERROR(__xludf.DUMMYFUNCTION("""COMPUTED_VALUE"""),"13.0328/77.5182")</f>
        <v>13.0328/77.5182</v>
      </c>
      <c r="H1267" s="1" t="str">
        <f ca="1">IFERROR(__xludf.DUMMYFUNCTION("""COMPUTED_VALUE"""),"Choksandra")</f>
        <v>Choksandra</v>
      </c>
      <c r="I1267" s="1"/>
      <c r="J1267" s="1" t="str">
        <f ca="1">IFERROR(__xludf.DUMMYFUNCTION("""COMPUTED_VALUE"""),"0d 00h 24m")</f>
        <v>0d 00h 24m</v>
      </c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13.2">
      <c r="A1268" s="1">
        <f ca="1">IFERROR(__xludf.DUMMYFUNCTION("""COMPUTED_VALUE"""),147)</f>
        <v>147</v>
      </c>
      <c r="B1268" s="1" t="str">
        <f ca="1">IFERROR(__xludf.DUMMYFUNCTION("""COMPUTED_VALUE"""),"NW3_KA04D5165_Jetting")</f>
        <v>NW3_KA04D5165_Jetting</v>
      </c>
      <c r="C1268" s="1" t="str">
        <f ca="1">IFERROR(__xludf.DUMMYFUNCTION("""COMPUTED_VALUE"""),"nw3_ka04d5165_jetting")</f>
        <v>nw3_ka04d5165_jetting</v>
      </c>
      <c r="D1268" s="2">
        <f ca="1">IFERROR(__xludf.DUMMYFUNCTION("""COMPUTED_VALUE"""),44799)</f>
        <v>44799</v>
      </c>
      <c r="E1268" s="3">
        <f ca="1">IFERROR(__xludf.DUMMYFUNCTION("""COMPUTED_VALUE"""),0.511979166665696)</f>
        <v>0.51197916666569598</v>
      </c>
      <c r="F1268" s="1">
        <f ca="1">IFERROR(__xludf.DUMMYFUNCTION("""COMPUTED_VALUE"""),21358)</f>
        <v>21358</v>
      </c>
      <c r="G1268" s="1" t="str">
        <f ca="1">IFERROR(__xludf.DUMMYFUNCTION("""COMPUTED_VALUE"""),"13.0331/77.5195")</f>
        <v>13.0331/77.5195</v>
      </c>
      <c r="H1268" s="1" t="str">
        <f ca="1">IFERROR(__xludf.DUMMYFUNCTION("""COMPUTED_VALUE"""),"Chokkasandra")</f>
        <v>Chokkasandra</v>
      </c>
      <c r="I1268" s="1"/>
      <c r="J1268" s="1" t="str">
        <f ca="1">IFERROR(__xludf.DUMMYFUNCTION("""COMPUTED_VALUE"""),"0d 00h 25m")</f>
        <v>0d 00h 25m</v>
      </c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13.2">
      <c r="A1269" s="1">
        <f ca="1">IFERROR(__xludf.DUMMYFUNCTION("""COMPUTED_VALUE"""),83)</f>
        <v>83</v>
      </c>
      <c r="B1269" s="1" t="str">
        <f ca="1">IFERROR(__xludf.DUMMYFUNCTION("""COMPUTED_VALUE"""),"NW3_KA04D5165_Jetting")</f>
        <v>NW3_KA04D5165_Jetting</v>
      </c>
      <c r="C1269" s="1" t="str">
        <f ca="1">IFERROR(__xludf.DUMMYFUNCTION("""COMPUTED_VALUE"""),"nw3_ka04d5165_jetting")</f>
        <v>nw3_ka04d5165_jetting</v>
      </c>
      <c r="D1269" s="2">
        <f ca="1">IFERROR(__xludf.DUMMYFUNCTION("""COMPUTED_VALUE"""),44799)</f>
        <v>44799</v>
      </c>
      <c r="E1269" s="3">
        <f ca="1">IFERROR(__xludf.DUMMYFUNCTION("""COMPUTED_VALUE"""),0.511979166665696)</f>
        <v>0.51197916666569598</v>
      </c>
      <c r="F1269" s="1">
        <f ca="1">IFERROR(__xludf.DUMMYFUNCTION("""COMPUTED_VALUE"""),21358)</f>
        <v>21358</v>
      </c>
      <c r="G1269" s="1" t="str">
        <f ca="1">IFERROR(__xludf.DUMMYFUNCTION("""COMPUTED_VALUE"""),"13.0331/77.5195")</f>
        <v>13.0331/77.5195</v>
      </c>
      <c r="H1269" s="1" t="str">
        <f ca="1">IFERROR(__xludf.DUMMYFUNCTION("""COMPUTED_VALUE"""),"Chokkasandra")</f>
        <v>Chokkasandra</v>
      </c>
      <c r="I1269" s="1"/>
      <c r="J1269" s="1" t="str">
        <f ca="1">IFERROR(__xludf.DUMMYFUNCTION("""COMPUTED_VALUE"""),"0d 00h 25m")</f>
        <v>0d 00h 25m</v>
      </c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13.2">
      <c r="A1270" s="1">
        <f ca="1">IFERROR(__xludf.DUMMYFUNCTION("""COMPUTED_VALUE"""),59)</f>
        <v>59</v>
      </c>
      <c r="B1270" s="1" t="str">
        <f ca="1">IFERROR(__xludf.DUMMYFUNCTION("""COMPUTED_VALUE"""),"NW3_KA04D5165_Jetting")</f>
        <v>NW3_KA04D5165_Jetting</v>
      </c>
      <c r="C1270" s="1" t="str">
        <f ca="1">IFERROR(__xludf.DUMMYFUNCTION("""COMPUTED_VALUE"""),"nw3_ka04d5165_jetting")</f>
        <v>nw3_ka04d5165_jetting</v>
      </c>
      <c r="D1270" s="2">
        <f ca="1">IFERROR(__xludf.DUMMYFUNCTION("""COMPUTED_VALUE"""),44799)</f>
        <v>44799</v>
      </c>
      <c r="E1270" s="3">
        <f ca="1">IFERROR(__xludf.DUMMYFUNCTION("""COMPUTED_VALUE"""),0.511979166665696)</f>
        <v>0.51197916666569598</v>
      </c>
      <c r="F1270" s="1">
        <f ca="1">IFERROR(__xludf.DUMMYFUNCTION("""COMPUTED_VALUE"""),21358)</f>
        <v>21358</v>
      </c>
      <c r="G1270" s="1" t="str">
        <f ca="1">IFERROR(__xludf.DUMMYFUNCTION("""COMPUTED_VALUE"""),"13.0331/77.5195")</f>
        <v>13.0331/77.5195</v>
      </c>
      <c r="H1270" s="1" t="str">
        <f ca="1">IFERROR(__xludf.DUMMYFUNCTION("""COMPUTED_VALUE"""),"Chokkasandra")</f>
        <v>Chokkasandra</v>
      </c>
      <c r="I1270" s="1"/>
      <c r="J1270" s="1" t="str">
        <f ca="1">IFERROR(__xludf.DUMMYFUNCTION("""COMPUTED_VALUE"""),"0d 00h 00m")</f>
        <v>0d 00h 00m</v>
      </c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13.2">
      <c r="A1271" s="1">
        <f ca="1">IFERROR(__xludf.DUMMYFUNCTION("""COMPUTED_VALUE"""),16)</f>
        <v>16</v>
      </c>
      <c r="B1271" s="1" t="str">
        <f ca="1">IFERROR(__xludf.DUMMYFUNCTION("""COMPUTED_VALUE"""),"NW3_KA04D5235_TANKER")</f>
        <v>NW3_KA04D5235_TANKER</v>
      </c>
      <c r="C1271" s="1" t="str">
        <f ca="1">IFERROR(__xludf.DUMMYFUNCTION("""COMPUTED_VALUE"""),"nw3_ka04d5235_tanker")</f>
        <v>nw3_ka04d5235_tanker</v>
      </c>
      <c r="D1271" s="2">
        <f ca="1">IFERROR(__xludf.DUMMYFUNCTION("""COMPUTED_VALUE"""),41640)</f>
        <v>41640</v>
      </c>
      <c r="E1271" s="3">
        <f ca="1">IFERROR(__xludf.DUMMYFUNCTION("""COMPUTED_VALUE"""),0.229641203703067)</f>
        <v>0.22964120370306701</v>
      </c>
      <c r="F1271" s="1">
        <f ca="1">IFERROR(__xludf.DUMMYFUNCTION("""COMPUTED_VALUE"""),28565)</f>
        <v>28565</v>
      </c>
      <c r="G1271" s="1"/>
      <c r="H1271" s="1"/>
      <c r="I1271" s="1"/>
      <c r="J1271" s="1" t="str">
        <f ca="1">IFERROR(__xludf.DUMMYFUNCTION("""COMPUTED_VALUE"""),"0d 00h 00m")</f>
        <v>0d 00h 00m</v>
      </c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13.2">
      <c r="A1272" s="1">
        <f ca="1">IFERROR(__xludf.DUMMYFUNCTION("""COMPUTED_VALUE"""),16)</f>
        <v>16</v>
      </c>
      <c r="B1272" s="1" t="str">
        <f ca="1">IFERROR(__xludf.DUMMYFUNCTION("""COMPUTED_VALUE"""),"NW3_KA04D5235_TANKER")</f>
        <v>NW3_KA04D5235_TANKER</v>
      </c>
      <c r="C1272" s="1" t="str">
        <f ca="1">IFERROR(__xludf.DUMMYFUNCTION("""COMPUTED_VALUE"""),"nw3_ka04d5235_tanker")</f>
        <v>nw3_ka04d5235_tanker</v>
      </c>
      <c r="D1272" s="2">
        <f ca="1">IFERROR(__xludf.DUMMYFUNCTION("""COMPUTED_VALUE"""),41640)</f>
        <v>41640</v>
      </c>
      <c r="E1272" s="3">
        <f ca="1">IFERROR(__xludf.DUMMYFUNCTION("""COMPUTED_VALUE"""),0.229641203703067)</f>
        <v>0.22964120370306701</v>
      </c>
      <c r="F1272" s="1">
        <f ca="1">IFERROR(__xludf.DUMMYFUNCTION("""COMPUTED_VALUE"""),28565)</f>
        <v>28565</v>
      </c>
      <c r="G1272" s="1"/>
      <c r="H1272" s="1"/>
      <c r="I1272" s="1"/>
      <c r="J1272" s="1" t="str">
        <f ca="1">IFERROR(__xludf.DUMMYFUNCTION("""COMPUTED_VALUE"""),"0d 00h 00m")</f>
        <v>0d 00h 00m</v>
      </c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13.2">
      <c r="A1273" s="1">
        <f ca="1">IFERROR(__xludf.DUMMYFUNCTION("""COMPUTED_VALUE"""),16)</f>
        <v>16</v>
      </c>
      <c r="B1273" s="1" t="str">
        <f ca="1">IFERROR(__xludf.DUMMYFUNCTION("""COMPUTED_VALUE"""),"NW3_KA04D5235_TANKER")</f>
        <v>NW3_KA04D5235_TANKER</v>
      </c>
      <c r="C1273" s="1" t="str">
        <f ca="1">IFERROR(__xludf.DUMMYFUNCTION("""COMPUTED_VALUE"""),"nw3_ka04d5235_tanker")</f>
        <v>nw3_ka04d5235_tanker</v>
      </c>
      <c r="D1273" s="2">
        <f ca="1">IFERROR(__xludf.DUMMYFUNCTION("""COMPUTED_VALUE"""),41640)</f>
        <v>41640</v>
      </c>
      <c r="E1273" s="3">
        <f ca="1">IFERROR(__xludf.DUMMYFUNCTION("""COMPUTED_VALUE"""),0.229641203703067)</f>
        <v>0.22964120370306701</v>
      </c>
      <c r="F1273" s="1">
        <f ca="1">IFERROR(__xludf.DUMMYFUNCTION("""COMPUTED_VALUE"""),28565)</f>
        <v>28565</v>
      </c>
      <c r="G1273" s="1"/>
      <c r="H1273" s="1"/>
      <c r="I1273" s="1"/>
      <c r="J1273" s="1" t="str">
        <f ca="1">IFERROR(__xludf.DUMMYFUNCTION("""COMPUTED_VALUE"""),"0d 00h 00m")</f>
        <v>0d 00h 00m</v>
      </c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13.2">
      <c r="A1274" s="1">
        <f ca="1">IFERROR(__xludf.DUMMYFUNCTION("""COMPUTED_VALUE"""),16)</f>
        <v>16</v>
      </c>
      <c r="B1274" s="1" t="str">
        <f ca="1">IFERROR(__xludf.DUMMYFUNCTION("""COMPUTED_VALUE"""),"NW3_KA04D5235_TANKER")</f>
        <v>NW3_KA04D5235_TANKER</v>
      </c>
      <c r="C1274" s="1" t="str">
        <f ca="1">IFERROR(__xludf.DUMMYFUNCTION("""COMPUTED_VALUE"""),"nw3_ka04d5235_tanker")</f>
        <v>nw3_ka04d5235_tanker</v>
      </c>
      <c r="D1274" s="2">
        <f ca="1">IFERROR(__xludf.DUMMYFUNCTION("""COMPUTED_VALUE"""),41640)</f>
        <v>41640</v>
      </c>
      <c r="E1274" s="3">
        <f ca="1">IFERROR(__xludf.DUMMYFUNCTION("""COMPUTED_VALUE"""),0.229641203703067)</f>
        <v>0.22964120370306701</v>
      </c>
      <c r="F1274" s="1">
        <f ca="1">IFERROR(__xludf.DUMMYFUNCTION("""COMPUTED_VALUE"""),28565)</f>
        <v>28565</v>
      </c>
      <c r="G1274" s="1"/>
      <c r="H1274" s="1"/>
      <c r="I1274" s="1"/>
      <c r="J1274" s="1" t="str">
        <f ca="1">IFERROR(__xludf.DUMMYFUNCTION("""COMPUTED_VALUE"""),"0d 00h 00m")</f>
        <v>0d 00h 00m</v>
      </c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13.2">
      <c r="A1275" s="1">
        <f ca="1">IFERROR(__xludf.DUMMYFUNCTION("""COMPUTED_VALUE"""),16)</f>
        <v>16</v>
      </c>
      <c r="B1275" s="1" t="str">
        <f ca="1">IFERROR(__xludf.DUMMYFUNCTION("""COMPUTED_VALUE"""),"NW3_KA04D5235_TANKER")</f>
        <v>NW3_KA04D5235_TANKER</v>
      </c>
      <c r="C1275" s="1" t="str">
        <f ca="1">IFERROR(__xludf.DUMMYFUNCTION("""COMPUTED_VALUE"""),"nw3_ka04d5235_tanker")</f>
        <v>nw3_ka04d5235_tanker</v>
      </c>
      <c r="D1275" s="2">
        <f ca="1">IFERROR(__xludf.DUMMYFUNCTION("""COMPUTED_VALUE"""),41640)</f>
        <v>41640</v>
      </c>
      <c r="E1275" s="3">
        <f ca="1">IFERROR(__xludf.DUMMYFUNCTION("""COMPUTED_VALUE"""),0.229641203703067)</f>
        <v>0.22964120370306701</v>
      </c>
      <c r="F1275" s="1">
        <f ca="1">IFERROR(__xludf.DUMMYFUNCTION("""COMPUTED_VALUE"""),28565)</f>
        <v>28565</v>
      </c>
      <c r="G1275" s="1"/>
      <c r="H1275" s="1"/>
      <c r="I1275" s="1"/>
      <c r="J1275" s="1" t="str">
        <f ca="1">IFERROR(__xludf.DUMMYFUNCTION("""COMPUTED_VALUE"""),"0d 00h 00m")</f>
        <v>0d 00h 00m</v>
      </c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13.2">
      <c r="A1276" s="1">
        <f ca="1">IFERROR(__xludf.DUMMYFUNCTION("""COMPUTED_VALUE"""),16)</f>
        <v>16</v>
      </c>
      <c r="B1276" s="1" t="str">
        <f ca="1">IFERROR(__xludf.DUMMYFUNCTION("""COMPUTED_VALUE"""),"NW3_KA04D5235_TANKER")</f>
        <v>NW3_KA04D5235_TANKER</v>
      </c>
      <c r="C1276" s="1" t="str">
        <f ca="1">IFERROR(__xludf.DUMMYFUNCTION("""COMPUTED_VALUE"""),"nw3_ka04d5235_tanker")</f>
        <v>nw3_ka04d5235_tanker</v>
      </c>
      <c r="D1276" s="2">
        <f ca="1">IFERROR(__xludf.DUMMYFUNCTION("""COMPUTED_VALUE"""),41640)</f>
        <v>41640</v>
      </c>
      <c r="E1276" s="3">
        <f ca="1">IFERROR(__xludf.DUMMYFUNCTION("""COMPUTED_VALUE"""),0.229641203703067)</f>
        <v>0.22964120370306701</v>
      </c>
      <c r="F1276" s="1">
        <f ca="1">IFERROR(__xludf.DUMMYFUNCTION("""COMPUTED_VALUE"""),28565)</f>
        <v>28565</v>
      </c>
      <c r="G1276" s="1"/>
      <c r="H1276" s="1"/>
      <c r="I1276" s="1"/>
      <c r="J1276" s="1" t="str">
        <f ca="1">IFERROR(__xludf.DUMMYFUNCTION("""COMPUTED_VALUE"""),"0d 00h 00m")</f>
        <v>0d 00h 00m</v>
      </c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13.2">
      <c r="A1277" s="1">
        <f ca="1">IFERROR(__xludf.DUMMYFUNCTION("""COMPUTED_VALUE"""),16)</f>
        <v>16</v>
      </c>
      <c r="B1277" s="1" t="str">
        <f ca="1">IFERROR(__xludf.DUMMYFUNCTION("""COMPUTED_VALUE"""),"NW3_KA04D5235_TANKER")</f>
        <v>NW3_KA04D5235_TANKER</v>
      </c>
      <c r="C1277" s="1" t="str">
        <f ca="1">IFERROR(__xludf.DUMMYFUNCTION("""COMPUTED_VALUE"""),"nw3_ka04d5235_tanker")</f>
        <v>nw3_ka04d5235_tanker</v>
      </c>
      <c r="D1277" s="2">
        <f ca="1">IFERROR(__xludf.DUMMYFUNCTION("""COMPUTED_VALUE"""),41640)</f>
        <v>41640</v>
      </c>
      <c r="E1277" s="3">
        <f ca="1">IFERROR(__xludf.DUMMYFUNCTION("""COMPUTED_VALUE"""),0.229641203703067)</f>
        <v>0.22964120370306701</v>
      </c>
      <c r="F1277" s="1">
        <f ca="1">IFERROR(__xludf.DUMMYFUNCTION("""COMPUTED_VALUE"""),28565)</f>
        <v>28565</v>
      </c>
      <c r="G1277" s="1"/>
      <c r="H1277" s="1"/>
      <c r="I1277" s="1"/>
      <c r="J1277" s="1" t="str">
        <f ca="1">IFERROR(__xludf.DUMMYFUNCTION("""COMPUTED_VALUE"""),"0d 00h 00m")</f>
        <v>0d 00h 00m</v>
      </c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13.2">
      <c r="A1278" s="1">
        <f ca="1">IFERROR(__xludf.DUMMYFUNCTION("""COMPUTED_VALUE"""),40)</f>
        <v>40</v>
      </c>
      <c r="B1278" s="1" t="str">
        <f ca="1">IFERROR(__xludf.DUMMYFUNCTION("""COMPUTED_VALUE"""),"NW4_KA04AC5936_TANKER")</f>
        <v>NW4_KA04AC5936_TANKER</v>
      </c>
      <c r="C1278" s="1" t="str">
        <f ca="1">IFERROR(__xludf.DUMMYFUNCTION("""COMPUTED_VALUE"""),"nw4_ka04ac5936_tanker")</f>
        <v>nw4_ka04ac5936_tanker</v>
      </c>
      <c r="D1278" s="2">
        <f ca="1">IFERROR(__xludf.DUMMYFUNCTION("""COMPUTED_VALUE"""),41640)</f>
        <v>41640</v>
      </c>
      <c r="E1278" s="3">
        <f ca="1">IFERROR(__xludf.DUMMYFUNCTION("""COMPUTED_VALUE"""),0.232870370371529)</f>
        <v>0.232870370371529</v>
      </c>
      <c r="F1278" s="1">
        <f ca="1">IFERROR(__xludf.DUMMYFUNCTION("""COMPUTED_VALUE"""),19999)</f>
        <v>19999</v>
      </c>
      <c r="G1278" s="1"/>
      <c r="H1278" s="1"/>
      <c r="I1278" s="1"/>
      <c r="J1278" s="1" t="str">
        <f ca="1">IFERROR(__xludf.DUMMYFUNCTION("""COMPUTED_VALUE"""),"0d 02h 29m")</f>
        <v>0d 02h 29m</v>
      </c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13.2">
      <c r="A1279" s="1">
        <f ca="1">IFERROR(__xludf.DUMMYFUNCTION("""COMPUTED_VALUE"""),40)</f>
        <v>40</v>
      </c>
      <c r="B1279" s="1" t="str">
        <f ca="1">IFERROR(__xludf.DUMMYFUNCTION("""COMPUTED_VALUE"""),"NW4_KA04AC5936_TANKER")</f>
        <v>NW4_KA04AC5936_TANKER</v>
      </c>
      <c r="C1279" s="1" t="str">
        <f ca="1">IFERROR(__xludf.DUMMYFUNCTION("""COMPUTED_VALUE"""),"nw4_ka04ac5936_tanker")</f>
        <v>nw4_ka04ac5936_tanker</v>
      </c>
      <c r="D1279" s="2">
        <f ca="1">IFERROR(__xludf.DUMMYFUNCTION("""COMPUTED_VALUE"""),41640)</f>
        <v>41640</v>
      </c>
      <c r="E1279" s="3">
        <f ca="1">IFERROR(__xludf.DUMMYFUNCTION("""COMPUTED_VALUE"""),0.232870370371529)</f>
        <v>0.232870370371529</v>
      </c>
      <c r="F1279" s="1">
        <f ca="1">IFERROR(__xludf.DUMMYFUNCTION("""COMPUTED_VALUE"""),19999)</f>
        <v>19999</v>
      </c>
      <c r="G1279" s="1"/>
      <c r="H1279" s="1"/>
      <c r="I1279" s="1"/>
      <c r="J1279" s="1" t="str">
        <f ca="1">IFERROR(__xludf.DUMMYFUNCTION("""COMPUTED_VALUE"""),"0d 02h 30m")</f>
        <v>0d 02h 30m</v>
      </c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13.2">
      <c r="A1280" s="1">
        <f ca="1">IFERROR(__xludf.DUMMYFUNCTION("""COMPUTED_VALUE"""),40)</f>
        <v>40</v>
      </c>
      <c r="B1280" s="1" t="str">
        <f ca="1">IFERROR(__xludf.DUMMYFUNCTION("""COMPUTED_VALUE"""),"NW4_KA04AC5936_TANKER")</f>
        <v>NW4_KA04AC5936_TANKER</v>
      </c>
      <c r="C1280" s="1" t="str">
        <f ca="1">IFERROR(__xludf.DUMMYFUNCTION("""COMPUTED_VALUE"""),"nw4_ka04ac5936_tanker")</f>
        <v>nw4_ka04ac5936_tanker</v>
      </c>
      <c r="D1280" s="2">
        <f ca="1">IFERROR(__xludf.DUMMYFUNCTION("""COMPUTED_VALUE"""),41640)</f>
        <v>41640</v>
      </c>
      <c r="E1280" s="3">
        <f ca="1">IFERROR(__xludf.DUMMYFUNCTION("""COMPUTED_VALUE"""),0.232870370371529)</f>
        <v>0.232870370371529</v>
      </c>
      <c r="F1280" s="1">
        <f ca="1">IFERROR(__xludf.DUMMYFUNCTION("""COMPUTED_VALUE"""),19999)</f>
        <v>19999</v>
      </c>
      <c r="G1280" s="1"/>
      <c r="H1280" s="1"/>
      <c r="I1280" s="1"/>
      <c r="J1280" s="1" t="str">
        <f ca="1">IFERROR(__xludf.DUMMYFUNCTION("""COMPUTED_VALUE"""),"0d 02h 33m")</f>
        <v>0d 02h 33m</v>
      </c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13.2">
      <c r="A1281" s="1">
        <f ca="1">IFERROR(__xludf.DUMMYFUNCTION("""COMPUTED_VALUE"""),40)</f>
        <v>40</v>
      </c>
      <c r="B1281" s="1" t="str">
        <f ca="1">IFERROR(__xludf.DUMMYFUNCTION("""COMPUTED_VALUE"""),"NW4_KA04AC5936_TANKER")</f>
        <v>NW4_KA04AC5936_TANKER</v>
      </c>
      <c r="C1281" s="1" t="str">
        <f ca="1">IFERROR(__xludf.DUMMYFUNCTION("""COMPUTED_VALUE"""),"nw4_ka04ac5936_tanker")</f>
        <v>nw4_ka04ac5936_tanker</v>
      </c>
      <c r="D1281" s="2">
        <f ca="1">IFERROR(__xludf.DUMMYFUNCTION("""COMPUTED_VALUE"""),41640)</f>
        <v>41640</v>
      </c>
      <c r="E1281" s="3">
        <f ca="1">IFERROR(__xludf.DUMMYFUNCTION("""COMPUTED_VALUE"""),0.232870370371529)</f>
        <v>0.232870370371529</v>
      </c>
      <c r="F1281" s="1">
        <f ca="1">IFERROR(__xludf.DUMMYFUNCTION("""COMPUTED_VALUE"""),19999)</f>
        <v>19999</v>
      </c>
      <c r="G1281" s="1"/>
      <c r="H1281" s="1"/>
      <c r="I1281" s="1"/>
      <c r="J1281" s="1" t="str">
        <f ca="1">IFERROR(__xludf.DUMMYFUNCTION("""COMPUTED_VALUE"""),"0d 02h 34m")</f>
        <v>0d 02h 34m</v>
      </c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13.2">
      <c r="A1282" s="1">
        <f ca="1">IFERROR(__xludf.DUMMYFUNCTION("""COMPUTED_VALUE"""),40)</f>
        <v>40</v>
      </c>
      <c r="B1282" s="1" t="str">
        <f ca="1">IFERROR(__xludf.DUMMYFUNCTION("""COMPUTED_VALUE"""),"NW4_KA04AC5936_TANKER")</f>
        <v>NW4_KA04AC5936_TANKER</v>
      </c>
      <c r="C1282" s="1" t="str">
        <f ca="1">IFERROR(__xludf.DUMMYFUNCTION("""COMPUTED_VALUE"""),"nw4_ka04ac5936_tanker")</f>
        <v>nw4_ka04ac5936_tanker</v>
      </c>
      <c r="D1282" s="2">
        <f ca="1">IFERROR(__xludf.DUMMYFUNCTION("""COMPUTED_VALUE"""),41640)</f>
        <v>41640</v>
      </c>
      <c r="E1282" s="3">
        <f ca="1">IFERROR(__xludf.DUMMYFUNCTION("""COMPUTED_VALUE"""),0.232870370371529)</f>
        <v>0.232870370371529</v>
      </c>
      <c r="F1282" s="1">
        <f ca="1">IFERROR(__xludf.DUMMYFUNCTION("""COMPUTED_VALUE"""),19999)</f>
        <v>19999</v>
      </c>
      <c r="G1282" s="1"/>
      <c r="H1282" s="1"/>
      <c r="I1282" s="1"/>
      <c r="J1282" s="1" t="str">
        <f ca="1">IFERROR(__xludf.DUMMYFUNCTION("""COMPUTED_VALUE"""),"0d 02h 35m")</f>
        <v>0d 02h 35m</v>
      </c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13.2">
      <c r="A1283" s="1">
        <f ca="1">IFERROR(__xludf.DUMMYFUNCTION("""COMPUTED_VALUE"""),40)</f>
        <v>40</v>
      </c>
      <c r="B1283" s="1" t="str">
        <f ca="1">IFERROR(__xludf.DUMMYFUNCTION("""COMPUTED_VALUE"""),"NW4_KA04AC5936_TANKER")</f>
        <v>NW4_KA04AC5936_TANKER</v>
      </c>
      <c r="C1283" s="1" t="str">
        <f ca="1">IFERROR(__xludf.DUMMYFUNCTION("""COMPUTED_VALUE"""),"nw4_ka04ac5936_tanker")</f>
        <v>nw4_ka04ac5936_tanker</v>
      </c>
      <c r="D1283" s="2">
        <f ca="1">IFERROR(__xludf.DUMMYFUNCTION("""COMPUTED_VALUE"""),41640)</f>
        <v>41640</v>
      </c>
      <c r="E1283" s="3">
        <f ca="1">IFERROR(__xludf.DUMMYFUNCTION("""COMPUTED_VALUE"""),0.232870370371529)</f>
        <v>0.232870370371529</v>
      </c>
      <c r="F1283" s="1">
        <f ca="1">IFERROR(__xludf.DUMMYFUNCTION("""COMPUTED_VALUE"""),19999)</f>
        <v>19999</v>
      </c>
      <c r="G1283" s="1"/>
      <c r="H1283" s="1"/>
      <c r="I1283" s="1"/>
      <c r="J1283" s="1" t="str">
        <f ca="1">IFERROR(__xludf.DUMMYFUNCTION("""COMPUTED_VALUE"""),"0d 02h 36m")</f>
        <v>0d 02h 36m</v>
      </c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13.2">
      <c r="A1284" s="1">
        <f ca="1">IFERROR(__xludf.DUMMYFUNCTION("""COMPUTED_VALUE"""),40)</f>
        <v>40</v>
      </c>
      <c r="B1284" s="1" t="str">
        <f ca="1">IFERROR(__xludf.DUMMYFUNCTION("""COMPUTED_VALUE"""),"NW4_KA04AC5936_TANKER")</f>
        <v>NW4_KA04AC5936_TANKER</v>
      </c>
      <c r="C1284" s="1" t="str">
        <f ca="1">IFERROR(__xludf.DUMMYFUNCTION("""COMPUTED_VALUE"""),"nw4_ka04ac5936_tanker")</f>
        <v>nw4_ka04ac5936_tanker</v>
      </c>
      <c r="D1284" s="2">
        <f ca="1">IFERROR(__xludf.DUMMYFUNCTION("""COMPUTED_VALUE"""),41640)</f>
        <v>41640</v>
      </c>
      <c r="E1284" s="3">
        <f ca="1">IFERROR(__xludf.DUMMYFUNCTION("""COMPUTED_VALUE"""),0.232870370371529)</f>
        <v>0.232870370371529</v>
      </c>
      <c r="F1284" s="1">
        <f ca="1">IFERROR(__xludf.DUMMYFUNCTION("""COMPUTED_VALUE"""),19999)</f>
        <v>19999</v>
      </c>
      <c r="G1284" s="1"/>
      <c r="H1284" s="1"/>
      <c r="I1284" s="1"/>
      <c r="J1284" s="1" t="str">
        <f ca="1">IFERROR(__xludf.DUMMYFUNCTION("""COMPUTED_VALUE"""),"0d 02h 37m")</f>
        <v>0d 02h 37m</v>
      </c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13.2">
      <c r="A1285" s="1">
        <f ca="1">IFERROR(__xludf.DUMMYFUNCTION("""COMPUTED_VALUE"""),24)</f>
        <v>24</v>
      </c>
      <c r="B1285" s="1" t="str">
        <f ca="1">IFERROR(__xludf.DUMMYFUNCTION("""COMPUTED_VALUE"""),"NW4_KA04C5135_JETTING")</f>
        <v>NW4_KA04C5135_JETTING</v>
      </c>
      <c r="C1285" s="1" t="str">
        <f ca="1">IFERROR(__xludf.DUMMYFUNCTION("""COMPUTED_VALUE"""),"nw4_ka04c5135_jetting")</f>
        <v>nw4_ka04c5135_jetting</v>
      </c>
      <c r="D1285" s="2">
        <f ca="1">IFERROR(__xludf.DUMMYFUNCTION("""COMPUTED_VALUE"""),41640)</f>
        <v>41640</v>
      </c>
      <c r="E1285" s="3">
        <f ca="1">IFERROR(__xludf.DUMMYFUNCTION("""COMPUTED_VALUE"""),0.229872685184091)</f>
        <v>0.22987268518409101</v>
      </c>
      <c r="F1285" s="1">
        <f ca="1">IFERROR(__xludf.DUMMYFUNCTION("""COMPUTED_VALUE"""),15276)</f>
        <v>15276</v>
      </c>
      <c r="G1285" s="1"/>
      <c r="H1285" s="1"/>
      <c r="I1285" s="1"/>
      <c r="J1285" s="1" t="str">
        <f ca="1">IFERROR(__xludf.DUMMYFUNCTION("""COMPUTED_VALUE"""),"0d 00h 00m")</f>
        <v>0d 00h 00m</v>
      </c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13.2">
      <c r="A1286" s="1">
        <f ca="1">IFERROR(__xludf.DUMMYFUNCTION("""COMPUTED_VALUE"""),24)</f>
        <v>24</v>
      </c>
      <c r="B1286" s="1" t="str">
        <f ca="1">IFERROR(__xludf.DUMMYFUNCTION("""COMPUTED_VALUE"""),"NW4_KA04C5135_JETTING")</f>
        <v>NW4_KA04C5135_JETTING</v>
      </c>
      <c r="C1286" s="1" t="str">
        <f ca="1">IFERROR(__xludf.DUMMYFUNCTION("""COMPUTED_VALUE"""),"nw4_ka04c5135_jetting")</f>
        <v>nw4_ka04c5135_jetting</v>
      </c>
      <c r="D1286" s="2">
        <f ca="1">IFERROR(__xludf.DUMMYFUNCTION("""COMPUTED_VALUE"""),41640)</f>
        <v>41640</v>
      </c>
      <c r="E1286" s="3">
        <f ca="1">IFERROR(__xludf.DUMMYFUNCTION("""COMPUTED_VALUE"""),0.229872685184091)</f>
        <v>0.22987268518409101</v>
      </c>
      <c r="F1286" s="1">
        <f ca="1">IFERROR(__xludf.DUMMYFUNCTION("""COMPUTED_VALUE"""),15276)</f>
        <v>15276</v>
      </c>
      <c r="G1286" s="1"/>
      <c r="H1286" s="1"/>
      <c r="I1286" s="1"/>
      <c r="J1286" s="1" t="str">
        <f ca="1">IFERROR(__xludf.DUMMYFUNCTION("""COMPUTED_VALUE"""),"0d 00h 00m")</f>
        <v>0d 00h 00m</v>
      </c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13.2">
      <c r="A1287" s="1">
        <f ca="1">IFERROR(__xludf.DUMMYFUNCTION("""COMPUTED_VALUE"""),24)</f>
        <v>24</v>
      </c>
      <c r="B1287" s="1" t="str">
        <f ca="1">IFERROR(__xludf.DUMMYFUNCTION("""COMPUTED_VALUE"""),"NW4_KA04C5135_JETTING")</f>
        <v>NW4_KA04C5135_JETTING</v>
      </c>
      <c r="C1287" s="1" t="str">
        <f ca="1">IFERROR(__xludf.DUMMYFUNCTION("""COMPUTED_VALUE"""),"nw4_ka04c5135_jetting")</f>
        <v>nw4_ka04c5135_jetting</v>
      </c>
      <c r="D1287" s="2">
        <f ca="1">IFERROR(__xludf.DUMMYFUNCTION("""COMPUTED_VALUE"""),41640)</f>
        <v>41640</v>
      </c>
      <c r="E1287" s="3">
        <f ca="1">IFERROR(__xludf.DUMMYFUNCTION("""COMPUTED_VALUE"""),0.229872685184091)</f>
        <v>0.22987268518409101</v>
      </c>
      <c r="F1287" s="1">
        <f ca="1">IFERROR(__xludf.DUMMYFUNCTION("""COMPUTED_VALUE"""),15276)</f>
        <v>15276</v>
      </c>
      <c r="G1287" s="1"/>
      <c r="H1287" s="1"/>
      <c r="I1287" s="1"/>
      <c r="J1287" s="1" t="str">
        <f ca="1">IFERROR(__xludf.DUMMYFUNCTION("""COMPUTED_VALUE"""),"0d 00h 00m")</f>
        <v>0d 00h 00m</v>
      </c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13.2">
      <c r="A1288" s="1">
        <f ca="1">IFERROR(__xludf.DUMMYFUNCTION("""COMPUTED_VALUE"""),24)</f>
        <v>24</v>
      </c>
      <c r="B1288" s="1" t="str">
        <f ca="1">IFERROR(__xludf.DUMMYFUNCTION("""COMPUTED_VALUE"""),"NW4_KA04C5135_JETTING")</f>
        <v>NW4_KA04C5135_JETTING</v>
      </c>
      <c r="C1288" s="1" t="str">
        <f ca="1">IFERROR(__xludf.DUMMYFUNCTION("""COMPUTED_VALUE"""),"nw4_ka04c5135_jetting")</f>
        <v>nw4_ka04c5135_jetting</v>
      </c>
      <c r="D1288" s="2">
        <f ca="1">IFERROR(__xludf.DUMMYFUNCTION("""COMPUTED_VALUE"""),41640)</f>
        <v>41640</v>
      </c>
      <c r="E1288" s="3">
        <f ca="1">IFERROR(__xludf.DUMMYFUNCTION("""COMPUTED_VALUE"""),0.229872685184091)</f>
        <v>0.22987268518409101</v>
      </c>
      <c r="F1288" s="1">
        <f ca="1">IFERROR(__xludf.DUMMYFUNCTION("""COMPUTED_VALUE"""),15276)</f>
        <v>15276</v>
      </c>
      <c r="G1288" s="1"/>
      <c r="H1288" s="1"/>
      <c r="I1288" s="1"/>
      <c r="J1288" s="1" t="str">
        <f ca="1">IFERROR(__xludf.DUMMYFUNCTION("""COMPUTED_VALUE"""),"0d 00h 00m")</f>
        <v>0d 00h 00m</v>
      </c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13.2">
      <c r="A1289" s="1">
        <f ca="1">IFERROR(__xludf.DUMMYFUNCTION("""COMPUTED_VALUE"""),24)</f>
        <v>24</v>
      </c>
      <c r="B1289" s="1" t="str">
        <f ca="1">IFERROR(__xludf.DUMMYFUNCTION("""COMPUTED_VALUE"""),"NW4_KA04C5135_JETTING")</f>
        <v>NW4_KA04C5135_JETTING</v>
      </c>
      <c r="C1289" s="1" t="str">
        <f ca="1">IFERROR(__xludf.DUMMYFUNCTION("""COMPUTED_VALUE"""),"nw4_ka04c5135_jetting")</f>
        <v>nw4_ka04c5135_jetting</v>
      </c>
      <c r="D1289" s="2">
        <f ca="1">IFERROR(__xludf.DUMMYFUNCTION("""COMPUTED_VALUE"""),41640)</f>
        <v>41640</v>
      </c>
      <c r="E1289" s="3">
        <f ca="1">IFERROR(__xludf.DUMMYFUNCTION("""COMPUTED_VALUE"""),0.229872685184091)</f>
        <v>0.22987268518409101</v>
      </c>
      <c r="F1289" s="1">
        <f ca="1">IFERROR(__xludf.DUMMYFUNCTION("""COMPUTED_VALUE"""),15276)</f>
        <v>15276</v>
      </c>
      <c r="G1289" s="1"/>
      <c r="H1289" s="1"/>
      <c r="I1289" s="1"/>
      <c r="J1289" s="1" t="str">
        <f ca="1">IFERROR(__xludf.DUMMYFUNCTION("""COMPUTED_VALUE"""),"0d 00h 00m")</f>
        <v>0d 00h 00m</v>
      </c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13.2">
      <c r="A1290" s="1">
        <f ca="1">IFERROR(__xludf.DUMMYFUNCTION("""COMPUTED_VALUE"""),24)</f>
        <v>24</v>
      </c>
      <c r="B1290" s="1" t="str">
        <f ca="1">IFERROR(__xludf.DUMMYFUNCTION("""COMPUTED_VALUE"""),"NW4_KA04C5135_JETTING")</f>
        <v>NW4_KA04C5135_JETTING</v>
      </c>
      <c r="C1290" s="1" t="str">
        <f ca="1">IFERROR(__xludf.DUMMYFUNCTION("""COMPUTED_VALUE"""),"nw4_ka04c5135_jetting")</f>
        <v>nw4_ka04c5135_jetting</v>
      </c>
      <c r="D1290" s="2">
        <f ca="1">IFERROR(__xludf.DUMMYFUNCTION("""COMPUTED_VALUE"""),41640)</f>
        <v>41640</v>
      </c>
      <c r="E1290" s="3">
        <f ca="1">IFERROR(__xludf.DUMMYFUNCTION("""COMPUTED_VALUE"""),0.229872685184091)</f>
        <v>0.22987268518409101</v>
      </c>
      <c r="F1290" s="1">
        <f ca="1">IFERROR(__xludf.DUMMYFUNCTION("""COMPUTED_VALUE"""),15276)</f>
        <v>15276</v>
      </c>
      <c r="G1290" s="1"/>
      <c r="H1290" s="1"/>
      <c r="I1290" s="1"/>
      <c r="J1290" s="1" t="str">
        <f ca="1">IFERROR(__xludf.DUMMYFUNCTION("""COMPUTED_VALUE"""),"0d 00h 00m")</f>
        <v>0d 00h 00m</v>
      </c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13.2">
      <c r="A1291" s="1">
        <f ca="1">IFERROR(__xludf.DUMMYFUNCTION("""COMPUTED_VALUE"""),24)</f>
        <v>24</v>
      </c>
      <c r="B1291" s="1" t="str">
        <f ca="1">IFERROR(__xludf.DUMMYFUNCTION("""COMPUTED_VALUE"""),"NW4_KA04C5135_JETTING")</f>
        <v>NW4_KA04C5135_JETTING</v>
      </c>
      <c r="C1291" s="1" t="str">
        <f ca="1">IFERROR(__xludf.DUMMYFUNCTION("""COMPUTED_VALUE"""),"nw4_ka04c5135_jetting")</f>
        <v>nw4_ka04c5135_jetting</v>
      </c>
      <c r="D1291" s="2">
        <f ca="1">IFERROR(__xludf.DUMMYFUNCTION("""COMPUTED_VALUE"""),41640)</f>
        <v>41640</v>
      </c>
      <c r="E1291" s="3">
        <f ca="1">IFERROR(__xludf.DUMMYFUNCTION("""COMPUTED_VALUE"""),0.229872685184091)</f>
        <v>0.22987268518409101</v>
      </c>
      <c r="F1291" s="1">
        <f ca="1">IFERROR(__xludf.DUMMYFUNCTION("""COMPUTED_VALUE"""),15276)</f>
        <v>15276</v>
      </c>
      <c r="G1291" s="1"/>
      <c r="H1291" s="1"/>
      <c r="I1291" s="1"/>
      <c r="J1291" s="1" t="str">
        <f ca="1">IFERROR(__xludf.DUMMYFUNCTION("""COMPUTED_VALUE"""),"0d 00h 00m")</f>
        <v>0d 00h 00m</v>
      </c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13.2">
      <c r="A1292" s="1">
        <f ca="1">IFERROR(__xludf.DUMMYFUNCTION("""COMPUTED_VALUE"""),46)</f>
        <v>46</v>
      </c>
      <c r="B1292" s="1" t="str">
        <f ca="1">IFERROR(__xludf.DUMMYFUNCTION("""COMPUTED_VALUE"""),"S11_KA04C2198_JETTING")</f>
        <v>S11_KA04C2198_JETTING</v>
      </c>
      <c r="C1292" s="1" t="str">
        <f ca="1">IFERROR(__xludf.DUMMYFUNCTION("""COMPUTED_VALUE"""),"s11_ka04c2198_jetting")</f>
        <v>s11_ka04c2198_jetting</v>
      </c>
      <c r="D1292" s="2">
        <f ca="1">IFERROR(__xludf.DUMMYFUNCTION("""COMPUTED_VALUE"""),41640)</f>
        <v>41640</v>
      </c>
      <c r="E1292" s="3">
        <f ca="1">IFERROR(__xludf.DUMMYFUNCTION("""COMPUTED_VALUE"""),0.260127314813871)</f>
        <v>0.26012731481387102</v>
      </c>
      <c r="F1292" s="1">
        <f ca="1">IFERROR(__xludf.DUMMYFUNCTION("""COMPUTED_VALUE"""),26633)</f>
        <v>26633</v>
      </c>
      <c r="G1292" s="1"/>
      <c r="H1292" s="1"/>
      <c r="I1292" s="1"/>
      <c r="J1292" s="1" t="str">
        <f ca="1">IFERROR(__xludf.DUMMYFUNCTION("""COMPUTED_VALUE"""),"0d 18h 30m")</f>
        <v>0d 18h 30m</v>
      </c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13.2">
      <c r="A1293" s="1">
        <f ca="1">IFERROR(__xludf.DUMMYFUNCTION("""COMPUTED_VALUE"""),46)</f>
        <v>46</v>
      </c>
      <c r="B1293" s="1" t="str">
        <f ca="1">IFERROR(__xludf.DUMMYFUNCTION("""COMPUTED_VALUE"""),"S11_KA04C2198_JETTING")</f>
        <v>S11_KA04C2198_JETTING</v>
      </c>
      <c r="C1293" s="1" t="str">
        <f ca="1">IFERROR(__xludf.DUMMYFUNCTION("""COMPUTED_VALUE"""),"s11_ka04c2198_jetting")</f>
        <v>s11_ka04c2198_jetting</v>
      </c>
      <c r="D1293" s="2">
        <f ca="1">IFERROR(__xludf.DUMMYFUNCTION("""COMPUTED_VALUE"""),41640)</f>
        <v>41640</v>
      </c>
      <c r="E1293" s="3">
        <f ca="1">IFERROR(__xludf.DUMMYFUNCTION("""COMPUTED_VALUE"""),0.260127314813871)</f>
        <v>0.26012731481387102</v>
      </c>
      <c r="F1293" s="1">
        <f ca="1">IFERROR(__xludf.DUMMYFUNCTION("""COMPUTED_VALUE"""),26633)</f>
        <v>26633</v>
      </c>
      <c r="G1293" s="1"/>
      <c r="H1293" s="1"/>
      <c r="I1293" s="1"/>
      <c r="J1293" s="1" t="str">
        <f ca="1">IFERROR(__xludf.DUMMYFUNCTION("""COMPUTED_VALUE"""),"0d 18h 31m")</f>
        <v>0d 18h 31m</v>
      </c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13.2">
      <c r="A1294" s="1">
        <f ca="1">IFERROR(__xludf.DUMMYFUNCTION("""COMPUTED_VALUE"""),46)</f>
        <v>46</v>
      </c>
      <c r="B1294" s="1" t="str">
        <f ca="1">IFERROR(__xludf.DUMMYFUNCTION("""COMPUTED_VALUE"""),"S11_KA04C2198_JETTING")</f>
        <v>S11_KA04C2198_JETTING</v>
      </c>
      <c r="C1294" s="1" t="str">
        <f ca="1">IFERROR(__xludf.DUMMYFUNCTION("""COMPUTED_VALUE"""),"s11_ka04c2198_jetting")</f>
        <v>s11_ka04c2198_jetting</v>
      </c>
      <c r="D1294" s="2">
        <f ca="1">IFERROR(__xludf.DUMMYFUNCTION("""COMPUTED_VALUE"""),41640)</f>
        <v>41640</v>
      </c>
      <c r="E1294" s="3">
        <f ca="1">IFERROR(__xludf.DUMMYFUNCTION("""COMPUTED_VALUE"""),0.260127314813871)</f>
        <v>0.26012731481387102</v>
      </c>
      <c r="F1294" s="1">
        <f ca="1">IFERROR(__xludf.DUMMYFUNCTION("""COMPUTED_VALUE"""),26633)</f>
        <v>26633</v>
      </c>
      <c r="G1294" s="1"/>
      <c r="H1294" s="1"/>
      <c r="I1294" s="1"/>
      <c r="J1294" s="1" t="str">
        <f ca="1">IFERROR(__xludf.DUMMYFUNCTION("""COMPUTED_VALUE"""),"0d 18h 34m")</f>
        <v>0d 18h 34m</v>
      </c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13.2">
      <c r="A1295" s="1">
        <f ca="1">IFERROR(__xludf.DUMMYFUNCTION("""COMPUTED_VALUE"""),46)</f>
        <v>46</v>
      </c>
      <c r="B1295" s="1" t="str">
        <f ca="1">IFERROR(__xludf.DUMMYFUNCTION("""COMPUTED_VALUE"""),"S11_KA04C2198_JETTING")</f>
        <v>S11_KA04C2198_JETTING</v>
      </c>
      <c r="C1295" s="1" t="str">
        <f ca="1">IFERROR(__xludf.DUMMYFUNCTION("""COMPUTED_VALUE"""),"s11_ka04c2198_jetting")</f>
        <v>s11_ka04c2198_jetting</v>
      </c>
      <c r="D1295" s="2">
        <f ca="1">IFERROR(__xludf.DUMMYFUNCTION("""COMPUTED_VALUE"""),41640)</f>
        <v>41640</v>
      </c>
      <c r="E1295" s="3">
        <f ca="1">IFERROR(__xludf.DUMMYFUNCTION("""COMPUTED_VALUE"""),0.260127314813871)</f>
        <v>0.26012731481387102</v>
      </c>
      <c r="F1295" s="1">
        <f ca="1">IFERROR(__xludf.DUMMYFUNCTION("""COMPUTED_VALUE"""),26633)</f>
        <v>26633</v>
      </c>
      <c r="G1295" s="1"/>
      <c r="H1295" s="1"/>
      <c r="I1295" s="1"/>
      <c r="J1295" s="1" t="str">
        <f ca="1">IFERROR(__xludf.DUMMYFUNCTION("""COMPUTED_VALUE"""),"0d 18h 35m")</f>
        <v>0d 18h 35m</v>
      </c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13.2">
      <c r="A1296" s="1">
        <f ca="1">IFERROR(__xludf.DUMMYFUNCTION("""COMPUTED_VALUE"""),46)</f>
        <v>46</v>
      </c>
      <c r="B1296" s="1" t="str">
        <f ca="1">IFERROR(__xludf.DUMMYFUNCTION("""COMPUTED_VALUE"""),"S11_KA04C2198_JETTING")</f>
        <v>S11_KA04C2198_JETTING</v>
      </c>
      <c r="C1296" s="1" t="str">
        <f ca="1">IFERROR(__xludf.DUMMYFUNCTION("""COMPUTED_VALUE"""),"s11_ka04c2198_jetting")</f>
        <v>s11_ka04c2198_jetting</v>
      </c>
      <c r="D1296" s="2">
        <f ca="1">IFERROR(__xludf.DUMMYFUNCTION("""COMPUTED_VALUE"""),41640)</f>
        <v>41640</v>
      </c>
      <c r="E1296" s="3">
        <f ca="1">IFERROR(__xludf.DUMMYFUNCTION("""COMPUTED_VALUE"""),0.260127314813871)</f>
        <v>0.26012731481387102</v>
      </c>
      <c r="F1296" s="1">
        <f ca="1">IFERROR(__xludf.DUMMYFUNCTION("""COMPUTED_VALUE"""),26633)</f>
        <v>26633</v>
      </c>
      <c r="G1296" s="1"/>
      <c r="H1296" s="1"/>
      <c r="I1296" s="1"/>
      <c r="J1296" s="1" t="str">
        <f ca="1">IFERROR(__xludf.DUMMYFUNCTION("""COMPUTED_VALUE"""),"0d 18h 36m")</f>
        <v>0d 18h 36m</v>
      </c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13.2">
      <c r="A1297" s="1">
        <f ca="1">IFERROR(__xludf.DUMMYFUNCTION("""COMPUTED_VALUE"""),46)</f>
        <v>46</v>
      </c>
      <c r="B1297" s="1" t="str">
        <f ca="1">IFERROR(__xludf.DUMMYFUNCTION("""COMPUTED_VALUE"""),"S11_KA04C2198_JETTING")</f>
        <v>S11_KA04C2198_JETTING</v>
      </c>
      <c r="C1297" s="1" t="str">
        <f ca="1">IFERROR(__xludf.DUMMYFUNCTION("""COMPUTED_VALUE"""),"s11_ka04c2198_jetting")</f>
        <v>s11_ka04c2198_jetting</v>
      </c>
      <c r="D1297" s="2">
        <f ca="1">IFERROR(__xludf.DUMMYFUNCTION("""COMPUTED_VALUE"""),41640)</f>
        <v>41640</v>
      </c>
      <c r="E1297" s="3">
        <f ca="1">IFERROR(__xludf.DUMMYFUNCTION("""COMPUTED_VALUE"""),0.260127314813871)</f>
        <v>0.26012731481387102</v>
      </c>
      <c r="F1297" s="1">
        <f ca="1">IFERROR(__xludf.DUMMYFUNCTION("""COMPUTED_VALUE"""),26633)</f>
        <v>26633</v>
      </c>
      <c r="G1297" s="1"/>
      <c r="H1297" s="1"/>
      <c r="I1297" s="1"/>
      <c r="J1297" s="1" t="str">
        <f ca="1">IFERROR(__xludf.DUMMYFUNCTION("""COMPUTED_VALUE"""),"0d 18h 38m")</f>
        <v>0d 18h 38m</v>
      </c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13.2">
      <c r="A1298" s="1">
        <f ca="1">IFERROR(__xludf.DUMMYFUNCTION("""COMPUTED_VALUE"""),46)</f>
        <v>46</v>
      </c>
      <c r="B1298" s="1" t="str">
        <f ca="1">IFERROR(__xludf.DUMMYFUNCTION("""COMPUTED_VALUE"""),"S11_KA04C2198_JETTING")</f>
        <v>S11_KA04C2198_JETTING</v>
      </c>
      <c r="C1298" s="1" t="str">
        <f ca="1">IFERROR(__xludf.DUMMYFUNCTION("""COMPUTED_VALUE"""),"s11_ka04c2198_jetting")</f>
        <v>s11_ka04c2198_jetting</v>
      </c>
      <c r="D1298" s="2">
        <f ca="1">IFERROR(__xludf.DUMMYFUNCTION("""COMPUTED_VALUE"""),41640)</f>
        <v>41640</v>
      </c>
      <c r="E1298" s="3">
        <f ca="1">IFERROR(__xludf.DUMMYFUNCTION("""COMPUTED_VALUE"""),0.260127314813871)</f>
        <v>0.26012731481387102</v>
      </c>
      <c r="F1298" s="1">
        <f ca="1">IFERROR(__xludf.DUMMYFUNCTION("""COMPUTED_VALUE"""),26633)</f>
        <v>26633</v>
      </c>
      <c r="G1298" s="1"/>
      <c r="H1298" s="1"/>
      <c r="I1298" s="1"/>
      <c r="J1298" s="1" t="str">
        <f ca="1">IFERROR(__xludf.DUMMYFUNCTION("""COMPUTED_VALUE"""),"0d 18h 39m")</f>
        <v>0d 18h 39m</v>
      </c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13.2">
      <c r="A1299" s="1">
        <f ca="1">IFERROR(__xludf.DUMMYFUNCTION("""COMPUTED_VALUE"""),90)</f>
        <v>90</v>
      </c>
      <c r="B1299" s="1" t="str">
        <f ca="1">IFERROR(__xludf.DUMMYFUNCTION("""COMPUTED_VALUE"""),"S11_KA04C2203_JETTING")</f>
        <v>S11_KA04C2203_JETTING</v>
      </c>
      <c r="C1299" s="1" t="str">
        <f ca="1">IFERROR(__xludf.DUMMYFUNCTION("""COMPUTED_VALUE"""),"s11_ka04c2203_jetting")</f>
        <v>s11_ka04c2203_jetting</v>
      </c>
      <c r="D1299" s="2">
        <f ca="1">IFERROR(__xludf.DUMMYFUNCTION("""COMPUTED_VALUE"""),41640)</f>
        <v>41640</v>
      </c>
      <c r="E1299" s="3">
        <f ca="1">IFERROR(__xludf.DUMMYFUNCTION("""COMPUTED_VALUE"""),0.696701388889778)</f>
        <v>0.69670138888977795</v>
      </c>
      <c r="F1299" s="1">
        <f ca="1">IFERROR(__xludf.DUMMYFUNCTION("""COMPUTED_VALUE"""),29548)</f>
        <v>29548</v>
      </c>
      <c r="G1299" s="1" t="str">
        <f ca="1">IFERROR(__xludf.DUMMYFUNCTION("""COMPUTED_VALUE"""),"12.9074/77.5967")</f>
        <v>12.9074/77.5967</v>
      </c>
      <c r="H1299" s="1" t="str">
        <f ca="1">IFERROR(__xludf.DUMMYFUNCTION("""COMPUTED_VALUE"""),"J.P. Nagar 3rd Phase")</f>
        <v>J.P. Nagar 3rd Phase</v>
      </c>
      <c r="I1299" s="1"/>
      <c r="J1299" s="1" t="str">
        <f ca="1">IFERROR(__xludf.DUMMYFUNCTION("""COMPUTED_VALUE"""),"0d 00h 00m")</f>
        <v>0d 00h 00m</v>
      </c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13.2">
      <c r="A1300" s="1">
        <f ca="1">IFERROR(__xludf.DUMMYFUNCTION("""COMPUTED_VALUE"""),90)</f>
        <v>90</v>
      </c>
      <c r="B1300" s="1" t="str">
        <f ca="1">IFERROR(__xludf.DUMMYFUNCTION("""COMPUTED_VALUE"""),"S11_KA04C2203_JETTING")</f>
        <v>S11_KA04C2203_JETTING</v>
      </c>
      <c r="C1300" s="1" t="str">
        <f ca="1">IFERROR(__xludf.DUMMYFUNCTION("""COMPUTED_VALUE"""),"s11_ka04c2203_jetting")</f>
        <v>s11_ka04c2203_jetting</v>
      </c>
      <c r="D1300" s="2">
        <f ca="1">IFERROR(__xludf.DUMMYFUNCTION("""COMPUTED_VALUE"""),41640)</f>
        <v>41640</v>
      </c>
      <c r="E1300" s="3">
        <f ca="1">IFERROR(__xludf.DUMMYFUNCTION("""COMPUTED_VALUE"""),0.696701388889778)</f>
        <v>0.69670138888977795</v>
      </c>
      <c r="F1300" s="1">
        <f ca="1">IFERROR(__xludf.DUMMYFUNCTION("""COMPUTED_VALUE"""),29548)</f>
        <v>29548</v>
      </c>
      <c r="G1300" s="1" t="str">
        <f ca="1">IFERROR(__xludf.DUMMYFUNCTION("""COMPUTED_VALUE"""),"12.9074/77.5967")</f>
        <v>12.9074/77.5967</v>
      </c>
      <c r="H1300" s="1" t="str">
        <f ca="1">IFERROR(__xludf.DUMMYFUNCTION("""COMPUTED_VALUE"""),"J.P. Nagar 3rd Phase")</f>
        <v>J.P. Nagar 3rd Phase</v>
      </c>
      <c r="I1300" s="1"/>
      <c r="J1300" s="1" t="str">
        <f ca="1">IFERROR(__xludf.DUMMYFUNCTION("""COMPUTED_VALUE"""),"0d 00h 00m")</f>
        <v>0d 00h 00m</v>
      </c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13.2">
      <c r="A1301" s="1">
        <f ca="1">IFERROR(__xludf.DUMMYFUNCTION("""COMPUTED_VALUE"""),87)</f>
        <v>87</v>
      </c>
      <c r="B1301" s="1" t="str">
        <f ca="1">IFERROR(__xludf.DUMMYFUNCTION("""COMPUTED_VALUE"""),"S11_KA04C2203_JETTING")</f>
        <v>S11_KA04C2203_JETTING</v>
      </c>
      <c r="C1301" s="1" t="str">
        <f ca="1">IFERROR(__xludf.DUMMYFUNCTION("""COMPUTED_VALUE"""),"s11_ka04c2203_jetting")</f>
        <v>s11_ka04c2203_jetting</v>
      </c>
      <c r="D1301" s="2">
        <f ca="1">IFERROR(__xludf.DUMMYFUNCTION("""COMPUTED_VALUE"""),41640)</f>
        <v>41640</v>
      </c>
      <c r="E1301" s="3">
        <f ca="1">IFERROR(__xludf.DUMMYFUNCTION("""COMPUTED_VALUE"""),0.696701388889778)</f>
        <v>0.69670138888977795</v>
      </c>
      <c r="F1301" s="1">
        <f ca="1">IFERROR(__xludf.DUMMYFUNCTION("""COMPUTED_VALUE"""),29548)</f>
        <v>29548</v>
      </c>
      <c r="G1301" s="1" t="str">
        <f ca="1">IFERROR(__xludf.DUMMYFUNCTION("""COMPUTED_VALUE"""),"12.9074/77.5967")</f>
        <v>12.9074/77.5967</v>
      </c>
      <c r="H1301" s="1" t="str">
        <f ca="1">IFERROR(__xludf.DUMMYFUNCTION("""COMPUTED_VALUE"""),"J.P. Nagar 3rd Phase")</f>
        <v>J.P. Nagar 3rd Phase</v>
      </c>
      <c r="I1301" s="1"/>
      <c r="J1301" s="1" t="str">
        <f ca="1">IFERROR(__xludf.DUMMYFUNCTION("""COMPUTED_VALUE"""),"0d 00h 00m")</f>
        <v>0d 00h 00m</v>
      </c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13.2">
      <c r="A1302" s="1">
        <f ca="1">IFERROR(__xludf.DUMMYFUNCTION("""COMPUTED_VALUE"""),87)</f>
        <v>87</v>
      </c>
      <c r="B1302" s="1" t="str">
        <f ca="1">IFERROR(__xludf.DUMMYFUNCTION("""COMPUTED_VALUE"""),"S11_KA04C2203_JETTING")</f>
        <v>S11_KA04C2203_JETTING</v>
      </c>
      <c r="C1302" s="1" t="str">
        <f ca="1">IFERROR(__xludf.DUMMYFUNCTION("""COMPUTED_VALUE"""),"s11_ka04c2203_jetting")</f>
        <v>s11_ka04c2203_jetting</v>
      </c>
      <c r="D1302" s="2">
        <f ca="1">IFERROR(__xludf.DUMMYFUNCTION("""COMPUTED_VALUE"""),41640)</f>
        <v>41640</v>
      </c>
      <c r="E1302" s="3">
        <f ca="1">IFERROR(__xludf.DUMMYFUNCTION("""COMPUTED_VALUE"""),0.696701388889778)</f>
        <v>0.69670138888977795</v>
      </c>
      <c r="F1302" s="1">
        <f ca="1">IFERROR(__xludf.DUMMYFUNCTION("""COMPUTED_VALUE"""),29548)</f>
        <v>29548</v>
      </c>
      <c r="G1302" s="1" t="str">
        <f ca="1">IFERROR(__xludf.DUMMYFUNCTION("""COMPUTED_VALUE"""),"12.9074/77.5967")</f>
        <v>12.9074/77.5967</v>
      </c>
      <c r="H1302" s="1" t="str">
        <f ca="1">IFERROR(__xludf.DUMMYFUNCTION("""COMPUTED_VALUE"""),"J.P. Nagar 3rd Phase")</f>
        <v>J.P. Nagar 3rd Phase</v>
      </c>
      <c r="I1302" s="1"/>
      <c r="J1302" s="1" t="str">
        <f ca="1">IFERROR(__xludf.DUMMYFUNCTION("""COMPUTED_VALUE"""),"0d 00h 00m")</f>
        <v>0d 00h 00m</v>
      </c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13.2">
      <c r="A1303" s="1">
        <f ca="1">IFERROR(__xludf.DUMMYFUNCTION("""COMPUTED_VALUE"""),87)</f>
        <v>87</v>
      </c>
      <c r="B1303" s="1" t="str">
        <f ca="1">IFERROR(__xludf.DUMMYFUNCTION("""COMPUTED_VALUE"""),"S11_KA04C2203_JETTING")</f>
        <v>S11_KA04C2203_JETTING</v>
      </c>
      <c r="C1303" s="1" t="str">
        <f ca="1">IFERROR(__xludf.DUMMYFUNCTION("""COMPUTED_VALUE"""),"s11_ka04c2203_jetting")</f>
        <v>s11_ka04c2203_jetting</v>
      </c>
      <c r="D1303" s="2">
        <f ca="1">IFERROR(__xludf.DUMMYFUNCTION("""COMPUTED_VALUE"""),41640)</f>
        <v>41640</v>
      </c>
      <c r="E1303" s="3">
        <f ca="1">IFERROR(__xludf.DUMMYFUNCTION("""COMPUTED_VALUE"""),0.696701388889778)</f>
        <v>0.69670138888977795</v>
      </c>
      <c r="F1303" s="1">
        <f ca="1">IFERROR(__xludf.DUMMYFUNCTION("""COMPUTED_VALUE"""),29548)</f>
        <v>29548</v>
      </c>
      <c r="G1303" s="1" t="str">
        <f ca="1">IFERROR(__xludf.DUMMYFUNCTION("""COMPUTED_VALUE"""),"12.9074/77.5967")</f>
        <v>12.9074/77.5967</v>
      </c>
      <c r="H1303" s="1" t="str">
        <f ca="1">IFERROR(__xludf.DUMMYFUNCTION("""COMPUTED_VALUE"""),"J.P. Nagar 3rd Phase")</f>
        <v>J.P. Nagar 3rd Phase</v>
      </c>
      <c r="I1303" s="1"/>
      <c r="J1303" s="1" t="str">
        <f ca="1">IFERROR(__xludf.DUMMYFUNCTION("""COMPUTED_VALUE"""),"0d 00h 00m")</f>
        <v>0d 00h 00m</v>
      </c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13.2">
      <c r="A1304" s="1">
        <f ca="1">IFERROR(__xludf.DUMMYFUNCTION("""COMPUTED_VALUE"""),87)</f>
        <v>87</v>
      </c>
      <c r="B1304" s="1" t="str">
        <f ca="1">IFERROR(__xludf.DUMMYFUNCTION("""COMPUTED_VALUE"""),"S11_KA04C2203_JETTING")</f>
        <v>S11_KA04C2203_JETTING</v>
      </c>
      <c r="C1304" s="1" t="str">
        <f ca="1">IFERROR(__xludf.DUMMYFUNCTION("""COMPUTED_VALUE"""),"s11_ka04c2203_jetting")</f>
        <v>s11_ka04c2203_jetting</v>
      </c>
      <c r="D1304" s="2">
        <f ca="1">IFERROR(__xludf.DUMMYFUNCTION("""COMPUTED_VALUE"""),41640)</f>
        <v>41640</v>
      </c>
      <c r="E1304" s="3">
        <f ca="1">IFERROR(__xludf.DUMMYFUNCTION("""COMPUTED_VALUE"""),0.696701388889778)</f>
        <v>0.69670138888977795</v>
      </c>
      <c r="F1304" s="1">
        <f ca="1">IFERROR(__xludf.DUMMYFUNCTION("""COMPUTED_VALUE"""),29548)</f>
        <v>29548</v>
      </c>
      <c r="G1304" s="1" t="str">
        <f ca="1">IFERROR(__xludf.DUMMYFUNCTION("""COMPUTED_VALUE"""),"12.9074/77.5967")</f>
        <v>12.9074/77.5967</v>
      </c>
      <c r="H1304" s="1" t="str">
        <f ca="1">IFERROR(__xludf.DUMMYFUNCTION("""COMPUTED_VALUE"""),"J.P. Nagar 3rd Phase")</f>
        <v>J.P. Nagar 3rd Phase</v>
      </c>
      <c r="I1304" s="1"/>
      <c r="J1304" s="1" t="str">
        <f ca="1">IFERROR(__xludf.DUMMYFUNCTION("""COMPUTED_VALUE"""),"0d 00h 00m")</f>
        <v>0d 00h 00m</v>
      </c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13.2">
      <c r="A1305" s="1">
        <f ca="1">IFERROR(__xludf.DUMMYFUNCTION("""COMPUTED_VALUE"""),87)</f>
        <v>87</v>
      </c>
      <c r="B1305" s="1" t="str">
        <f ca="1">IFERROR(__xludf.DUMMYFUNCTION("""COMPUTED_VALUE"""),"S11_KA04C2203_JETTING")</f>
        <v>S11_KA04C2203_JETTING</v>
      </c>
      <c r="C1305" s="1" t="str">
        <f ca="1">IFERROR(__xludf.DUMMYFUNCTION("""COMPUTED_VALUE"""),"s11_ka04c2203_jetting")</f>
        <v>s11_ka04c2203_jetting</v>
      </c>
      <c r="D1305" s="2">
        <f ca="1">IFERROR(__xludf.DUMMYFUNCTION("""COMPUTED_VALUE"""),41640)</f>
        <v>41640</v>
      </c>
      <c r="E1305" s="3">
        <f ca="1">IFERROR(__xludf.DUMMYFUNCTION("""COMPUTED_VALUE"""),0.696701388889778)</f>
        <v>0.69670138888977795</v>
      </c>
      <c r="F1305" s="1">
        <f ca="1">IFERROR(__xludf.DUMMYFUNCTION("""COMPUTED_VALUE"""),29548)</f>
        <v>29548</v>
      </c>
      <c r="G1305" s="1" t="str">
        <f ca="1">IFERROR(__xludf.DUMMYFUNCTION("""COMPUTED_VALUE"""),"12.9074/77.5967")</f>
        <v>12.9074/77.5967</v>
      </c>
      <c r="H1305" s="1" t="str">
        <f ca="1">IFERROR(__xludf.DUMMYFUNCTION("""COMPUTED_VALUE"""),"J.P. Nagar, 3rd Phase")</f>
        <v>J.P. Nagar, 3rd Phase</v>
      </c>
      <c r="I1305" s="1"/>
      <c r="J1305" s="1" t="str">
        <f ca="1">IFERROR(__xludf.DUMMYFUNCTION("""COMPUTED_VALUE"""),"0d 00h 00m")</f>
        <v>0d 00h 00m</v>
      </c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13.2">
      <c r="A1306" s="1">
        <f ca="1">IFERROR(__xludf.DUMMYFUNCTION("""COMPUTED_VALUE"""),55)</f>
        <v>55</v>
      </c>
      <c r="B1306" s="1" t="str">
        <f ca="1">IFERROR(__xludf.DUMMYFUNCTION("""COMPUTED_VALUE"""),"S11_KA04C5151_JETTING")</f>
        <v>S11_KA04C5151_JETTING</v>
      </c>
      <c r="C1306" s="1" t="str">
        <f ca="1">IFERROR(__xludf.DUMMYFUNCTION("""COMPUTED_VALUE"""),"s11_ka04c5151_jetting")</f>
        <v>s11_ka04c5151_jetting</v>
      </c>
      <c r="D1306" s="2">
        <f ca="1">IFERROR(__xludf.DUMMYFUNCTION("""COMPUTED_VALUE"""),41640)</f>
        <v>41640</v>
      </c>
      <c r="E1306" s="3">
        <f ca="1">IFERROR(__xludf.DUMMYFUNCTION("""COMPUTED_VALUE"""),0.411076388889341)</f>
        <v>0.411076388889341</v>
      </c>
      <c r="F1306" s="1">
        <f ca="1">IFERROR(__xludf.DUMMYFUNCTION("""COMPUTED_VALUE"""),20678)</f>
        <v>20678</v>
      </c>
      <c r="G1306" s="1" t="str">
        <f ca="1">IFERROR(__xludf.DUMMYFUNCTION("""COMPUTED_VALUE"""),"12.9473/77.5964")</f>
        <v>12.9473/77.5964</v>
      </c>
      <c r="H1306" s="1" t="str">
        <f ca="1">IFERROR(__xludf.DUMMYFUNCTION("""COMPUTED_VALUE"""),"Lemon Tree Electronic City")</f>
        <v>Lemon Tree Electronic City</v>
      </c>
      <c r="I1306" s="1"/>
      <c r="J1306" s="1" t="str">
        <f ca="1">IFERROR(__xludf.DUMMYFUNCTION("""COMPUTED_VALUE"""),"0d 19h 01m")</f>
        <v>0d 19h 01m</v>
      </c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13.2">
      <c r="A1307" s="1">
        <f ca="1">IFERROR(__xludf.DUMMYFUNCTION("""COMPUTED_VALUE"""),55)</f>
        <v>55</v>
      </c>
      <c r="B1307" s="1" t="str">
        <f ca="1">IFERROR(__xludf.DUMMYFUNCTION("""COMPUTED_VALUE"""),"S11_KA04C5151_JETTING")</f>
        <v>S11_KA04C5151_JETTING</v>
      </c>
      <c r="C1307" s="1" t="str">
        <f ca="1">IFERROR(__xludf.DUMMYFUNCTION("""COMPUTED_VALUE"""),"s11_ka04c5151_jetting")</f>
        <v>s11_ka04c5151_jetting</v>
      </c>
      <c r="D1307" s="2">
        <f ca="1">IFERROR(__xludf.DUMMYFUNCTION("""COMPUTED_VALUE"""),41640)</f>
        <v>41640</v>
      </c>
      <c r="E1307" s="3">
        <f ca="1">IFERROR(__xludf.DUMMYFUNCTION("""COMPUTED_VALUE"""),0.411076388889341)</f>
        <v>0.411076388889341</v>
      </c>
      <c r="F1307" s="1">
        <f ca="1">IFERROR(__xludf.DUMMYFUNCTION("""COMPUTED_VALUE"""),20678)</f>
        <v>20678</v>
      </c>
      <c r="G1307" s="1" t="str">
        <f ca="1">IFERROR(__xludf.DUMMYFUNCTION("""COMPUTED_VALUE"""),"12.9473/77.5964")</f>
        <v>12.9473/77.5964</v>
      </c>
      <c r="H1307" s="1" t="str">
        <f ca="1">IFERROR(__xludf.DUMMYFUNCTION("""COMPUTED_VALUE"""),"Lemon Tree Electronic City")</f>
        <v>Lemon Tree Electronic City</v>
      </c>
      <c r="I1307" s="1"/>
      <c r="J1307" s="1" t="str">
        <f ca="1">IFERROR(__xludf.DUMMYFUNCTION("""COMPUTED_VALUE"""),"0d 19h 02m")</f>
        <v>0d 19h 02m</v>
      </c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13.2">
      <c r="A1308" s="1">
        <f ca="1">IFERROR(__xludf.DUMMYFUNCTION("""COMPUTED_VALUE"""),54)</f>
        <v>54</v>
      </c>
      <c r="B1308" s="1" t="str">
        <f ca="1">IFERROR(__xludf.DUMMYFUNCTION("""COMPUTED_VALUE"""),"S11_KA04C5151_JETTING")</f>
        <v>S11_KA04C5151_JETTING</v>
      </c>
      <c r="C1308" s="1" t="str">
        <f ca="1">IFERROR(__xludf.DUMMYFUNCTION("""COMPUTED_VALUE"""),"s11_ka04c5151_jetting")</f>
        <v>s11_ka04c5151_jetting</v>
      </c>
      <c r="D1308" s="2">
        <f ca="1">IFERROR(__xludf.DUMMYFUNCTION("""COMPUTED_VALUE"""),41640)</f>
        <v>41640</v>
      </c>
      <c r="E1308" s="3">
        <f ca="1">IFERROR(__xludf.DUMMYFUNCTION("""COMPUTED_VALUE"""),0.411076388889341)</f>
        <v>0.411076388889341</v>
      </c>
      <c r="F1308" s="1">
        <f ca="1">IFERROR(__xludf.DUMMYFUNCTION("""COMPUTED_VALUE"""),20678)</f>
        <v>20678</v>
      </c>
      <c r="G1308" s="1" t="str">
        <f ca="1">IFERROR(__xludf.DUMMYFUNCTION("""COMPUTED_VALUE"""),"12.9473/77.5964")</f>
        <v>12.9473/77.5964</v>
      </c>
      <c r="H1308" s="1" t="str">
        <f ca="1">IFERROR(__xludf.DUMMYFUNCTION("""COMPUTED_VALUE"""),"Lemon Tree Electronic City")</f>
        <v>Lemon Tree Electronic City</v>
      </c>
      <c r="I1308" s="1"/>
      <c r="J1308" s="1" t="str">
        <f ca="1">IFERROR(__xludf.DUMMYFUNCTION("""COMPUTED_VALUE"""),"0d 19h 05m")</f>
        <v>0d 19h 05m</v>
      </c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13.2">
      <c r="A1309" s="1">
        <f ca="1">IFERROR(__xludf.DUMMYFUNCTION("""COMPUTED_VALUE"""),54)</f>
        <v>54</v>
      </c>
      <c r="B1309" s="1" t="str">
        <f ca="1">IFERROR(__xludf.DUMMYFUNCTION("""COMPUTED_VALUE"""),"S11_KA04C5151_JETTING")</f>
        <v>S11_KA04C5151_JETTING</v>
      </c>
      <c r="C1309" s="1" t="str">
        <f ca="1">IFERROR(__xludf.DUMMYFUNCTION("""COMPUTED_VALUE"""),"s11_ka04c5151_jetting")</f>
        <v>s11_ka04c5151_jetting</v>
      </c>
      <c r="D1309" s="2">
        <f ca="1">IFERROR(__xludf.DUMMYFUNCTION("""COMPUTED_VALUE"""),41640)</f>
        <v>41640</v>
      </c>
      <c r="E1309" s="3">
        <f ca="1">IFERROR(__xludf.DUMMYFUNCTION("""COMPUTED_VALUE"""),0.411076388889341)</f>
        <v>0.411076388889341</v>
      </c>
      <c r="F1309" s="1">
        <f ca="1">IFERROR(__xludf.DUMMYFUNCTION("""COMPUTED_VALUE"""),20678)</f>
        <v>20678</v>
      </c>
      <c r="G1309" s="1" t="str">
        <f ca="1">IFERROR(__xludf.DUMMYFUNCTION("""COMPUTED_VALUE"""),"12.9473/77.5964")</f>
        <v>12.9473/77.5964</v>
      </c>
      <c r="H1309" s="1" t="str">
        <f ca="1">IFERROR(__xludf.DUMMYFUNCTION("""COMPUTED_VALUE"""),"Lemon Tree Electronic City")</f>
        <v>Lemon Tree Electronic City</v>
      </c>
      <c r="I1309" s="1"/>
      <c r="J1309" s="1" t="str">
        <f ca="1">IFERROR(__xludf.DUMMYFUNCTION("""COMPUTED_VALUE"""),"0d 19h 06m")</f>
        <v>0d 19h 06m</v>
      </c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13.2">
      <c r="A1310" s="1">
        <f ca="1">IFERROR(__xludf.DUMMYFUNCTION("""COMPUTED_VALUE"""),54)</f>
        <v>54</v>
      </c>
      <c r="B1310" s="1" t="str">
        <f ca="1">IFERROR(__xludf.DUMMYFUNCTION("""COMPUTED_VALUE"""),"S11_KA04C5151_JETTING")</f>
        <v>S11_KA04C5151_JETTING</v>
      </c>
      <c r="C1310" s="1" t="str">
        <f ca="1">IFERROR(__xludf.DUMMYFUNCTION("""COMPUTED_VALUE"""),"s11_ka04c5151_jetting")</f>
        <v>s11_ka04c5151_jetting</v>
      </c>
      <c r="D1310" s="2">
        <f ca="1">IFERROR(__xludf.DUMMYFUNCTION("""COMPUTED_VALUE"""),41640)</f>
        <v>41640</v>
      </c>
      <c r="E1310" s="3">
        <f ca="1">IFERROR(__xludf.DUMMYFUNCTION("""COMPUTED_VALUE"""),0.411076388889341)</f>
        <v>0.411076388889341</v>
      </c>
      <c r="F1310" s="1">
        <f ca="1">IFERROR(__xludf.DUMMYFUNCTION("""COMPUTED_VALUE"""),20678)</f>
        <v>20678</v>
      </c>
      <c r="G1310" s="1" t="str">
        <f ca="1">IFERROR(__xludf.DUMMYFUNCTION("""COMPUTED_VALUE"""),"12.9473/77.5964")</f>
        <v>12.9473/77.5964</v>
      </c>
      <c r="H1310" s="1" t="str">
        <f ca="1">IFERROR(__xludf.DUMMYFUNCTION("""COMPUTED_VALUE"""),"Lemon Tree Electronic City")</f>
        <v>Lemon Tree Electronic City</v>
      </c>
      <c r="I1310" s="1"/>
      <c r="J1310" s="1" t="str">
        <f ca="1">IFERROR(__xludf.DUMMYFUNCTION("""COMPUTED_VALUE"""),"0d 19h 07m")</f>
        <v>0d 19h 07m</v>
      </c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13.2">
      <c r="A1311" s="1">
        <f ca="1">IFERROR(__xludf.DUMMYFUNCTION("""COMPUTED_VALUE"""),54)</f>
        <v>54</v>
      </c>
      <c r="B1311" s="1" t="str">
        <f ca="1">IFERROR(__xludf.DUMMYFUNCTION("""COMPUTED_VALUE"""),"S11_KA04C5151_JETTING")</f>
        <v>S11_KA04C5151_JETTING</v>
      </c>
      <c r="C1311" s="1" t="str">
        <f ca="1">IFERROR(__xludf.DUMMYFUNCTION("""COMPUTED_VALUE"""),"s11_ka04c5151_jetting")</f>
        <v>s11_ka04c5151_jetting</v>
      </c>
      <c r="D1311" s="2">
        <f ca="1">IFERROR(__xludf.DUMMYFUNCTION("""COMPUTED_VALUE"""),41640)</f>
        <v>41640</v>
      </c>
      <c r="E1311" s="3">
        <f ca="1">IFERROR(__xludf.DUMMYFUNCTION("""COMPUTED_VALUE"""),0.411076388889341)</f>
        <v>0.411076388889341</v>
      </c>
      <c r="F1311" s="1">
        <f ca="1">IFERROR(__xludf.DUMMYFUNCTION("""COMPUTED_VALUE"""),20678)</f>
        <v>20678</v>
      </c>
      <c r="G1311" s="1" t="str">
        <f ca="1">IFERROR(__xludf.DUMMYFUNCTION("""COMPUTED_VALUE"""),"12.9473/77.5964")</f>
        <v>12.9473/77.5964</v>
      </c>
      <c r="H1311" s="1" t="str">
        <f ca="1">IFERROR(__xludf.DUMMYFUNCTION("""COMPUTED_VALUE"""),"Lemon Tree Electronic City")</f>
        <v>Lemon Tree Electronic City</v>
      </c>
      <c r="I1311" s="1"/>
      <c r="J1311" s="1" t="str">
        <f ca="1">IFERROR(__xludf.DUMMYFUNCTION("""COMPUTED_VALUE"""),"0d 19h 09m")</f>
        <v>0d 19h 09m</v>
      </c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13.2">
      <c r="A1312" s="1">
        <f ca="1">IFERROR(__xludf.DUMMYFUNCTION("""COMPUTED_VALUE"""),54)</f>
        <v>54</v>
      </c>
      <c r="B1312" s="1" t="str">
        <f ca="1">IFERROR(__xludf.DUMMYFUNCTION("""COMPUTED_VALUE"""),"S11_KA04C5151_JETTING")</f>
        <v>S11_KA04C5151_JETTING</v>
      </c>
      <c r="C1312" s="1" t="str">
        <f ca="1">IFERROR(__xludf.DUMMYFUNCTION("""COMPUTED_VALUE"""),"s11_ka04c5151_jetting")</f>
        <v>s11_ka04c5151_jetting</v>
      </c>
      <c r="D1312" s="2">
        <f ca="1">IFERROR(__xludf.DUMMYFUNCTION("""COMPUTED_VALUE"""),41640)</f>
        <v>41640</v>
      </c>
      <c r="E1312" s="3">
        <f ca="1">IFERROR(__xludf.DUMMYFUNCTION("""COMPUTED_VALUE"""),0.411076388889341)</f>
        <v>0.411076388889341</v>
      </c>
      <c r="F1312" s="1">
        <f ca="1">IFERROR(__xludf.DUMMYFUNCTION("""COMPUTED_VALUE"""),20678)</f>
        <v>20678</v>
      </c>
      <c r="G1312" s="1" t="str">
        <f ca="1">IFERROR(__xludf.DUMMYFUNCTION("""COMPUTED_VALUE"""),"12.9473/77.5964")</f>
        <v>12.9473/77.5964</v>
      </c>
      <c r="H1312" s="1" t="str">
        <f ca="1">IFERROR(__xludf.DUMMYFUNCTION("""COMPUTED_VALUE"""),"Lemon Tree Electronic City")</f>
        <v>Lemon Tree Electronic City</v>
      </c>
      <c r="I1312" s="1"/>
      <c r="J1312" s="1" t="str">
        <f ca="1">IFERROR(__xludf.DUMMYFUNCTION("""COMPUTED_VALUE"""),"0d 19h 10m")</f>
        <v>0d 19h 10m</v>
      </c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13.2">
      <c r="A1313" s="1">
        <f ca="1">IFERROR(__xludf.DUMMYFUNCTION("""COMPUTED_VALUE"""),27)</f>
        <v>27</v>
      </c>
      <c r="B1313" s="1" t="str">
        <f ca="1">IFERROR(__xludf.DUMMYFUNCTION("""COMPUTED_VALUE"""),"S11_KA04D4104_JETTING")</f>
        <v>S11_KA04D4104_JETTING</v>
      </c>
      <c r="C1313" s="1" t="str">
        <f ca="1">IFERROR(__xludf.DUMMYFUNCTION("""COMPUTED_VALUE"""),"s11_ka04d4104_jetting")</f>
        <v>s11_ka04d4104_jetting</v>
      </c>
      <c r="D1313" s="2">
        <f ca="1">IFERROR(__xludf.DUMMYFUNCTION("""COMPUTED_VALUE"""),41640)</f>
        <v>41640</v>
      </c>
      <c r="E1313" s="3">
        <f ca="1">IFERROR(__xludf.DUMMYFUNCTION("""COMPUTED_VALUE"""),0.230185185184382)</f>
        <v>0.230185185184382</v>
      </c>
      <c r="F1313" s="1">
        <f ca="1">IFERROR(__xludf.DUMMYFUNCTION("""COMPUTED_VALUE"""),25397)</f>
        <v>25397</v>
      </c>
      <c r="G1313" s="1"/>
      <c r="H1313" s="1"/>
      <c r="I1313" s="1"/>
      <c r="J1313" s="1" t="str">
        <f ca="1">IFERROR(__xludf.DUMMYFUNCTION("""COMPUTED_VALUE"""),"0d 00h 00m")</f>
        <v>0d 00h 00m</v>
      </c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13.2">
      <c r="A1314" s="1">
        <f ca="1">IFERROR(__xludf.DUMMYFUNCTION("""COMPUTED_VALUE"""),27)</f>
        <v>27</v>
      </c>
      <c r="B1314" s="1" t="str">
        <f ca="1">IFERROR(__xludf.DUMMYFUNCTION("""COMPUTED_VALUE"""),"S11_KA04D4104_JETTING")</f>
        <v>S11_KA04D4104_JETTING</v>
      </c>
      <c r="C1314" s="1" t="str">
        <f ca="1">IFERROR(__xludf.DUMMYFUNCTION("""COMPUTED_VALUE"""),"s11_ka04d4104_jetting")</f>
        <v>s11_ka04d4104_jetting</v>
      </c>
      <c r="D1314" s="2">
        <f ca="1">IFERROR(__xludf.DUMMYFUNCTION("""COMPUTED_VALUE"""),41640)</f>
        <v>41640</v>
      </c>
      <c r="E1314" s="3">
        <f ca="1">IFERROR(__xludf.DUMMYFUNCTION("""COMPUTED_VALUE"""),0.230185185184382)</f>
        <v>0.230185185184382</v>
      </c>
      <c r="F1314" s="1">
        <f ca="1">IFERROR(__xludf.DUMMYFUNCTION("""COMPUTED_VALUE"""),25397)</f>
        <v>25397</v>
      </c>
      <c r="G1314" s="1"/>
      <c r="H1314" s="1"/>
      <c r="I1314" s="1"/>
      <c r="J1314" s="1" t="str">
        <f ca="1">IFERROR(__xludf.DUMMYFUNCTION("""COMPUTED_VALUE"""),"0d 00h 00m")</f>
        <v>0d 00h 00m</v>
      </c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13.2">
      <c r="A1315" s="1">
        <f ca="1">IFERROR(__xludf.DUMMYFUNCTION("""COMPUTED_VALUE"""),27)</f>
        <v>27</v>
      </c>
      <c r="B1315" s="1" t="str">
        <f ca="1">IFERROR(__xludf.DUMMYFUNCTION("""COMPUTED_VALUE"""),"S11_KA04D4104_JETTING")</f>
        <v>S11_KA04D4104_JETTING</v>
      </c>
      <c r="C1315" s="1" t="str">
        <f ca="1">IFERROR(__xludf.DUMMYFUNCTION("""COMPUTED_VALUE"""),"s11_ka04d4104_jetting")</f>
        <v>s11_ka04d4104_jetting</v>
      </c>
      <c r="D1315" s="2">
        <f ca="1">IFERROR(__xludf.DUMMYFUNCTION("""COMPUTED_VALUE"""),41640)</f>
        <v>41640</v>
      </c>
      <c r="E1315" s="3">
        <f ca="1">IFERROR(__xludf.DUMMYFUNCTION("""COMPUTED_VALUE"""),0.230185185184382)</f>
        <v>0.230185185184382</v>
      </c>
      <c r="F1315" s="1">
        <f ca="1">IFERROR(__xludf.DUMMYFUNCTION("""COMPUTED_VALUE"""),25397)</f>
        <v>25397</v>
      </c>
      <c r="G1315" s="1"/>
      <c r="H1315" s="1"/>
      <c r="I1315" s="1"/>
      <c r="J1315" s="1" t="str">
        <f ca="1">IFERROR(__xludf.DUMMYFUNCTION("""COMPUTED_VALUE"""),"0d 00h 00m")</f>
        <v>0d 00h 00m</v>
      </c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13.2">
      <c r="A1316" s="1">
        <f ca="1">IFERROR(__xludf.DUMMYFUNCTION("""COMPUTED_VALUE"""),27)</f>
        <v>27</v>
      </c>
      <c r="B1316" s="1" t="str">
        <f ca="1">IFERROR(__xludf.DUMMYFUNCTION("""COMPUTED_VALUE"""),"S11_KA04D4104_JETTING")</f>
        <v>S11_KA04D4104_JETTING</v>
      </c>
      <c r="C1316" s="1" t="str">
        <f ca="1">IFERROR(__xludf.DUMMYFUNCTION("""COMPUTED_VALUE"""),"s11_ka04d4104_jetting")</f>
        <v>s11_ka04d4104_jetting</v>
      </c>
      <c r="D1316" s="2">
        <f ca="1">IFERROR(__xludf.DUMMYFUNCTION("""COMPUTED_VALUE"""),41640)</f>
        <v>41640</v>
      </c>
      <c r="E1316" s="3">
        <f ca="1">IFERROR(__xludf.DUMMYFUNCTION("""COMPUTED_VALUE"""),0.230185185184382)</f>
        <v>0.230185185184382</v>
      </c>
      <c r="F1316" s="1">
        <f ca="1">IFERROR(__xludf.DUMMYFUNCTION("""COMPUTED_VALUE"""),25397)</f>
        <v>25397</v>
      </c>
      <c r="G1316" s="1"/>
      <c r="H1316" s="1"/>
      <c r="I1316" s="1"/>
      <c r="J1316" s="1" t="str">
        <f ca="1">IFERROR(__xludf.DUMMYFUNCTION("""COMPUTED_VALUE"""),"0d 00h 00m")</f>
        <v>0d 00h 00m</v>
      </c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13.2">
      <c r="A1317" s="1">
        <f ca="1">IFERROR(__xludf.DUMMYFUNCTION("""COMPUTED_VALUE"""),27)</f>
        <v>27</v>
      </c>
      <c r="B1317" s="1" t="str">
        <f ca="1">IFERROR(__xludf.DUMMYFUNCTION("""COMPUTED_VALUE"""),"S11_KA04D4104_JETTING")</f>
        <v>S11_KA04D4104_JETTING</v>
      </c>
      <c r="C1317" s="1" t="str">
        <f ca="1">IFERROR(__xludf.DUMMYFUNCTION("""COMPUTED_VALUE"""),"s11_ka04d4104_jetting")</f>
        <v>s11_ka04d4104_jetting</v>
      </c>
      <c r="D1317" s="2">
        <f ca="1">IFERROR(__xludf.DUMMYFUNCTION("""COMPUTED_VALUE"""),41640)</f>
        <v>41640</v>
      </c>
      <c r="E1317" s="3">
        <f ca="1">IFERROR(__xludf.DUMMYFUNCTION("""COMPUTED_VALUE"""),0.230185185184382)</f>
        <v>0.230185185184382</v>
      </c>
      <c r="F1317" s="1">
        <f ca="1">IFERROR(__xludf.DUMMYFUNCTION("""COMPUTED_VALUE"""),25397)</f>
        <v>25397</v>
      </c>
      <c r="G1317" s="1"/>
      <c r="H1317" s="1"/>
      <c r="I1317" s="1"/>
      <c r="J1317" s="1" t="str">
        <f ca="1">IFERROR(__xludf.DUMMYFUNCTION("""COMPUTED_VALUE"""),"0d 00h 00m")</f>
        <v>0d 00h 00m</v>
      </c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13.2">
      <c r="A1318" s="1">
        <f ca="1">IFERROR(__xludf.DUMMYFUNCTION("""COMPUTED_VALUE"""),27)</f>
        <v>27</v>
      </c>
      <c r="B1318" s="1" t="str">
        <f ca="1">IFERROR(__xludf.DUMMYFUNCTION("""COMPUTED_VALUE"""),"S11_KA04D4104_JETTING")</f>
        <v>S11_KA04D4104_JETTING</v>
      </c>
      <c r="C1318" s="1" t="str">
        <f ca="1">IFERROR(__xludf.DUMMYFUNCTION("""COMPUTED_VALUE"""),"s11_ka04d4104_jetting")</f>
        <v>s11_ka04d4104_jetting</v>
      </c>
      <c r="D1318" s="2">
        <f ca="1">IFERROR(__xludf.DUMMYFUNCTION("""COMPUTED_VALUE"""),41640)</f>
        <v>41640</v>
      </c>
      <c r="E1318" s="3">
        <f ca="1">IFERROR(__xludf.DUMMYFUNCTION("""COMPUTED_VALUE"""),0.230185185184382)</f>
        <v>0.230185185184382</v>
      </c>
      <c r="F1318" s="1">
        <f ca="1">IFERROR(__xludf.DUMMYFUNCTION("""COMPUTED_VALUE"""),25397)</f>
        <v>25397</v>
      </c>
      <c r="G1318" s="1"/>
      <c r="H1318" s="1"/>
      <c r="I1318" s="1"/>
      <c r="J1318" s="1" t="str">
        <f ca="1">IFERROR(__xludf.DUMMYFUNCTION("""COMPUTED_VALUE"""),"0d 00h 00m")</f>
        <v>0d 00h 00m</v>
      </c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13.2">
      <c r="A1319" s="1">
        <f ca="1">IFERROR(__xludf.DUMMYFUNCTION("""COMPUTED_VALUE"""),27)</f>
        <v>27</v>
      </c>
      <c r="B1319" s="1" t="str">
        <f ca="1">IFERROR(__xludf.DUMMYFUNCTION("""COMPUTED_VALUE"""),"S11_KA04D4104_JETTING")</f>
        <v>S11_KA04D4104_JETTING</v>
      </c>
      <c r="C1319" s="1" t="str">
        <f ca="1">IFERROR(__xludf.DUMMYFUNCTION("""COMPUTED_VALUE"""),"s11_ka04d4104_jetting")</f>
        <v>s11_ka04d4104_jetting</v>
      </c>
      <c r="D1319" s="2">
        <f ca="1">IFERROR(__xludf.DUMMYFUNCTION("""COMPUTED_VALUE"""),41640)</f>
        <v>41640</v>
      </c>
      <c r="E1319" s="3">
        <f ca="1">IFERROR(__xludf.DUMMYFUNCTION("""COMPUTED_VALUE"""),0.230185185184382)</f>
        <v>0.230185185184382</v>
      </c>
      <c r="F1319" s="1">
        <f ca="1">IFERROR(__xludf.DUMMYFUNCTION("""COMPUTED_VALUE"""),25397)</f>
        <v>25397</v>
      </c>
      <c r="G1319" s="1"/>
      <c r="H1319" s="1"/>
      <c r="I1319" s="1"/>
      <c r="J1319" s="1" t="str">
        <f ca="1">IFERROR(__xludf.DUMMYFUNCTION("""COMPUTED_VALUE"""),"0d 00h 00m")</f>
        <v>0d 00h 00m</v>
      </c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13.2">
      <c r="A1320" s="1">
        <f ca="1">IFERROR(__xludf.DUMMYFUNCTION("""COMPUTED_VALUE"""),87)</f>
        <v>87</v>
      </c>
      <c r="B1320" s="1" t="str">
        <f ca="1">IFERROR(__xludf.DUMMYFUNCTION("""COMPUTED_VALUE"""),"S11_KA04D4106_JETTING")</f>
        <v>S11_KA04D4106_JETTING</v>
      </c>
      <c r="C1320" s="1" t="str">
        <f ca="1">IFERROR(__xludf.DUMMYFUNCTION("""COMPUTED_VALUE"""),"s11_ka04d4106_jetting")</f>
        <v>s11_ka04d4106_jetting</v>
      </c>
      <c r="D1320" s="2">
        <f ca="1">IFERROR(__xludf.DUMMYFUNCTION("""COMPUTED_VALUE"""),41640)</f>
        <v>41640</v>
      </c>
      <c r="E1320" s="3">
        <f ca="1">IFERROR(__xludf.DUMMYFUNCTION("""COMPUTED_VALUE"""),0.69041666666817)</f>
        <v>0.69041666666817003</v>
      </c>
      <c r="F1320" s="1">
        <f ca="1">IFERROR(__xludf.DUMMYFUNCTION("""COMPUTED_VALUE"""),95417)</f>
        <v>95417</v>
      </c>
      <c r="G1320" s="1" t="str">
        <f ca="1">IFERROR(__xludf.DUMMYFUNCTION("""COMPUTED_VALUE"""),"12.9226/77.5970")</f>
        <v>12.9226/77.5970</v>
      </c>
      <c r="H1320" s="1" t="str">
        <f ca="1">IFERROR(__xludf.DUMMYFUNCTION("""COMPUTED_VALUE"""),"Tilak Nagar")</f>
        <v>Tilak Nagar</v>
      </c>
      <c r="I1320" s="1"/>
      <c r="J1320" s="1" t="str">
        <f ca="1">IFERROR(__xludf.DUMMYFUNCTION("""COMPUTED_VALUE"""),"0d 00h 06m")</f>
        <v>0d 00h 06m</v>
      </c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13.2">
      <c r="A1321" s="1">
        <f ca="1">IFERROR(__xludf.DUMMYFUNCTION("""COMPUTED_VALUE"""),87)</f>
        <v>87</v>
      </c>
      <c r="B1321" s="1" t="str">
        <f ca="1">IFERROR(__xludf.DUMMYFUNCTION("""COMPUTED_VALUE"""),"S11_KA04D4106_JETTING")</f>
        <v>S11_KA04D4106_JETTING</v>
      </c>
      <c r="C1321" s="1" t="str">
        <f ca="1">IFERROR(__xludf.DUMMYFUNCTION("""COMPUTED_VALUE"""),"s11_ka04d4106_jetting")</f>
        <v>s11_ka04d4106_jetting</v>
      </c>
      <c r="D1321" s="2">
        <f ca="1">IFERROR(__xludf.DUMMYFUNCTION("""COMPUTED_VALUE"""),41640)</f>
        <v>41640</v>
      </c>
      <c r="E1321" s="3">
        <f ca="1">IFERROR(__xludf.DUMMYFUNCTION("""COMPUTED_VALUE"""),0.69041666666817)</f>
        <v>0.69041666666817003</v>
      </c>
      <c r="F1321" s="1">
        <f ca="1">IFERROR(__xludf.DUMMYFUNCTION("""COMPUTED_VALUE"""),95417)</f>
        <v>95417</v>
      </c>
      <c r="G1321" s="1" t="str">
        <f ca="1">IFERROR(__xludf.DUMMYFUNCTION("""COMPUTED_VALUE"""),"12.9226/77.5970")</f>
        <v>12.9226/77.5970</v>
      </c>
      <c r="H1321" s="1" t="str">
        <f ca="1">IFERROR(__xludf.DUMMYFUNCTION("""COMPUTED_VALUE"""),"Tilak Nagar")</f>
        <v>Tilak Nagar</v>
      </c>
      <c r="I1321" s="1"/>
      <c r="J1321" s="1" t="str">
        <f ca="1">IFERROR(__xludf.DUMMYFUNCTION("""COMPUTED_VALUE"""),"0d 00h 07m")</f>
        <v>0d 00h 07m</v>
      </c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13.2">
      <c r="A1322" s="1">
        <f ca="1">IFERROR(__xludf.DUMMYFUNCTION("""COMPUTED_VALUE"""),84)</f>
        <v>84</v>
      </c>
      <c r="B1322" s="1" t="str">
        <f ca="1">IFERROR(__xludf.DUMMYFUNCTION("""COMPUTED_VALUE"""),"S11_KA04D4106_JETTING")</f>
        <v>S11_KA04D4106_JETTING</v>
      </c>
      <c r="C1322" s="1" t="str">
        <f ca="1">IFERROR(__xludf.DUMMYFUNCTION("""COMPUTED_VALUE"""),"s11_ka04d4106_jetting")</f>
        <v>s11_ka04d4106_jetting</v>
      </c>
      <c r="D1322" s="2">
        <f ca="1">IFERROR(__xludf.DUMMYFUNCTION("""COMPUTED_VALUE"""),41640)</f>
        <v>41640</v>
      </c>
      <c r="E1322" s="3">
        <f ca="1">IFERROR(__xludf.DUMMYFUNCTION("""COMPUTED_VALUE"""),0.69041666666817)</f>
        <v>0.69041666666817003</v>
      </c>
      <c r="F1322" s="1">
        <f ca="1">IFERROR(__xludf.DUMMYFUNCTION("""COMPUTED_VALUE"""),95417)</f>
        <v>95417</v>
      </c>
      <c r="G1322" s="1" t="str">
        <f ca="1">IFERROR(__xludf.DUMMYFUNCTION("""COMPUTED_VALUE"""),"12.9226/77.5970")</f>
        <v>12.9226/77.5970</v>
      </c>
      <c r="H1322" s="1" t="str">
        <f ca="1">IFERROR(__xludf.DUMMYFUNCTION("""COMPUTED_VALUE"""),"Tilak Nagar")</f>
        <v>Tilak Nagar</v>
      </c>
      <c r="I1322" s="1"/>
      <c r="J1322" s="1" t="str">
        <f ca="1">IFERROR(__xludf.DUMMYFUNCTION("""COMPUTED_VALUE"""),"0d 00h 01m")</f>
        <v>0d 00h 01m</v>
      </c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13.2">
      <c r="A1323" s="1">
        <f ca="1">IFERROR(__xludf.DUMMYFUNCTION("""COMPUTED_VALUE"""),84)</f>
        <v>84</v>
      </c>
      <c r="B1323" s="1" t="str">
        <f ca="1">IFERROR(__xludf.DUMMYFUNCTION("""COMPUTED_VALUE"""),"S11_KA04D4106_JETTING")</f>
        <v>S11_KA04D4106_JETTING</v>
      </c>
      <c r="C1323" s="1" t="str">
        <f ca="1">IFERROR(__xludf.DUMMYFUNCTION("""COMPUTED_VALUE"""),"s11_ka04d4106_jetting")</f>
        <v>s11_ka04d4106_jetting</v>
      </c>
      <c r="D1323" s="2">
        <f ca="1">IFERROR(__xludf.DUMMYFUNCTION("""COMPUTED_VALUE"""),41640)</f>
        <v>41640</v>
      </c>
      <c r="E1323" s="3">
        <f ca="1">IFERROR(__xludf.DUMMYFUNCTION("""COMPUTED_VALUE"""),0.69041666666817)</f>
        <v>0.69041666666817003</v>
      </c>
      <c r="F1323" s="1">
        <f ca="1">IFERROR(__xludf.DUMMYFUNCTION("""COMPUTED_VALUE"""),95417)</f>
        <v>95417</v>
      </c>
      <c r="G1323" s="1" t="str">
        <f ca="1">IFERROR(__xludf.DUMMYFUNCTION("""COMPUTED_VALUE"""),"12.9226/77.5970")</f>
        <v>12.9226/77.5970</v>
      </c>
      <c r="H1323" s="1" t="str">
        <f ca="1">IFERROR(__xludf.DUMMYFUNCTION("""COMPUTED_VALUE"""),"Tilak Nagar")</f>
        <v>Tilak Nagar</v>
      </c>
      <c r="I1323" s="1"/>
      <c r="J1323" s="1" t="str">
        <f ca="1">IFERROR(__xludf.DUMMYFUNCTION("""COMPUTED_VALUE"""),"0d 00h 02m")</f>
        <v>0d 00h 02m</v>
      </c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13.2">
      <c r="A1324" s="1">
        <f ca="1">IFERROR(__xludf.DUMMYFUNCTION("""COMPUTED_VALUE"""),84)</f>
        <v>84</v>
      </c>
      <c r="B1324" s="1" t="str">
        <f ca="1">IFERROR(__xludf.DUMMYFUNCTION("""COMPUTED_VALUE"""),"S11_KA04D4106_JETTING")</f>
        <v>S11_KA04D4106_JETTING</v>
      </c>
      <c r="C1324" s="1" t="str">
        <f ca="1">IFERROR(__xludf.DUMMYFUNCTION("""COMPUTED_VALUE"""),"s11_ka04d4106_jetting")</f>
        <v>s11_ka04d4106_jetting</v>
      </c>
      <c r="D1324" s="2">
        <f ca="1">IFERROR(__xludf.DUMMYFUNCTION("""COMPUTED_VALUE"""),41640)</f>
        <v>41640</v>
      </c>
      <c r="E1324" s="3">
        <f ca="1">IFERROR(__xludf.DUMMYFUNCTION("""COMPUTED_VALUE"""),0.69041666666817)</f>
        <v>0.69041666666817003</v>
      </c>
      <c r="F1324" s="1">
        <f ca="1">IFERROR(__xludf.DUMMYFUNCTION("""COMPUTED_VALUE"""),95417)</f>
        <v>95417</v>
      </c>
      <c r="G1324" s="1" t="str">
        <f ca="1">IFERROR(__xludf.DUMMYFUNCTION("""COMPUTED_VALUE"""),"12.9226/77.5970")</f>
        <v>12.9226/77.5970</v>
      </c>
      <c r="H1324" s="1" t="str">
        <f ca="1">IFERROR(__xludf.DUMMYFUNCTION("""COMPUTED_VALUE"""),"Tilak Nagar")</f>
        <v>Tilak Nagar</v>
      </c>
      <c r="I1324" s="1"/>
      <c r="J1324" s="1" t="str">
        <f ca="1">IFERROR(__xludf.DUMMYFUNCTION("""COMPUTED_VALUE"""),"0d 00h 00m")</f>
        <v>0d 00h 00m</v>
      </c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13.2">
      <c r="A1325" s="1">
        <f ca="1">IFERROR(__xludf.DUMMYFUNCTION("""COMPUTED_VALUE"""),84)</f>
        <v>84</v>
      </c>
      <c r="B1325" s="1" t="str">
        <f ca="1">IFERROR(__xludf.DUMMYFUNCTION("""COMPUTED_VALUE"""),"S11_KA04D4106_JETTING")</f>
        <v>S11_KA04D4106_JETTING</v>
      </c>
      <c r="C1325" s="1" t="str">
        <f ca="1">IFERROR(__xludf.DUMMYFUNCTION("""COMPUTED_VALUE"""),"s11_ka04d4106_jetting")</f>
        <v>s11_ka04d4106_jetting</v>
      </c>
      <c r="D1325" s="2">
        <f ca="1">IFERROR(__xludf.DUMMYFUNCTION("""COMPUTED_VALUE"""),41640)</f>
        <v>41640</v>
      </c>
      <c r="E1325" s="3">
        <f ca="1">IFERROR(__xludf.DUMMYFUNCTION("""COMPUTED_VALUE"""),0.69041666666817)</f>
        <v>0.69041666666817003</v>
      </c>
      <c r="F1325" s="1">
        <f ca="1">IFERROR(__xludf.DUMMYFUNCTION("""COMPUTED_VALUE"""),95417)</f>
        <v>95417</v>
      </c>
      <c r="G1325" s="1" t="str">
        <f ca="1">IFERROR(__xludf.DUMMYFUNCTION("""COMPUTED_VALUE"""),"12.9226/77.5970")</f>
        <v>12.9226/77.5970</v>
      </c>
      <c r="H1325" s="1" t="str">
        <f ca="1">IFERROR(__xludf.DUMMYFUNCTION("""COMPUTED_VALUE"""),"Tilak Nagar")</f>
        <v>Tilak Nagar</v>
      </c>
      <c r="I1325" s="1"/>
      <c r="J1325" s="1" t="str">
        <f ca="1">IFERROR(__xludf.DUMMYFUNCTION("""COMPUTED_VALUE"""),"0d 00h 01m")</f>
        <v>0d 00h 01m</v>
      </c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13.2">
      <c r="A1326" s="1">
        <f ca="1">IFERROR(__xludf.DUMMYFUNCTION("""COMPUTED_VALUE"""),84)</f>
        <v>84</v>
      </c>
      <c r="B1326" s="1" t="str">
        <f ca="1">IFERROR(__xludf.DUMMYFUNCTION("""COMPUTED_VALUE"""),"S11_KA04D4106_JETTING")</f>
        <v>S11_KA04D4106_JETTING</v>
      </c>
      <c r="C1326" s="1" t="str">
        <f ca="1">IFERROR(__xludf.DUMMYFUNCTION("""COMPUTED_VALUE"""),"s11_ka04d4106_jetting")</f>
        <v>s11_ka04d4106_jetting</v>
      </c>
      <c r="D1326" s="2">
        <f ca="1">IFERROR(__xludf.DUMMYFUNCTION("""COMPUTED_VALUE"""),41640)</f>
        <v>41640</v>
      </c>
      <c r="E1326" s="3">
        <f ca="1">IFERROR(__xludf.DUMMYFUNCTION("""COMPUTED_VALUE"""),0.69041666666817)</f>
        <v>0.69041666666817003</v>
      </c>
      <c r="F1326" s="1">
        <f ca="1">IFERROR(__xludf.DUMMYFUNCTION("""COMPUTED_VALUE"""),95417)</f>
        <v>95417</v>
      </c>
      <c r="G1326" s="1" t="str">
        <f ca="1">IFERROR(__xludf.DUMMYFUNCTION("""COMPUTED_VALUE"""),"12.9226/77.5970")</f>
        <v>12.9226/77.5970</v>
      </c>
      <c r="H1326" s="1" t="str">
        <f ca="1">IFERROR(__xludf.DUMMYFUNCTION("""COMPUTED_VALUE"""),"Tilak Nagar")</f>
        <v>Tilak Nagar</v>
      </c>
      <c r="I1326" s="1"/>
      <c r="J1326" s="1" t="str">
        <f ca="1">IFERROR(__xludf.DUMMYFUNCTION("""COMPUTED_VALUE"""),"0d 00h 02m")</f>
        <v>0d 00h 02m</v>
      </c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13.2">
      <c r="A1327" s="1">
        <f ca="1">IFERROR(__xludf.DUMMYFUNCTION("""COMPUTED_VALUE"""),74)</f>
        <v>74</v>
      </c>
      <c r="B1327" s="1" t="str">
        <f ca="1">IFERROR(__xludf.DUMMYFUNCTION("""COMPUTED_VALUE"""),"S11_KA04D5124_TANKER")</f>
        <v>S11_KA04D5124_TANKER</v>
      </c>
      <c r="C1327" s="1" t="str">
        <f ca="1">IFERROR(__xludf.DUMMYFUNCTION("""COMPUTED_VALUE"""),"s11_ka04d5124_tanker")</f>
        <v>s11_ka04d5124_tanker</v>
      </c>
      <c r="D1327" s="2">
        <f ca="1">IFERROR(__xludf.DUMMYFUNCTION("""COMPUTED_VALUE"""),41640)</f>
        <v>41640</v>
      </c>
      <c r="E1327" s="3">
        <f ca="1">IFERROR(__xludf.DUMMYFUNCTION("""COMPUTED_VALUE"""),0.64423611111124)</f>
        <v>0.64423611111124002</v>
      </c>
      <c r="F1327" s="1">
        <f ca="1">IFERROR(__xludf.DUMMYFUNCTION("""COMPUTED_VALUE"""),49661)</f>
        <v>49661</v>
      </c>
      <c r="G1327" s="1" t="str">
        <f ca="1">IFERROR(__xludf.DUMMYFUNCTION("""COMPUTED_VALUE"""),"12.8577/77.5752")</f>
        <v>12.8577/77.5752</v>
      </c>
      <c r="H1327" s="1" t="str">
        <f ca="1">IFERROR(__xludf.DUMMYFUNCTION("""COMPUTED_VALUE"""),"Gottigere")</f>
        <v>Gottigere</v>
      </c>
      <c r="I1327" s="1"/>
      <c r="J1327" s="1" t="str">
        <f ca="1">IFERROR(__xludf.DUMMYFUNCTION("""COMPUTED_VALUE"""),"0d 00h 01m")</f>
        <v>0d 00h 01m</v>
      </c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13.2">
      <c r="A1328" s="1">
        <f ca="1">IFERROR(__xludf.DUMMYFUNCTION("""COMPUTED_VALUE"""),74)</f>
        <v>74</v>
      </c>
      <c r="B1328" s="1" t="str">
        <f ca="1">IFERROR(__xludf.DUMMYFUNCTION("""COMPUTED_VALUE"""),"S11_KA04D5124_TANKER")</f>
        <v>S11_KA04D5124_TANKER</v>
      </c>
      <c r="C1328" s="1" t="str">
        <f ca="1">IFERROR(__xludf.DUMMYFUNCTION("""COMPUTED_VALUE"""),"s11_ka04d5124_tanker")</f>
        <v>s11_ka04d5124_tanker</v>
      </c>
      <c r="D1328" s="2">
        <f ca="1">IFERROR(__xludf.DUMMYFUNCTION("""COMPUTED_VALUE"""),41640)</f>
        <v>41640</v>
      </c>
      <c r="E1328" s="3">
        <f ca="1">IFERROR(__xludf.DUMMYFUNCTION("""COMPUTED_VALUE"""),0.64423611111124)</f>
        <v>0.64423611111124002</v>
      </c>
      <c r="F1328" s="1">
        <f ca="1">IFERROR(__xludf.DUMMYFUNCTION("""COMPUTED_VALUE"""),49661)</f>
        <v>49661</v>
      </c>
      <c r="G1328" s="1" t="str">
        <f ca="1">IFERROR(__xludf.DUMMYFUNCTION("""COMPUTED_VALUE"""),"12.8577/77.5752")</f>
        <v>12.8577/77.5752</v>
      </c>
      <c r="H1328" s="1" t="str">
        <f ca="1">IFERROR(__xludf.DUMMYFUNCTION("""COMPUTED_VALUE"""),"Gottigere")</f>
        <v>Gottigere</v>
      </c>
      <c r="I1328" s="1"/>
      <c r="J1328" s="1" t="str">
        <f ca="1">IFERROR(__xludf.DUMMYFUNCTION("""COMPUTED_VALUE"""),"0d 00h 00m")</f>
        <v>0d 00h 00m</v>
      </c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13.2">
      <c r="A1329" s="1">
        <f ca="1">IFERROR(__xludf.DUMMYFUNCTION("""COMPUTED_VALUE"""),72)</f>
        <v>72</v>
      </c>
      <c r="B1329" s="1" t="str">
        <f ca="1">IFERROR(__xludf.DUMMYFUNCTION("""COMPUTED_VALUE"""),"S11_KA04D5124_TANKER")</f>
        <v>S11_KA04D5124_TANKER</v>
      </c>
      <c r="C1329" s="1" t="str">
        <f ca="1">IFERROR(__xludf.DUMMYFUNCTION("""COMPUTED_VALUE"""),"s11_ka04d5124_tanker")</f>
        <v>s11_ka04d5124_tanker</v>
      </c>
      <c r="D1329" s="2">
        <f ca="1">IFERROR(__xludf.DUMMYFUNCTION("""COMPUTED_VALUE"""),41640)</f>
        <v>41640</v>
      </c>
      <c r="E1329" s="3">
        <f ca="1">IFERROR(__xludf.DUMMYFUNCTION("""COMPUTED_VALUE"""),0.64423611111124)</f>
        <v>0.64423611111124002</v>
      </c>
      <c r="F1329" s="1">
        <f ca="1">IFERROR(__xludf.DUMMYFUNCTION("""COMPUTED_VALUE"""),49661)</f>
        <v>49661</v>
      </c>
      <c r="G1329" s="1" t="str">
        <f ca="1">IFERROR(__xludf.DUMMYFUNCTION("""COMPUTED_VALUE"""),"12.8577/77.5752")</f>
        <v>12.8577/77.5752</v>
      </c>
      <c r="H1329" s="1" t="str">
        <f ca="1">IFERROR(__xludf.DUMMYFUNCTION("""COMPUTED_VALUE"""),"Gottigere")</f>
        <v>Gottigere</v>
      </c>
      <c r="I1329" s="1"/>
      <c r="J1329" s="1" t="str">
        <f ca="1">IFERROR(__xludf.DUMMYFUNCTION("""COMPUTED_VALUE"""),"0d 00h 02m")</f>
        <v>0d 00h 02m</v>
      </c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13.2">
      <c r="A1330" s="1">
        <f ca="1">IFERROR(__xludf.DUMMYFUNCTION("""COMPUTED_VALUE"""),72)</f>
        <v>72</v>
      </c>
      <c r="B1330" s="1" t="str">
        <f ca="1">IFERROR(__xludf.DUMMYFUNCTION("""COMPUTED_VALUE"""),"S11_KA04D5124_TANKER")</f>
        <v>S11_KA04D5124_TANKER</v>
      </c>
      <c r="C1330" s="1" t="str">
        <f ca="1">IFERROR(__xludf.DUMMYFUNCTION("""COMPUTED_VALUE"""),"s11_ka04d5124_tanker")</f>
        <v>s11_ka04d5124_tanker</v>
      </c>
      <c r="D1330" s="2">
        <f ca="1">IFERROR(__xludf.DUMMYFUNCTION("""COMPUTED_VALUE"""),41640)</f>
        <v>41640</v>
      </c>
      <c r="E1330" s="3">
        <f ca="1">IFERROR(__xludf.DUMMYFUNCTION("""COMPUTED_VALUE"""),0.64423611111124)</f>
        <v>0.64423611111124002</v>
      </c>
      <c r="F1330" s="1">
        <f ca="1">IFERROR(__xludf.DUMMYFUNCTION("""COMPUTED_VALUE"""),49661)</f>
        <v>49661</v>
      </c>
      <c r="G1330" s="1" t="str">
        <f ca="1">IFERROR(__xludf.DUMMYFUNCTION("""COMPUTED_VALUE"""),"12.8577/77.5752")</f>
        <v>12.8577/77.5752</v>
      </c>
      <c r="H1330" s="1" t="str">
        <f ca="1">IFERROR(__xludf.DUMMYFUNCTION("""COMPUTED_VALUE"""),"Gottigere")</f>
        <v>Gottigere</v>
      </c>
      <c r="I1330" s="1"/>
      <c r="J1330" s="1" t="str">
        <f ca="1">IFERROR(__xludf.DUMMYFUNCTION("""COMPUTED_VALUE"""),"0d 00h 00m")</f>
        <v>0d 00h 00m</v>
      </c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13.2">
      <c r="A1331" s="1">
        <f ca="1">IFERROR(__xludf.DUMMYFUNCTION("""COMPUTED_VALUE"""),72)</f>
        <v>72</v>
      </c>
      <c r="B1331" s="1" t="str">
        <f ca="1">IFERROR(__xludf.DUMMYFUNCTION("""COMPUTED_VALUE"""),"S11_KA04D5124_TANKER")</f>
        <v>S11_KA04D5124_TANKER</v>
      </c>
      <c r="C1331" s="1" t="str">
        <f ca="1">IFERROR(__xludf.DUMMYFUNCTION("""COMPUTED_VALUE"""),"s11_ka04d5124_tanker")</f>
        <v>s11_ka04d5124_tanker</v>
      </c>
      <c r="D1331" s="2">
        <f ca="1">IFERROR(__xludf.DUMMYFUNCTION("""COMPUTED_VALUE"""),41640)</f>
        <v>41640</v>
      </c>
      <c r="E1331" s="3">
        <f ca="1">IFERROR(__xludf.DUMMYFUNCTION("""COMPUTED_VALUE"""),0.64423611111124)</f>
        <v>0.64423611111124002</v>
      </c>
      <c r="F1331" s="1">
        <f ca="1">IFERROR(__xludf.DUMMYFUNCTION("""COMPUTED_VALUE"""),49661)</f>
        <v>49661</v>
      </c>
      <c r="G1331" s="1" t="str">
        <f ca="1">IFERROR(__xludf.DUMMYFUNCTION("""COMPUTED_VALUE"""),"12.8577/77.5752")</f>
        <v>12.8577/77.5752</v>
      </c>
      <c r="H1331" s="1" t="str">
        <f ca="1">IFERROR(__xludf.DUMMYFUNCTION("""COMPUTED_VALUE"""),"Gottigere")</f>
        <v>Gottigere</v>
      </c>
      <c r="I1331" s="1"/>
      <c r="J1331" s="1" t="str">
        <f ca="1">IFERROR(__xludf.DUMMYFUNCTION("""COMPUTED_VALUE"""),"0d 00h 01m")</f>
        <v>0d 00h 01m</v>
      </c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13.2">
      <c r="A1332" s="1">
        <f ca="1">IFERROR(__xludf.DUMMYFUNCTION("""COMPUTED_VALUE"""),72)</f>
        <v>72</v>
      </c>
      <c r="B1332" s="1" t="str">
        <f ca="1">IFERROR(__xludf.DUMMYFUNCTION("""COMPUTED_VALUE"""),"S11_KA04D5124_TANKER")</f>
        <v>S11_KA04D5124_TANKER</v>
      </c>
      <c r="C1332" s="1" t="str">
        <f ca="1">IFERROR(__xludf.DUMMYFUNCTION("""COMPUTED_VALUE"""),"s11_ka04d5124_tanker")</f>
        <v>s11_ka04d5124_tanker</v>
      </c>
      <c r="D1332" s="2">
        <f ca="1">IFERROR(__xludf.DUMMYFUNCTION("""COMPUTED_VALUE"""),41640)</f>
        <v>41640</v>
      </c>
      <c r="E1332" s="3">
        <f ca="1">IFERROR(__xludf.DUMMYFUNCTION("""COMPUTED_VALUE"""),0.64423611111124)</f>
        <v>0.64423611111124002</v>
      </c>
      <c r="F1332" s="1">
        <f ca="1">IFERROR(__xludf.DUMMYFUNCTION("""COMPUTED_VALUE"""),49661)</f>
        <v>49661</v>
      </c>
      <c r="G1332" s="1" t="str">
        <f ca="1">IFERROR(__xludf.DUMMYFUNCTION("""COMPUTED_VALUE"""),"12.8577/77.5752")</f>
        <v>12.8577/77.5752</v>
      </c>
      <c r="H1332" s="1" t="str">
        <f ca="1">IFERROR(__xludf.DUMMYFUNCTION("""COMPUTED_VALUE"""),"Gottigere")</f>
        <v>Gottigere</v>
      </c>
      <c r="I1332" s="1"/>
      <c r="J1332" s="1" t="str">
        <f ca="1">IFERROR(__xludf.DUMMYFUNCTION("""COMPUTED_VALUE"""),"0d 00h 02m")</f>
        <v>0d 00h 02m</v>
      </c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13.2">
      <c r="A1333" s="1">
        <f ca="1">IFERROR(__xludf.DUMMYFUNCTION("""COMPUTED_VALUE"""),72)</f>
        <v>72</v>
      </c>
      <c r="B1333" s="1" t="str">
        <f ca="1">IFERROR(__xludf.DUMMYFUNCTION("""COMPUTED_VALUE"""),"S11_KA04D5124_TANKER")</f>
        <v>S11_KA04D5124_TANKER</v>
      </c>
      <c r="C1333" s="1" t="str">
        <f ca="1">IFERROR(__xludf.DUMMYFUNCTION("""COMPUTED_VALUE"""),"s11_ka04d5124_tanker")</f>
        <v>s11_ka04d5124_tanker</v>
      </c>
      <c r="D1333" s="2">
        <f ca="1">IFERROR(__xludf.DUMMYFUNCTION("""COMPUTED_VALUE"""),41640)</f>
        <v>41640</v>
      </c>
      <c r="E1333" s="3">
        <f ca="1">IFERROR(__xludf.DUMMYFUNCTION("""COMPUTED_VALUE"""),0.64423611111124)</f>
        <v>0.64423611111124002</v>
      </c>
      <c r="F1333" s="1">
        <f ca="1">IFERROR(__xludf.DUMMYFUNCTION("""COMPUTED_VALUE"""),49661)</f>
        <v>49661</v>
      </c>
      <c r="G1333" s="1" t="str">
        <f ca="1">IFERROR(__xludf.DUMMYFUNCTION("""COMPUTED_VALUE"""),"12.8577/77.5752")</f>
        <v>12.8577/77.5752</v>
      </c>
      <c r="H1333" s="1" t="str">
        <f ca="1">IFERROR(__xludf.DUMMYFUNCTION("""COMPUTED_VALUE"""),"Gottigere")</f>
        <v>Gottigere</v>
      </c>
      <c r="I1333" s="1"/>
      <c r="J1333" s="1" t="str">
        <f ca="1">IFERROR(__xludf.DUMMYFUNCTION("""COMPUTED_VALUE"""),"0d 00h 03m")</f>
        <v>0d 00h 03m</v>
      </c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13.2">
      <c r="A1334" s="1">
        <f ca="1">IFERROR(__xludf.DUMMYFUNCTION("""COMPUTED_VALUE"""),18)</f>
        <v>18</v>
      </c>
      <c r="B1334" s="1" t="str">
        <f ca="1">IFERROR(__xludf.DUMMYFUNCTION("""COMPUTED_VALUE"""),"S11_KA04D5161_JETTING")</f>
        <v>S11_KA04D5161_JETTING</v>
      </c>
      <c r="C1334" s="1" t="str">
        <f ca="1">IFERROR(__xludf.DUMMYFUNCTION("""COMPUTED_VALUE"""),"s11_ka04d5161_jetting")</f>
        <v>s11_ka04d5161_jetting</v>
      </c>
      <c r="D1334" s="2">
        <f ca="1">IFERROR(__xludf.DUMMYFUNCTION("""COMPUTED_VALUE"""),41640)</f>
        <v>41640</v>
      </c>
      <c r="E1334" s="3">
        <f ca="1">IFERROR(__xludf.DUMMYFUNCTION("""COMPUTED_VALUE"""),0.229745370368618)</f>
        <v>0.229745370368618</v>
      </c>
      <c r="F1334" s="1">
        <f ca="1">IFERROR(__xludf.DUMMYFUNCTION("""COMPUTED_VALUE"""),17570)</f>
        <v>17570</v>
      </c>
      <c r="G1334" s="1"/>
      <c r="H1334" s="1"/>
      <c r="I1334" s="1"/>
      <c r="J1334" s="1" t="str">
        <f ca="1">IFERROR(__xludf.DUMMYFUNCTION("""COMPUTED_VALUE"""),"0d 00h 00m")</f>
        <v>0d 00h 00m</v>
      </c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13.2">
      <c r="A1335" s="1">
        <f ca="1">IFERROR(__xludf.DUMMYFUNCTION("""COMPUTED_VALUE"""),18)</f>
        <v>18</v>
      </c>
      <c r="B1335" s="1" t="str">
        <f ca="1">IFERROR(__xludf.DUMMYFUNCTION("""COMPUTED_VALUE"""),"S11_KA04D5161_JETTING")</f>
        <v>S11_KA04D5161_JETTING</v>
      </c>
      <c r="C1335" s="1" t="str">
        <f ca="1">IFERROR(__xludf.DUMMYFUNCTION("""COMPUTED_VALUE"""),"s11_ka04d5161_jetting")</f>
        <v>s11_ka04d5161_jetting</v>
      </c>
      <c r="D1335" s="2">
        <f ca="1">IFERROR(__xludf.DUMMYFUNCTION("""COMPUTED_VALUE"""),41640)</f>
        <v>41640</v>
      </c>
      <c r="E1335" s="3">
        <f ca="1">IFERROR(__xludf.DUMMYFUNCTION("""COMPUTED_VALUE"""),0.229745370368618)</f>
        <v>0.229745370368618</v>
      </c>
      <c r="F1335" s="1">
        <f ca="1">IFERROR(__xludf.DUMMYFUNCTION("""COMPUTED_VALUE"""),17570)</f>
        <v>17570</v>
      </c>
      <c r="G1335" s="1"/>
      <c r="H1335" s="1"/>
      <c r="I1335" s="1"/>
      <c r="J1335" s="1" t="str">
        <f ca="1">IFERROR(__xludf.DUMMYFUNCTION("""COMPUTED_VALUE"""),"0d 00h 00m")</f>
        <v>0d 00h 00m</v>
      </c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13.2">
      <c r="A1336" s="1">
        <f ca="1">IFERROR(__xludf.DUMMYFUNCTION("""COMPUTED_VALUE"""),18)</f>
        <v>18</v>
      </c>
      <c r="B1336" s="1" t="str">
        <f ca="1">IFERROR(__xludf.DUMMYFUNCTION("""COMPUTED_VALUE"""),"S11_KA04D5161_JETTING")</f>
        <v>S11_KA04D5161_JETTING</v>
      </c>
      <c r="C1336" s="1" t="str">
        <f ca="1">IFERROR(__xludf.DUMMYFUNCTION("""COMPUTED_VALUE"""),"s11_ka04d5161_jetting")</f>
        <v>s11_ka04d5161_jetting</v>
      </c>
      <c r="D1336" s="2">
        <f ca="1">IFERROR(__xludf.DUMMYFUNCTION("""COMPUTED_VALUE"""),41640)</f>
        <v>41640</v>
      </c>
      <c r="E1336" s="3">
        <f ca="1">IFERROR(__xludf.DUMMYFUNCTION("""COMPUTED_VALUE"""),0.229745370368618)</f>
        <v>0.229745370368618</v>
      </c>
      <c r="F1336" s="1">
        <f ca="1">IFERROR(__xludf.DUMMYFUNCTION("""COMPUTED_VALUE"""),17570)</f>
        <v>17570</v>
      </c>
      <c r="G1336" s="1"/>
      <c r="H1336" s="1"/>
      <c r="I1336" s="1"/>
      <c r="J1336" s="1" t="str">
        <f ca="1">IFERROR(__xludf.DUMMYFUNCTION("""COMPUTED_VALUE"""),"0d 00h 00m")</f>
        <v>0d 00h 00m</v>
      </c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13.2">
      <c r="A1337" s="1">
        <f ca="1">IFERROR(__xludf.DUMMYFUNCTION("""COMPUTED_VALUE"""),18)</f>
        <v>18</v>
      </c>
      <c r="B1337" s="1" t="str">
        <f ca="1">IFERROR(__xludf.DUMMYFUNCTION("""COMPUTED_VALUE"""),"S11_KA04D5161_JETTING")</f>
        <v>S11_KA04D5161_JETTING</v>
      </c>
      <c r="C1337" s="1" t="str">
        <f ca="1">IFERROR(__xludf.DUMMYFUNCTION("""COMPUTED_VALUE"""),"s11_ka04d5161_jetting")</f>
        <v>s11_ka04d5161_jetting</v>
      </c>
      <c r="D1337" s="2">
        <f ca="1">IFERROR(__xludf.DUMMYFUNCTION("""COMPUTED_VALUE"""),41640)</f>
        <v>41640</v>
      </c>
      <c r="E1337" s="3">
        <f ca="1">IFERROR(__xludf.DUMMYFUNCTION("""COMPUTED_VALUE"""),0.229745370368618)</f>
        <v>0.229745370368618</v>
      </c>
      <c r="F1337" s="1">
        <f ca="1">IFERROR(__xludf.DUMMYFUNCTION("""COMPUTED_VALUE"""),17570)</f>
        <v>17570</v>
      </c>
      <c r="G1337" s="1"/>
      <c r="H1337" s="1"/>
      <c r="I1337" s="1"/>
      <c r="J1337" s="1" t="str">
        <f ca="1">IFERROR(__xludf.DUMMYFUNCTION("""COMPUTED_VALUE"""),"0d 00h 00m")</f>
        <v>0d 00h 00m</v>
      </c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13.2">
      <c r="A1338" s="1">
        <f ca="1">IFERROR(__xludf.DUMMYFUNCTION("""COMPUTED_VALUE"""),18)</f>
        <v>18</v>
      </c>
      <c r="B1338" s="1" t="str">
        <f ca="1">IFERROR(__xludf.DUMMYFUNCTION("""COMPUTED_VALUE"""),"S11_KA04D5161_JETTING")</f>
        <v>S11_KA04D5161_JETTING</v>
      </c>
      <c r="C1338" s="1" t="str">
        <f ca="1">IFERROR(__xludf.DUMMYFUNCTION("""COMPUTED_VALUE"""),"s11_ka04d5161_jetting")</f>
        <v>s11_ka04d5161_jetting</v>
      </c>
      <c r="D1338" s="2">
        <f ca="1">IFERROR(__xludf.DUMMYFUNCTION("""COMPUTED_VALUE"""),41640)</f>
        <v>41640</v>
      </c>
      <c r="E1338" s="3">
        <f ca="1">IFERROR(__xludf.DUMMYFUNCTION("""COMPUTED_VALUE"""),0.229745370368618)</f>
        <v>0.229745370368618</v>
      </c>
      <c r="F1338" s="1">
        <f ca="1">IFERROR(__xludf.DUMMYFUNCTION("""COMPUTED_VALUE"""),17570)</f>
        <v>17570</v>
      </c>
      <c r="G1338" s="1"/>
      <c r="H1338" s="1"/>
      <c r="I1338" s="1"/>
      <c r="J1338" s="1" t="str">
        <f ca="1">IFERROR(__xludf.DUMMYFUNCTION("""COMPUTED_VALUE"""),"0d 00h 00m")</f>
        <v>0d 00h 00m</v>
      </c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13.2">
      <c r="A1339" s="1">
        <f ca="1">IFERROR(__xludf.DUMMYFUNCTION("""COMPUTED_VALUE"""),18)</f>
        <v>18</v>
      </c>
      <c r="B1339" s="1" t="str">
        <f ca="1">IFERROR(__xludf.DUMMYFUNCTION("""COMPUTED_VALUE"""),"S11_KA04D5161_JETTING")</f>
        <v>S11_KA04D5161_JETTING</v>
      </c>
      <c r="C1339" s="1" t="str">
        <f ca="1">IFERROR(__xludf.DUMMYFUNCTION("""COMPUTED_VALUE"""),"s11_ka04d5161_jetting")</f>
        <v>s11_ka04d5161_jetting</v>
      </c>
      <c r="D1339" s="2">
        <f ca="1">IFERROR(__xludf.DUMMYFUNCTION("""COMPUTED_VALUE"""),41640)</f>
        <v>41640</v>
      </c>
      <c r="E1339" s="3">
        <f ca="1">IFERROR(__xludf.DUMMYFUNCTION("""COMPUTED_VALUE"""),0.229745370368618)</f>
        <v>0.229745370368618</v>
      </c>
      <c r="F1339" s="1">
        <f ca="1">IFERROR(__xludf.DUMMYFUNCTION("""COMPUTED_VALUE"""),17570)</f>
        <v>17570</v>
      </c>
      <c r="G1339" s="1"/>
      <c r="H1339" s="1"/>
      <c r="I1339" s="1"/>
      <c r="J1339" s="1" t="str">
        <f ca="1">IFERROR(__xludf.DUMMYFUNCTION("""COMPUTED_VALUE"""),"0d 00h 00m")</f>
        <v>0d 00h 00m</v>
      </c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13.2">
      <c r="A1340" s="1">
        <f ca="1">IFERROR(__xludf.DUMMYFUNCTION("""COMPUTED_VALUE"""),18)</f>
        <v>18</v>
      </c>
      <c r="B1340" s="1" t="str">
        <f ca="1">IFERROR(__xludf.DUMMYFUNCTION("""COMPUTED_VALUE"""),"S11_KA04D5161_JETTING")</f>
        <v>S11_KA04D5161_JETTING</v>
      </c>
      <c r="C1340" s="1" t="str">
        <f ca="1">IFERROR(__xludf.DUMMYFUNCTION("""COMPUTED_VALUE"""),"s11_ka04d5161_jetting")</f>
        <v>s11_ka04d5161_jetting</v>
      </c>
      <c r="D1340" s="2">
        <f ca="1">IFERROR(__xludf.DUMMYFUNCTION("""COMPUTED_VALUE"""),41640)</f>
        <v>41640</v>
      </c>
      <c r="E1340" s="3">
        <f ca="1">IFERROR(__xludf.DUMMYFUNCTION("""COMPUTED_VALUE"""),0.229745370368618)</f>
        <v>0.229745370368618</v>
      </c>
      <c r="F1340" s="1">
        <f ca="1">IFERROR(__xludf.DUMMYFUNCTION("""COMPUTED_VALUE"""),17570)</f>
        <v>17570</v>
      </c>
      <c r="G1340" s="1"/>
      <c r="H1340" s="1"/>
      <c r="I1340" s="1"/>
      <c r="J1340" s="1" t="str">
        <f ca="1">IFERROR(__xludf.DUMMYFUNCTION("""COMPUTED_VALUE"""),"0d 00h 00m")</f>
        <v>0d 00h 00m</v>
      </c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13.2">
      <c r="A1341" s="1">
        <f ca="1">IFERROR(__xludf.DUMMYFUNCTION("""COMPUTED_VALUE"""),13)</f>
        <v>13</v>
      </c>
      <c r="B1341" s="1" t="str">
        <f ca="1">IFERROR(__xludf.DUMMYFUNCTION("""COMPUTED_VALUE"""),"S11_KA04D5298_TANKER")</f>
        <v>S11_KA04D5298_TANKER</v>
      </c>
      <c r="C1341" s="1" t="str">
        <f ca="1">IFERROR(__xludf.DUMMYFUNCTION("""COMPUTED_VALUE"""),"s11_ka04d5298_tanker")</f>
        <v>s11_ka04d5298_tanker</v>
      </c>
      <c r="D1341" s="2">
        <f ca="1">IFERROR(__xludf.DUMMYFUNCTION("""COMPUTED_VALUE"""),41640)</f>
        <v>41640</v>
      </c>
      <c r="E1341" s="3">
        <f ca="1">IFERROR(__xludf.DUMMYFUNCTION("""COMPUTED_VALUE"""),0.229537037037516)</f>
        <v>0.22953703703751599</v>
      </c>
      <c r="F1341" s="1">
        <f ca="1">IFERROR(__xludf.DUMMYFUNCTION("""COMPUTED_VALUE"""),40655)</f>
        <v>40655</v>
      </c>
      <c r="G1341" s="1"/>
      <c r="H1341" s="1"/>
      <c r="I1341" s="1"/>
      <c r="J1341" s="1" t="str">
        <f ca="1">IFERROR(__xludf.DUMMYFUNCTION("""COMPUTED_VALUE"""),"0d 00h 00m")</f>
        <v>0d 00h 00m</v>
      </c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13.2">
      <c r="A1342" s="1">
        <f ca="1">IFERROR(__xludf.DUMMYFUNCTION("""COMPUTED_VALUE"""),13)</f>
        <v>13</v>
      </c>
      <c r="B1342" s="1" t="str">
        <f ca="1">IFERROR(__xludf.DUMMYFUNCTION("""COMPUTED_VALUE"""),"S11_KA04D5298_TANKER")</f>
        <v>S11_KA04D5298_TANKER</v>
      </c>
      <c r="C1342" s="1" t="str">
        <f ca="1">IFERROR(__xludf.DUMMYFUNCTION("""COMPUTED_VALUE"""),"s11_ka04d5298_tanker")</f>
        <v>s11_ka04d5298_tanker</v>
      </c>
      <c r="D1342" s="2">
        <f ca="1">IFERROR(__xludf.DUMMYFUNCTION("""COMPUTED_VALUE"""),41640)</f>
        <v>41640</v>
      </c>
      <c r="E1342" s="3">
        <f ca="1">IFERROR(__xludf.DUMMYFUNCTION("""COMPUTED_VALUE"""),0.229537037037516)</f>
        <v>0.22953703703751599</v>
      </c>
      <c r="F1342" s="1">
        <f ca="1">IFERROR(__xludf.DUMMYFUNCTION("""COMPUTED_VALUE"""),40655)</f>
        <v>40655</v>
      </c>
      <c r="G1342" s="1"/>
      <c r="H1342" s="1"/>
      <c r="I1342" s="1"/>
      <c r="J1342" s="1" t="str">
        <f ca="1">IFERROR(__xludf.DUMMYFUNCTION("""COMPUTED_VALUE"""),"0d 00h 00m")</f>
        <v>0d 00h 00m</v>
      </c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13.2">
      <c r="A1343" s="1">
        <f ca="1">IFERROR(__xludf.DUMMYFUNCTION("""COMPUTED_VALUE"""),13)</f>
        <v>13</v>
      </c>
      <c r="B1343" s="1" t="str">
        <f ca="1">IFERROR(__xludf.DUMMYFUNCTION("""COMPUTED_VALUE"""),"S11_KA04D5298_TANKER")</f>
        <v>S11_KA04D5298_TANKER</v>
      </c>
      <c r="C1343" s="1" t="str">
        <f ca="1">IFERROR(__xludf.DUMMYFUNCTION("""COMPUTED_VALUE"""),"s11_ka04d5298_tanker")</f>
        <v>s11_ka04d5298_tanker</v>
      </c>
      <c r="D1343" s="2">
        <f ca="1">IFERROR(__xludf.DUMMYFUNCTION("""COMPUTED_VALUE"""),41640)</f>
        <v>41640</v>
      </c>
      <c r="E1343" s="3">
        <f ca="1">IFERROR(__xludf.DUMMYFUNCTION("""COMPUTED_VALUE"""),0.229537037037516)</f>
        <v>0.22953703703751599</v>
      </c>
      <c r="F1343" s="1">
        <f ca="1">IFERROR(__xludf.DUMMYFUNCTION("""COMPUTED_VALUE"""),40655)</f>
        <v>40655</v>
      </c>
      <c r="G1343" s="1"/>
      <c r="H1343" s="1"/>
      <c r="I1343" s="1"/>
      <c r="J1343" s="1" t="str">
        <f ca="1">IFERROR(__xludf.DUMMYFUNCTION("""COMPUTED_VALUE"""),"0d 00h 00m")</f>
        <v>0d 00h 00m</v>
      </c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13.2">
      <c r="A1344" s="1">
        <f ca="1">IFERROR(__xludf.DUMMYFUNCTION("""COMPUTED_VALUE"""),13)</f>
        <v>13</v>
      </c>
      <c r="B1344" s="1" t="str">
        <f ca="1">IFERROR(__xludf.DUMMYFUNCTION("""COMPUTED_VALUE"""),"S11_KA04D5298_TANKER")</f>
        <v>S11_KA04D5298_TANKER</v>
      </c>
      <c r="C1344" s="1" t="str">
        <f ca="1">IFERROR(__xludf.DUMMYFUNCTION("""COMPUTED_VALUE"""),"s11_ka04d5298_tanker")</f>
        <v>s11_ka04d5298_tanker</v>
      </c>
      <c r="D1344" s="2">
        <f ca="1">IFERROR(__xludf.DUMMYFUNCTION("""COMPUTED_VALUE"""),41640)</f>
        <v>41640</v>
      </c>
      <c r="E1344" s="3">
        <f ca="1">IFERROR(__xludf.DUMMYFUNCTION("""COMPUTED_VALUE"""),0.229537037037516)</f>
        <v>0.22953703703751599</v>
      </c>
      <c r="F1344" s="1">
        <f ca="1">IFERROR(__xludf.DUMMYFUNCTION("""COMPUTED_VALUE"""),40655)</f>
        <v>40655</v>
      </c>
      <c r="G1344" s="1"/>
      <c r="H1344" s="1"/>
      <c r="I1344" s="1"/>
      <c r="J1344" s="1" t="str">
        <f ca="1">IFERROR(__xludf.DUMMYFUNCTION("""COMPUTED_VALUE"""),"0d 00h 00m")</f>
        <v>0d 00h 00m</v>
      </c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13.2">
      <c r="A1345" s="1">
        <f ca="1">IFERROR(__xludf.DUMMYFUNCTION("""COMPUTED_VALUE"""),13)</f>
        <v>13</v>
      </c>
      <c r="B1345" s="1" t="str">
        <f ca="1">IFERROR(__xludf.DUMMYFUNCTION("""COMPUTED_VALUE"""),"S11_KA04D5298_TANKER")</f>
        <v>S11_KA04D5298_TANKER</v>
      </c>
      <c r="C1345" s="1" t="str">
        <f ca="1">IFERROR(__xludf.DUMMYFUNCTION("""COMPUTED_VALUE"""),"s11_ka04d5298_tanker")</f>
        <v>s11_ka04d5298_tanker</v>
      </c>
      <c r="D1345" s="2">
        <f ca="1">IFERROR(__xludf.DUMMYFUNCTION("""COMPUTED_VALUE"""),41640)</f>
        <v>41640</v>
      </c>
      <c r="E1345" s="3">
        <f ca="1">IFERROR(__xludf.DUMMYFUNCTION("""COMPUTED_VALUE"""),0.229537037037516)</f>
        <v>0.22953703703751599</v>
      </c>
      <c r="F1345" s="1">
        <f ca="1">IFERROR(__xludf.DUMMYFUNCTION("""COMPUTED_VALUE"""),40655)</f>
        <v>40655</v>
      </c>
      <c r="G1345" s="1"/>
      <c r="H1345" s="1"/>
      <c r="I1345" s="1"/>
      <c r="J1345" s="1" t="str">
        <f ca="1">IFERROR(__xludf.DUMMYFUNCTION("""COMPUTED_VALUE"""),"0d 00h 00m")</f>
        <v>0d 00h 00m</v>
      </c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13.2">
      <c r="A1346" s="1">
        <f ca="1">IFERROR(__xludf.DUMMYFUNCTION("""COMPUTED_VALUE"""),13)</f>
        <v>13</v>
      </c>
      <c r="B1346" s="1" t="str">
        <f ca="1">IFERROR(__xludf.DUMMYFUNCTION("""COMPUTED_VALUE"""),"S11_KA04D5298_TANKER")</f>
        <v>S11_KA04D5298_TANKER</v>
      </c>
      <c r="C1346" s="1" t="str">
        <f ca="1">IFERROR(__xludf.DUMMYFUNCTION("""COMPUTED_VALUE"""),"s11_ka04d5298_tanker")</f>
        <v>s11_ka04d5298_tanker</v>
      </c>
      <c r="D1346" s="2">
        <f ca="1">IFERROR(__xludf.DUMMYFUNCTION("""COMPUTED_VALUE"""),41640)</f>
        <v>41640</v>
      </c>
      <c r="E1346" s="3">
        <f ca="1">IFERROR(__xludf.DUMMYFUNCTION("""COMPUTED_VALUE"""),0.229537037037516)</f>
        <v>0.22953703703751599</v>
      </c>
      <c r="F1346" s="1">
        <f ca="1">IFERROR(__xludf.DUMMYFUNCTION("""COMPUTED_VALUE"""),40655)</f>
        <v>40655</v>
      </c>
      <c r="G1346" s="1"/>
      <c r="H1346" s="1"/>
      <c r="I1346" s="1"/>
      <c r="J1346" s="1" t="str">
        <f ca="1">IFERROR(__xludf.DUMMYFUNCTION("""COMPUTED_VALUE"""),"0d 00h 00m")</f>
        <v>0d 00h 00m</v>
      </c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13.2">
      <c r="A1347" s="1">
        <f ca="1">IFERROR(__xludf.DUMMYFUNCTION("""COMPUTED_VALUE"""),13)</f>
        <v>13</v>
      </c>
      <c r="B1347" s="1" t="str">
        <f ca="1">IFERROR(__xludf.DUMMYFUNCTION("""COMPUTED_VALUE"""),"S11_KA04D5298_TANKER")</f>
        <v>S11_KA04D5298_TANKER</v>
      </c>
      <c r="C1347" s="1" t="str">
        <f ca="1">IFERROR(__xludf.DUMMYFUNCTION("""COMPUTED_VALUE"""),"s11_ka04d5298_tanker")</f>
        <v>s11_ka04d5298_tanker</v>
      </c>
      <c r="D1347" s="2">
        <f ca="1">IFERROR(__xludf.DUMMYFUNCTION("""COMPUTED_VALUE"""),41640)</f>
        <v>41640</v>
      </c>
      <c r="E1347" s="3">
        <f ca="1">IFERROR(__xludf.DUMMYFUNCTION("""COMPUTED_VALUE"""),0.229537037037516)</f>
        <v>0.22953703703751599</v>
      </c>
      <c r="F1347" s="1">
        <f ca="1">IFERROR(__xludf.DUMMYFUNCTION("""COMPUTED_VALUE"""),40655)</f>
        <v>40655</v>
      </c>
      <c r="G1347" s="1"/>
      <c r="H1347" s="1"/>
      <c r="I1347" s="1"/>
      <c r="J1347" s="1" t="str">
        <f ca="1">IFERROR(__xludf.DUMMYFUNCTION("""COMPUTED_VALUE"""),"0d 00h 00m")</f>
        <v>0d 00h 00m</v>
      </c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13.2">
      <c r="A1348" s="1">
        <f ca="1">IFERROR(__xludf.DUMMYFUNCTION("""COMPUTED_VALUE"""),76)</f>
        <v>76</v>
      </c>
      <c r="B1348" s="1" t="str">
        <f ca="1">IFERROR(__xludf.DUMMYFUNCTION("""COMPUTED_VALUE"""),"S11_KA05D6540_JETTING")</f>
        <v>S11_KA05D6540_JETTING</v>
      </c>
      <c r="C1348" s="1" t="str">
        <f ca="1">IFERROR(__xludf.DUMMYFUNCTION("""COMPUTED_VALUE"""),"s11_ka05d6540_jetting")</f>
        <v>s11_ka05d6540_jetting</v>
      </c>
      <c r="D1348" s="2">
        <f ca="1">IFERROR(__xludf.DUMMYFUNCTION("""COMPUTED_VALUE"""),41640)</f>
        <v>41640</v>
      </c>
      <c r="E1348" s="3">
        <f ca="1">IFERROR(__xludf.DUMMYFUNCTION("""COMPUTED_VALUE"""),0.646099537036207)</f>
        <v>0.64609953703620704</v>
      </c>
      <c r="F1348" s="1">
        <f ca="1">IFERROR(__xludf.DUMMYFUNCTION("""COMPUTED_VALUE"""),17568)</f>
        <v>17568</v>
      </c>
      <c r="G1348" s="1" t="str">
        <f ca="1">IFERROR(__xludf.DUMMYFUNCTION("""COMPUTED_VALUE"""),"12.9489/77.5962")</f>
        <v>12.9489/77.5962</v>
      </c>
      <c r="H1348" s="1" t="str">
        <f ca="1">IFERROR(__xludf.DUMMYFUNCTION("""COMPUTED_VALUE"""),"Wilson Garden")</f>
        <v>Wilson Garden</v>
      </c>
      <c r="I1348" s="1"/>
      <c r="J1348" s="1" t="str">
        <f ca="1">IFERROR(__xludf.DUMMYFUNCTION("""COMPUTED_VALUE"""),"0d 00h 33m")</f>
        <v>0d 00h 33m</v>
      </c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13.2">
      <c r="A1349" s="1">
        <f ca="1">IFERROR(__xludf.DUMMYFUNCTION("""COMPUTED_VALUE"""),76)</f>
        <v>76</v>
      </c>
      <c r="B1349" s="1" t="str">
        <f ca="1">IFERROR(__xludf.DUMMYFUNCTION("""COMPUTED_VALUE"""),"S11_KA05D6540_JETTING")</f>
        <v>S11_KA05D6540_JETTING</v>
      </c>
      <c r="C1349" s="1" t="str">
        <f ca="1">IFERROR(__xludf.DUMMYFUNCTION("""COMPUTED_VALUE"""),"s11_ka05d6540_jetting")</f>
        <v>s11_ka05d6540_jetting</v>
      </c>
      <c r="D1349" s="2">
        <f ca="1">IFERROR(__xludf.DUMMYFUNCTION("""COMPUTED_VALUE"""),41640)</f>
        <v>41640</v>
      </c>
      <c r="E1349" s="3">
        <f ca="1">IFERROR(__xludf.DUMMYFUNCTION("""COMPUTED_VALUE"""),0.646099537036207)</f>
        <v>0.64609953703620704</v>
      </c>
      <c r="F1349" s="1">
        <f ca="1">IFERROR(__xludf.DUMMYFUNCTION("""COMPUTED_VALUE"""),17568)</f>
        <v>17568</v>
      </c>
      <c r="G1349" s="1" t="str">
        <f ca="1">IFERROR(__xludf.DUMMYFUNCTION("""COMPUTED_VALUE"""),"12.9489/77.5962")</f>
        <v>12.9489/77.5962</v>
      </c>
      <c r="H1349" s="1" t="str">
        <f ca="1">IFERROR(__xludf.DUMMYFUNCTION("""COMPUTED_VALUE"""),"Wilson Garden")</f>
        <v>Wilson Garden</v>
      </c>
      <c r="I1349" s="1"/>
      <c r="J1349" s="1" t="str">
        <f ca="1">IFERROR(__xludf.DUMMYFUNCTION("""COMPUTED_VALUE"""),"0d 00h 34m")</f>
        <v>0d 00h 34m</v>
      </c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13.2">
      <c r="A1350" s="1">
        <f ca="1">IFERROR(__xludf.DUMMYFUNCTION("""COMPUTED_VALUE"""),74)</f>
        <v>74</v>
      </c>
      <c r="B1350" s="1" t="str">
        <f ca="1">IFERROR(__xludf.DUMMYFUNCTION("""COMPUTED_VALUE"""),"S11_KA05D6540_JETTING")</f>
        <v>S11_KA05D6540_JETTING</v>
      </c>
      <c r="C1350" s="1" t="str">
        <f ca="1">IFERROR(__xludf.DUMMYFUNCTION("""COMPUTED_VALUE"""),"s11_ka05d6540_jetting")</f>
        <v>s11_ka05d6540_jetting</v>
      </c>
      <c r="D1350" s="2">
        <f ca="1">IFERROR(__xludf.DUMMYFUNCTION("""COMPUTED_VALUE"""),41640)</f>
        <v>41640</v>
      </c>
      <c r="E1350" s="3">
        <f ca="1">IFERROR(__xludf.DUMMYFUNCTION("""COMPUTED_VALUE"""),0.646099537036207)</f>
        <v>0.64609953703620704</v>
      </c>
      <c r="F1350" s="1">
        <f ca="1">IFERROR(__xludf.DUMMYFUNCTION("""COMPUTED_VALUE"""),17568)</f>
        <v>17568</v>
      </c>
      <c r="G1350" s="1" t="str">
        <f ca="1">IFERROR(__xludf.DUMMYFUNCTION("""COMPUTED_VALUE"""),"12.9489/77.5962")</f>
        <v>12.9489/77.5962</v>
      </c>
      <c r="H1350" s="1" t="str">
        <f ca="1">IFERROR(__xludf.DUMMYFUNCTION("""COMPUTED_VALUE"""),"Wilson Garden")</f>
        <v>Wilson Garden</v>
      </c>
      <c r="I1350" s="1"/>
      <c r="J1350" s="1" t="str">
        <f ca="1">IFERROR(__xludf.DUMMYFUNCTION("""COMPUTED_VALUE"""),"0d 00h 37m")</f>
        <v>0d 00h 37m</v>
      </c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13.2">
      <c r="A1351" s="1">
        <f ca="1">IFERROR(__xludf.DUMMYFUNCTION("""COMPUTED_VALUE"""),74)</f>
        <v>74</v>
      </c>
      <c r="B1351" s="1" t="str">
        <f ca="1">IFERROR(__xludf.DUMMYFUNCTION("""COMPUTED_VALUE"""),"S11_KA05D6540_JETTING")</f>
        <v>S11_KA05D6540_JETTING</v>
      </c>
      <c r="C1351" s="1" t="str">
        <f ca="1">IFERROR(__xludf.DUMMYFUNCTION("""COMPUTED_VALUE"""),"s11_ka05d6540_jetting")</f>
        <v>s11_ka05d6540_jetting</v>
      </c>
      <c r="D1351" s="2">
        <f ca="1">IFERROR(__xludf.DUMMYFUNCTION("""COMPUTED_VALUE"""),41640)</f>
        <v>41640</v>
      </c>
      <c r="E1351" s="3">
        <f ca="1">IFERROR(__xludf.DUMMYFUNCTION("""COMPUTED_VALUE"""),0.646099537036207)</f>
        <v>0.64609953703620704</v>
      </c>
      <c r="F1351" s="1">
        <f ca="1">IFERROR(__xludf.DUMMYFUNCTION("""COMPUTED_VALUE"""),17568)</f>
        <v>17568</v>
      </c>
      <c r="G1351" s="1" t="str">
        <f ca="1">IFERROR(__xludf.DUMMYFUNCTION("""COMPUTED_VALUE"""),"12.9489/77.5962")</f>
        <v>12.9489/77.5962</v>
      </c>
      <c r="H1351" s="1" t="str">
        <f ca="1">IFERROR(__xludf.DUMMYFUNCTION("""COMPUTED_VALUE"""),"Wilson Garden")</f>
        <v>Wilson Garden</v>
      </c>
      <c r="I1351" s="1"/>
      <c r="J1351" s="1" t="str">
        <f ca="1">IFERROR(__xludf.DUMMYFUNCTION("""COMPUTED_VALUE"""),"0d 00h 38m")</f>
        <v>0d 00h 38m</v>
      </c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13.2">
      <c r="A1352" s="1">
        <f ca="1">IFERROR(__xludf.DUMMYFUNCTION("""COMPUTED_VALUE"""),74)</f>
        <v>74</v>
      </c>
      <c r="B1352" s="1" t="str">
        <f ca="1">IFERROR(__xludf.DUMMYFUNCTION("""COMPUTED_VALUE"""),"S11_KA05D6540_JETTING")</f>
        <v>S11_KA05D6540_JETTING</v>
      </c>
      <c r="C1352" s="1" t="str">
        <f ca="1">IFERROR(__xludf.DUMMYFUNCTION("""COMPUTED_VALUE"""),"s11_ka05d6540_jetting")</f>
        <v>s11_ka05d6540_jetting</v>
      </c>
      <c r="D1352" s="2">
        <f ca="1">IFERROR(__xludf.DUMMYFUNCTION("""COMPUTED_VALUE"""),41640)</f>
        <v>41640</v>
      </c>
      <c r="E1352" s="3">
        <f ca="1">IFERROR(__xludf.DUMMYFUNCTION("""COMPUTED_VALUE"""),0.646099537036207)</f>
        <v>0.64609953703620704</v>
      </c>
      <c r="F1352" s="1">
        <f ca="1">IFERROR(__xludf.DUMMYFUNCTION("""COMPUTED_VALUE"""),17568)</f>
        <v>17568</v>
      </c>
      <c r="G1352" s="1" t="str">
        <f ca="1">IFERROR(__xludf.DUMMYFUNCTION("""COMPUTED_VALUE"""),"12.9489/77.5962")</f>
        <v>12.9489/77.5962</v>
      </c>
      <c r="H1352" s="1" t="str">
        <f ca="1">IFERROR(__xludf.DUMMYFUNCTION("""COMPUTED_VALUE"""),"Wilson Garden")</f>
        <v>Wilson Garden</v>
      </c>
      <c r="I1352" s="1"/>
      <c r="J1352" s="1" t="str">
        <f ca="1">IFERROR(__xludf.DUMMYFUNCTION("""COMPUTED_VALUE"""),"0d 00h 39m")</f>
        <v>0d 00h 39m</v>
      </c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13.2">
      <c r="A1353" s="1">
        <f ca="1">IFERROR(__xludf.DUMMYFUNCTION("""COMPUTED_VALUE"""),74)</f>
        <v>74</v>
      </c>
      <c r="B1353" s="1" t="str">
        <f ca="1">IFERROR(__xludf.DUMMYFUNCTION("""COMPUTED_VALUE"""),"S11_KA05D6540_JETTING")</f>
        <v>S11_KA05D6540_JETTING</v>
      </c>
      <c r="C1353" s="1" t="str">
        <f ca="1">IFERROR(__xludf.DUMMYFUNCTION("""COMPUTED_VALUE"""),"s11_ka05d6540_jetting")</f>
        <v>s11_ka05d6540_jetting</v>
      </c>
      <c r="D1353" s="2">
        <f ca="1">IFERROR(__xludf.DUMMYFUNCTION("""COMPUTED_VALUE"""),41640)</f>
        <v>41640</v>
      </c>
      <c r="E1353" s="3">
        <f ca="1">IFERROR(__xludf.DUMMYFUNCTION("""COMPUTED_VALUE"""),0.646099537036207)</f>
        <v>0.64609953703620704</v>
      </c>
      <c r="F1353" s="1">
        <f ca="1">IFERROR(__xludf.DUMMYFUNCTION("""COMPUTED_VALUE"""),17568)</f>
        <v>17568</v>
      </c>
      <c r="G1353" s="1" t="str">
        <f ca="1">IFERROR(__xludf.DUMMYFUNCTION("""COMPUTED_VALUE"""),"12.9489/77.5962")</f>
        <v>12.9489/77.5962</v>
      </c>
      <c r="H1353" s="1" t="str">
        <f ca="1">IFERROR(__xludf.DUMMYFUNCTION("""COMPUTED_VALUE"""),"Wilson Garden")</f>
        <v>Wilson Garden</v>
      </c>
      <c r="I1353" s="1"/>
      <c r="J1353" s="1" t="str">
        <f ca="1">IFERROR(__xludf.DUMMYFUNCTION("""COMPUTED_VALUE"""),"0d 00h 40m")</f>
        <v>0d 00h 40m</v>
      </c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13.2">
      <c r="A1354" s="1">
        <f ca="1">IFERROR(__xludf.DUMMYFUNCTION("""COMPUTED_VALUE"""),74)</f>
        <v>74</v>
      </c>
      <c r="B1354" s="1" t="str">
        <f ca="1">IFERROR(__xludf.DUMMYFUNCTION("""COMPUTED_VALUE"""),"S11_KA05D6540_JETTING")</f>
        <v>S11_KA05D6540_JETTING</v>
      </c>
      <c r="C1354" s="1" t="str">
        <f ca="1">IFERROR(__xludf.DUMMYFUNCTION("""COMPUTED_VALUE"""),"s11_ka05d6540_jetting")</f>
        <v>s11_ka05d6540_jetting</v>
      </c>
      <c r="D1354" s="2">
        <f ca="1">IFERROR(__xludf.DUMMYFUNCTION("""COMPUTED_VALUE"""),41640)</f>
        <v>41640</v>
      </c>
      <c r="E1354" s="3">
        <f ca="1">IFERROR(__xludf.DUMMYFUNCTION("""COMPUTED_VALUE"""),0.646099537036207)</f>
        <v>0.64609953703620704</v>
      </c>
      <c r="F1354" s="1">
        <f ca="1">IFERROR(__xludf.DUMMYFUNCTION("""COMPUTED_VALUE"""),17568)</f>
        <v>17568</v>
      </c>
      <c r="G1354" s="1" t="str">
        <f ca="1">IFERROR(__xludf.DUMMYFUNCTION("""COMPUTED_VALUE"""),"12.9489/77.5962")</f>
        <v>12.9489/77.5962</v>
      </c>
      <c r="H1354" s="1" t="str">
        <f ca="1">IFERROR(__xludf.DUMMYFUNCTION("""COMPUTED_VALUE"""),"Wilson Garden")</f>
        <v>Wilson Garden</v>
      </c>
      <c r="I1354" s="1"/>
      <c r="J1354" s="1" t="str">
        <f ca="1">IFERROR(__xludf.DUMMYFUNCTION("""COMPUTED_VALUE"""),"0d 00h 41m")</f>
        <v>0d 00h 41m</v>
      </c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13.2">
      <c r="A1355" s="1">
        <f ca="1">IFERROR(__xludf.DUMMYFUNCTION("""COMPUTED_VALUE"""),147)</f>
        <v>147</v>
      </c>
      <c r="B1355" s="1" t="str">
        <f ca="1">IFERROR(__xludf.DUMMYFUNCTION("""COMPUTED_VALUE"""),"S12_KA04AA7683_DESILTING")</f>
        <v>S12_KA04AA7683_DESILTING</v>
      </c>
      <c r="C1355" s="1" t="str">
        <f ca="1">IFERROR(__xludf.DUMMYFUNCTION("""COMPUTED_VALUE"""),"s12_ka04aa7683_desilting")</f>
        <v>s12_ka04aa7683_desilting</v>
      </c>
      <c r="D1355" s="2">
        <f ca="1">IFERROR(__xludf.DUMMYFUNCTION("""COMPUTED_VALUE"""),45280)</f>
        <v>45280</v>
      </c>
      <c r="E1355" s="3">
        <f ca="1">IFERROR(__xludf.DUMMYFUNCTION("""COMPUTED_VALUE"""),0.666851851852698)</f>
        <v>0.66685185185269802</v>
      </c>
      <c r="F1355" s="1">
        <f ca="1">IFERROR(__xludf.DUMMYFUNCTION("""COMPUTED_VALUE"""),20018)</f>
        <v>20018</v>
      </c>
      <c r="G1355" s="1" t="str">
        <f ca="1">IFERROR(__xludf.DUMMYFUNCTION("""COMPUTED_VALUE"""),"12.8972/77.6202")</f>
        <v>12.8972/77.6202</v>
      </c>
      <c r="H1355" s="1" t="str">
        <f ca="1">IFERROR(__xludf.DUMMYFUNCTION("""COMPUTED_VALUE"""),"Hongasandra")</f>
        <v>Hongasandra</v>
      </c>
      <c r="I1355" s="1"/>
      <c r="J1355" s="1" t="str">
        <f ca="1">IFERROR(__xludf.DUMMYFUNCTION("""COMPUTED_VALUE"""),"90d 19h 32m")</f>
        <v>90d 19h 32m</v>
      </c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13.2">
      <c r="A1356" s="1">
        <f ca="1">IFERROR(__xludf.DUMMYFUNCTION("""COMPUTED_VALUE"""),65)</f>
        <v>65</v>
      </c>
      <c r="B1356" s="1" t="str">
        <f ca="1">IFERROR(__xludf.DUMMYFUNCTION("""COMPUTED_VALUE"""),"S12_KA04C4868_JETTING")</f>
        <v>S12_KA04C4868_JETTING</v>
      </c>
      <c r="C1356" s="1" t="str">
        <f ca="1">IFERROR(__xludf.DUMMYFUNCTION("""COMPUTED_VALUE"""),"s12_ka04c4868_jetting")</f>
        <v>s12_ka04c4868_jetting</v>
      </c>
      <c r="D1356" s="2">
        <f ca="1">IFERROR(__xludf.DUMMYFUNCTION("""COMPUTED_VALUE"""),41640)</f>
        <v>41640</v>
      </c>
      <c r="E1356" s="3">
        <f ca="1">IFERROR(__xludf.DUMMYFUNCTION("""COMPUTED_VALUE"""),0.52814814814701)</f>
        <v>0.52814814814701005</v>
      </c>
      <c r="F1356" s="1">
        <f ca="1">IFERROR(__xludf.DUMMYFUNCTION("""COMPUTED_VALUE"""),92358)</f>
        <v>92358</v>
      </c>
      <c r="G1356" s="1" t="str">
        <f ca="1">IFERROR(__xludf.DUMMYFUNCTION("""COMPUTED_VALUE"""),"12.9137/77.6264")</f>
        <v>12.9137/77.6264</v>
      </c>
      <c r="H1356" s="1" t="str">
        <f ca="1">IFERROR(__xludf.DUMMYFUNCTION("""COMPUTED_VALUE"""),"Central Silk Board Hosur Road")</f>
        <v>Central Silk Board Hosur Road</v>
      </c>
      <c r="I1356" s="1"/>
      <c r="J1356" s="1" t="str">
        <f ca="1">IFERROR(__xludf.DUMMYFUNCTION("""COMPUTED_VALUE"""),"0d 00h 00m")</f>
        <v>0d 00h 00m</v>
      </c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13.2">
      <c r="A1357" s="1">
        <f ca="1">IFERROR(__xludf.DUMMYFUNCTION("""COMPUTED_VALUE"""),65)</f>
        <v>65</v>
      </c>
      <c r="B1357" s="1" t="str">
        <f ca="1">IFERROR(__xludf.DUMMYFUNCTION("""COMPUTED_VALUE"""),"S12_KA04C4868_JETTING")</f>
        <v>S12_KA04C4868_JETTING</v>
      </c>
      <c r="C1357" s="1" t="str">
        <f ca="1">IFERROR(__xludf.DUMMYFUNCTION("""COMPUTED_VALUE"""),"s12_ka04c4868_jetting")</f>
        <v>s12_ka04c4868_jetting</v>
      </c>
      <c r="D1357" s="2">
        <f ca="1">IFERROR(__xludf.DUMMYFUNCTION("""COMPUTED_VALUE"""),41640)</f>
        <v>41640</v>
      </c>
      <c r="E1357" s="3">
        <f ca="1">IFERROR(__xludf.DUMMYFUNCTION("""COMPUTED_VALUE"""),0.52814814814701)</f>
        <v>0.52814814814701005</v>
      </c>
      <c r="F1357" s="1">
        <f ca="1">IFERROR(__xludf.DUMMYFUNCTION("""COMPUTED_VALUE"""),92358)</f>
        <v>92358</v>
      </c>
      <c r="G1357" s="1" t="str">
        <f ca="1">IFERROR(__xludf.DUMMYFUNCTION("""COMPUTED_VALUE"""),"12.9137/77.6264")</f>
        <v>12.9137/77.6264</v>
      </c>
      <c r="H1357" s="1" t="str">
        <f ca="1">IFERROR(__xludf.DUMMYFUNCTION("""COMPUTED_VALUE"""),"Central Silk Board Hosur Road")</f>
        <v>Central Silk Board Hosur Road</v>
      </c>
      <c r="I1357" s="1"/>
      <c r="J1357" s="1" t="str">
        <f ca="1">IFERROR(__xludf.DUMMYFUNCTION("""COMPUTED_VALUE"""),"0d 00h 00m")</f>
        <v>0d 00h 00m</v>
      </c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13.2">
      <c r="A1358" s="1">
        <f ca="1">IFERROR(__xludf.DUMMYFUNCTION("""COMPUTED_VALUE"""),64)</f>
        <v>64</v>
      </c>
      <c r="B1358" s="1" t="str">
        <f ca="1">IFERROR(__xludf.DUMMYFUNCTION("""COMPUTED_VALUE"""),"S12_KA04C4868_JETTING")</f>
        <v>S12_KA04C4868_JETTING</v>
      </c>
      <c r="C1358" s="1" t="str">
        <f ca="1">IFERROR(__xludf.DUMMYFUNCTION("""COMPUTED_VALUE"""),"s12_ka04c4868_jetting")</f>
        <v>s12_ka04c4868_jetting</v>
      </c>
      <c r="D1358" s="2">
        <f ca="1">IFERROR(__xludf.DUMMYFUNCTION("""COMPUTED_VALUE"""),41640)</f>
        <v>41640</v>
      </c>
      <c r="E1358" s="3">
        <f ca="1">IFERROR(__xludf.DUMMYFUNCTION("""COMPUTED_VALUE"""),0.52814814814701)</f>
        <v>0.52814814814701005</v>
      </c>
      <c r="F1358" s="1">
        <f ca="1">IFERROR(__xludf.DUMMYFUNCTION("""COMPUTED_VALUE"""),92358)</f>
        <v>92358</v>
      </c>
      <c r="G1358" s="1" t="str">
        <f ca="1">IFERROR(__xludf.DUMMYFUNCTION("""COMPUTED_VALUE"""),"12.9137/77.6264")</f>
        <v>12.9137/77.6264</v>
      </c>
      <c r="H1358" s="1" t="str">
        <f ca="1">IFERROR(__xludf.DUMMYFUNCTION("""COMPUTED_VALUE"""),"Central Silk Board Hosur Road")</f>
        <v>Central Silk Board Hosur Road</v>
      </c>
      <c r="I1358" s="1"/>
      <c r="J1358" s="1" t="str">
        <f ca="1">IFERROR(__xludf.DUMMYFUNCTION("""COMPUTED_VALUE"""),"0d 00h 00m")</f>
        <v>0d 00h 00m</v>
      </c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13.2">
      <c r="A1359" s="1">
        <f ca="1">IFERROR(__xludf.DUMMYFUNCTION("""COMPUTED_VALUE"""),64)</f>
        <v>64</v>
      </c>
      <c r="B1359" s="1" t="str">
        <f ca="1">IFERROR(__xludf.DUMMYFUNCTION("""COMPUTED_VALUE"""),"S12_KA04C4868_JETTING")</f>
        <v>S12_KA04C4868_JETTING</v>
      </c>
      <c r="C1359" s="1" t="str">
        <f ca="1">IFERROR(__xludf.DUMMYFUNCTION("""COMPUTED_VALUE"""),"s12_ka04c4868_jetting")</f>
        <v>s12_ka04c4868_jetting</v>
      </c>
      <c r="D1359" s="2">
        <f ca="1">IFERROR(__xludf.DUMMYFUNCTION("""COMPUTED_VALUE"""),41640)</f>
        <v>41640</v>
      </c>
      <c r="E1359" s="3">
        <f ca="1">IFERROR(__xludf.DUMMYFUNCTION("""COMPUTED_VALUE"""),0.52814814814701)</f>
        <v>0.52814814814701005</v>
      </c>
      <c r="F1359" s="1">
        <f ca="1">IFERROR(__xludf.DUMMYFUNCTION("""COMPUTED_VALUE"""),92358)</f>
        <v>92358</v>
      </c>
      <c r="G1359" s="1" t="str">
        <f ca="1">IFERROR(__xludf.DUMMYFUNCTION("""COMPUTED_VALUE"""),"12.9137/77.6264")</f>
        <v>12.9137/77.6264</v>
      </c>
      <c r="H1359" s="1" t="str">
        <f ca="1">IFERROR(__xludf.DUMMYFUNCTION("""COMPUTED_VALUE"""),"Central Silk Board Hosur Road")</f>
        <v>Central Silk Board Hosur Road</v>
      </c>
      <c r="I1359" s="1"/>
      <c r="J1359" s="1" t="str">
        <f ca="1">IFERROR(__xludf.DUMMYFUNCTION("""COMPUTED_VALUE"""),"0d 00h 01m")</f>
        <v>0d 00h 01m</v>
      </c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13.2">
      <c r="A1360" s="1">
        <f ca="1">IFERROR(__xludf.DUMMYFUNCTION("""COMPUTED_VALUE"""),64)</f>
        <v>64</v>
      </c>
      <c r="B1360" s="1" t="str">
        <f ca="1">IFERROR(__xludf.DUMMYFUNCTION("""COMPUTED_VALUE"""),"S12_KA04C4868_JETTING")</f>
        <v>S12_KA04C4868_JETTING</v>
      </c>
      <c r="C1360" s="1" t="str">
        <f ca="1">IFERROR(__xludf.DUMMYFUNCTION("""COMPUTED_VALUE"""),"s12_ka04c4868_jetting")</f>
        <v>s12_ka04c4868_jetting</v>
      </c>
      <c r="D1360" s="2">
        <f ca="1">IFERROR(__xludf.DUMMYFUNCTION("""COMPUTED_VALUE"""),41640)</f>
        <v>41640</v>
      </c>
      <c r="E1360" s="3">
        <f ca="1">IFERROR(__xludf.DUMMYFUNCTION("""COMPUTED_VALUE"""),0.52814814814701)</f>
        <v>0.52814814814701005</v>
      </c>
      <c r="F1360" s="1">
        <f ca="1">IFERROR(__xludf.DUMMYFUNCTION("""COMPUTED_VALUE"""),92358)</f>
        <v>92358</v>
      </c>
      <c r="G1360" s="1" t="str">
        <f ca="1">IFERROR(__xludf.DUMMYFUNCTION("""COMPUTED_VALUE"""),"12.9137/77.6264")</f>
        <v>12.9137/77.6264</v>
      </c>
      <c r="H1360" s="1" t="str">
        <f ca="1">IFERROR(__xludf.DUMMYFUNCTION("""COMPUTED_VALUE"""),"Central Silk Board Hosur Road")</f>
        <v>Central Silk Board Hosur Road</v>
      </c>
      <c r="I1360" s="1"/>
      <c r="J1360" s="1" t="str">
        <f ca="1">IFERROR(__xludf.DUMMYFUNCTION("""COMPUTED_VALUE"""),"0d 00h 00m")</f>
        <v>0d 00h 00m</v>
      </c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13.2">
      <c r="A1361" s="1">
        <f ca="1">IFERROR(__xludf.DUMMYFUNCTION("""COMPUTED_VALUE"""),64)</f>
        <v>64</v>
      </c>
      <c r="B1361" s="1" t="str">
        <f ca="1">IFERROR(__xludf.DUMMYFUNCTION("""COMPUTED_VALUE"""),"S12_KA04C4868_JETTING")</f>
        <v>S12_KA04C4868_JETTING</v>
      </c>
      <c r="C1361" s="1" t="str">
        <f ca="1">IFERROR(__xludf.DUMMYFUNCTION("""COMPUTED_VALUE"""),"s12_ka04c4868_jetting")</f>
        <v>s12_ka04c4868_jetting</v>
      </c>
      <c r="D1361" s="2">
        <f ca="1">IFERROR(__xludf.DUMMYFUNCTION("""COMPUTED_VALUE"""),41640)</f>
        <v>41640</v>
      </c>
      <c r="E1361" s="3">
        <f ca="1">IFERROR(__xludf.DUMMYFUNCTION("""COMPUTED_VALUE"""),0.52814814814701)</f>
        <v>0.52814814814701005</v>
      </c>
      <c r="F1361" s="1">
        <f ca="1">IFERROR(__xludf.DUMMYFUNCTION("""COMPUTED_VALUE"""),92358)</f>
        <v>92358</v>
      </c>
      <c r="G1361" s="1" t="str">
        <f ca="1">IFERROR(__xludf.DUMMYFUNCTION("""COMPUTED_VALUE"""),"12.9137/77.6264")</f>
        <v>12.9137/77.6264</v>
      </c>
      <c r="H1361" s="1" t="str">
        <f ca="1">IFERROR(__xludf.DUMMYFUNCTION("""COMPUTED_VALUE"""),"Central Silk Board Hosur Road")</f>
        <v>Central Silk Board Hosur Road</v>
      </c>
      <c r="I1361" s="1"/>
      <c r="J1361" s="1" t="str">
        <f ca="1">IFERROR(__xludf.DUMMYFUNCTION("""COMPUTED_VALUE"""),"0d 00h 00m")</f>
        <v>0d 00h 00m</v>
      </c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13.2">
      <c r="A1362" s="1">
        <f ca="1">IFERROR(__xludf.DUMMYFUNCTION("""COMPUTED_VALUE"""),64)</f>
        <v>64</v>
      </c>
      <c r="B1362" s="1" t="str">
        <f ca="1">IFERROR(__xludf.DUMMYFUNCTION("""COMPUTED_VALUE"""),"S12_KA04C4868_JETTING")</f>
        <v>S12_KA04C4868_JETTING</v>
      </c>
      <c r="C1362" s="1" t="str">
        <f ca="1">IFERROR(__xludf.DUMMYFUNCTION("""COMPUTED_VALUE"""),"s12_ka04c4868_jetting")</f>
        <v>s12_ka04c4868_jetting</v>
      </c>
      <c r="D1362" s="2">
        <f ca="1">IFERROR(__xludf.DUMMYFUNCTION("""COMPUTED_VALUE"""),41640)</f>
        <v>41640</v>
      </c>
      <c r="E1362" s="3">
        <f ca="1">IFERROR(__xludf.DUMMYFUNCTION("""COMPUTED_VALUE"""),0.52814814814701)</f>
        <v>0.52814814814701005</v>
      </c>
      <c r="F1362" s="1">
        <f ca="1">IFERROR(__xludf.DUMMYFUNCTION("""COMPUTED_VALUE"""),92358)</f>
        <v>92358</v>
      </c>
      <c r="G1362" s="1" t="str">
        <f ca="1">IFERROR(__xludf.DUMMYFUNCTION("""COMPUTED_VALUE"""),"12.9137/77.6264")</f>
        <v>12.9137/77.6264</v>
      </c>
      <c r="H1362" s="1" t="str">
        <f ca="1">IFERROR(__xludf.DUMMYFUNCTION("""COMPUTED_VALUE"""),"Central Silk Board Hosur Road")</f>
        <v>Central Silk Board Hosur Road</v>
      </c>
      <c r="I1362" s="1"/>
      <c r="J1362" s="1" t="str">
        <f ca="1">IFERROR(__xludf.DUMMYFUNCTION("""COMPUTED_VALUE"""),"0d 00h 00m")</f>
        <v>0d 00h 00m</v>
      </c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13.2">
      <c r="A1363" s="1">
        <f ca="1">IFERROR(__xludf.DUMMYFUNCTION("""COMPUTED_VALUE"""),95)</f>
        <v>95</v>
      </c>
      <c r="B1363" s="1" t="str">
        <f ca="1">IFERROR(__xludf.DUMMYFUNCTION("""COMPUTED_VALUE"""),"S12_KA04C5145_JETTING")</f>
        <v>S12_KA04C5145_JETTING</v>
      </c>
      <c r="C1363" s="1" t="str">
        <f ca="1">IFERROR(__xludf.DUMMYFUNCTION("""COMPUTED_VALUE"""),"s12_ka04c5145_jetting")</f>
        <v>s12_ka04c5145_jetting</v>
      </c>
      <c r="D1363" s="2">
        <f ca="1">IFERROR(__xludf.DUMMYFUNCTION("""COMPUTED_VALUE"""),41640)</f>
        <v>41640</v>
      </c>
      <c r="E1363" s="3">
        <f ca="1">IFERROR(__xludf.DUMMYFUNCTION("""COMPUTED_VALUE"""),0.715763888889341)</f>
        <v>0.71576388888934095</v>
      </c>
      <c r="F1363" s="1">
        <f ca="1">IFERROR(__xludf.DUMMYFUNCTION("""COMPUTED_VALUE"""),27663)</f>
        <v>27663</v>
      </c>
      <c r="G1363" s="1" t="str">
        <f ca="1">IFERROR(__xludf.DUMMYFUNCTION("""COMPUTED_VALUE"""),"12.8991/77.6158")</f>
        <v>12.8991/77.6158</v>
      </c>
      <c r="H1363" s="1" t="str">
        <f ca="1">IFERROR(__xludf.DUMMYFUNCTION("""COMPUTED_VALUE"""),"Vijaya Bank Colony")</f>
        <v>Vijaya Bank Colony</v>
      </c>
      <c r="I1363" s="1"/>
      <c r="J1363" s="1" t="str">
        <f ca="1">IFERROR(__xludf.DUMMYFUNCTION("""COMPUTED_VALUE"""),"1d 01h 22m")</f>
        <v>1d 01h 22m</v>
      </c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13.2">
      <c r="A1364" s="1">
        <f ca="1">IFERROR(__xludf.DUMMYFUNCTION("""COMPUTED_VALUE"""),95)</f>
        <v>95</v>
      </c>
      <c r="B1364" s="1" t="str">
        <f ca="1">IFERROR(__xludf.DUMMYFUNCTION("""COMPUTED_VALUE"""),"S12_KA04C5145_JETTING")</f>
        <v>S12_KA04C5145_JETTING</v>
      </c>
      <c r="C1364" s="1" t="str">
        <f ca="1">IFERROR(__xludf.DUMMYFUNCTION("""COMPUTED_VALUE"""),"s12_ka04c5145_jetting")</f>
        <v>s12_ka04c5145_jetting</v>
      </c>
      <c r="D1364" s="2">
        <f ca="1">IFERROR(__xludf.DUMMYFUNCTION("""COMPUTED_VALUE"""),41640)</f>
        <v>41640</v>
      </c>
      <c r="E1364" s="3">
        <f ca="1">IFERROR(__xludf.DUMMYFUNCTION("""COMPUTED_VALUE"""),0.715763888889341)</f>
        <v>0.71576388888934095</v>
      </c>
      <c r="F1364" s="1">
        <f ca="1">IFERROR(__xludf.DUMMYFUNCTION("""COMPUTED_VALUE"""),27663)</f>
        <v>27663</v>
      </c>
      <c r="G1364" s="1" t="str">
        <f ca="1">IFERROR(__xludf.DUMMYFUNCTION("""COMPUTED_VALUE"""),"12.8991/77.6158")</f>
        <v>12.8991/77.6158</v>
      </c>
      <c r="H1364" s="1" t="str">
        <f ca="1">IFERROR(__xludf.DUMMYFUNCTION("""COMPUTED_VALUE"""),"Vijaya Bank Colony")</f>
        <v>Vijaya Bank Colony</v>
      </c>
      <c r="I1364" s="1"/>
      <c r="J1364" s="1" t="str">
        <f ca="1">IFERROR(__xludf.DUMMYFUNCTION("""COMPUTED_VALUE"""),"1d 01h 23m")</f>
        <v>1d 01h 23m</v>
      </c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13.2">
      <c r="A1365" s="1">
        <f ca="1">IFERROR(__xludf.DUMMYFUNCTION("""COMPUTED_VALUE"""),92)</f>
        <v>92</v>
      </c>
      <c r="B1365" s="1" t="str">
        <f ca="1">IFERROR(__xludf.DUMMYFUNCTION("""COMPUTED_VALUE"""),"S12_KA04C5145_JETTING")</f>
        <v>S12_KA04C5145_JETTING</v>
      </c>
      <c r="C1365" s="1" t="str">
        <f ca="1">IFERROR(__xludf.DUMMYFUNCTION("""COMPUTED_VALUE"""),"s12_ka04c5145_jetting")</f>
        <v>s12_ka04c5145_jetting</v>
      </c>
      <c r="D1365" s="2">
        <f ca="1">IFERROR(__xludf.DUMMYFUNCTION("""COMPUTED_VALUE"""),41640)</f>
        <v>41640</v>
      </c>
      <c r="E1365" s="3">
        <f ca="1">IFERROR(__xludf.DUMMYFUNCTION("""COMPUTED_VALUE"""),0.715763888889341)</f>
        <v>0.71576388888934095</v>
      </c>
      <c r="F1365" s="1">
        <f ca="1">IFERROR(__xludf.DUMMYFUNCTION("""COMPUTED_VALUE"""),27663)</f>
        <v>27663</v>
      </c>
      <c r="G1365" s="1" t="str">
        <f ca="1">IFERROR(__xludf.DUMMYFUNCTION("""COMPUTED_VALUE"""),"12.8991/77.6158")</f>
        <v>12.8991/77.6158</v>
      </c>
      <c r="H1365" s="1" t="str">
        <f ca="1">IFERROR(__xludf.DUMMYFUNCTION("""COMPUTED_VALUE"""),"Vijaya Bank Colony")</f>
        <v>Vijaya Bank Colony</v>
      </c>
      <c r="I1365" s="1"/>
      <c r="J1365" s="1" t="str">
        <f ca="1">IFERROR(__xludf.DUMMYFUNCTION("""COMPUTED_VALUE"""),"1d 01h 26m")</f>
        <v>1d 01h 26m</v>
      </c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13.2">
      <c r="A1366" s="1">
        <f ca="1">IFERROR(__xludf.DUMMYFUNCTION("""COMPUTED_VALUE"""),92)</f>
        <v>92</v>
      </c>
      <c r="B1366" s="1" t="str">
        <f ca="1">IFERROR(__xludf.DUMMYFUNCTION("""COMPUTED_VALUE"""),"S12_KA04C5145_JETTING")</f>
        <v>S12_KA04C5145_JETTING</v>
      </c>
      <c r="C1366" s="1" t="str">
        <f ca="1">IFERROR(__xludf.DUMMYFUNCTION("""COMPUTED_VALUE"""),"s12_ka04c5145_jetting")</f>
        <v>s12_ka04c5145_jetting</v>
      </c>
      <c r="D1366" s="2">
        <f ca="1">IFERROR(__xludf.DUMMYFUNCTION("""COMPUTED_VALUE"""),41640)</f>
        <v>41640</v>
      </c>
      <c r="E1366" s="3">
        <f ca="1">IFERROR(__xludf.DUMMYFUNCTION("""COMPUTED_VALUE"""),0.715763888889341)</f>
        <v>0.71576388888934095</v>
      </c>
      <c r="F1366" s="1">
        <f ca="1">IFERROR(__xludf.DUMMYFUNCTION("""COMPUTED_VALUE"""),27663)</f>
        <v>27663</v>
      </c>
      <c r="G1366" s="1" t="str">
        <f ca="1">IFERROR(__xludf.DUMMYFUNCTION("""COMPUTED_VALUE"""),"12.8991/77.6158")</f>
        <v>12.8991/77.6158</v>
      </c>
      <c r="H1366" s="1" t="str">
        <f ca="1">IFERROR(__xludf.DUMMYFUNCTION("""COMPUTED_VALUE"""),"Vijaya Bank Colony")</f>
        <v>Vijaya Bank Colony</v>
      </c>
      <c r="I1366" s="1"/>
      <c r="J1366" s="1" t="str">
        <f ca="1">IFERROR(__xludf.DUMMYFUNCTION("""COMPUTED_VALUE"""),"1d 01h 27m")</f>
        <v>1d 01h 27m</v>
      </c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13.2">
      <c r="A1367" s="1">
        <f ca="1">IFERROR(__xludf.DUMMYFUNCTION("""COMPUTED_VALUE"""),92)</f>
        <v>92</v>
      </c>
      <c r="B1367" s="1" t="str">
        <f ca="1">IFERROR(__xludf.DUMMYFUNCTION("""COMPUTED_VALUE"""),"S12_KA04C5145_JETTING")</f>
        <v>S12_KA04C5145_JETTING</v>
      </c>
      <c r="C1367" s="1" t="str">
        <f ca="1">IFERROR(__xludf.DUMMYFUNCTION("""COMPUTED_VALUE"""),"s12_ka04c5145_jetting")</f>
        <v>s12_ka04c5145_jetting</v>
      </c>
      <c r="D1367" s="2">
        <f ca="1">IFERROR(__xludf.DUMMYFUNCTION("""COMPUTED_VALUE"""),41640)</f>
        <v>41640</v>
      </c>
      <c r="E1367" s="3">
        <f ca="1">IFERROR(__xludf.DUMMYFUNCTION("""COMPUTED_VALUE"""),0.715763888889341)</f>
        <v>0.71576388888934095</v>
      </c>
      <c r="F1367" s="1">
        <f ca="1">IFERROR(__xludf.DUMMYFUNCTION("""COMPUTED_VALUE"""),27663)</f>
        <v>27663</v>
      </c>
      <c r="G1367" s="1" t="str">
        <f ca="1">IFERROR(__xludf.DUMMYFUNCTION("""COMPUTED_VALUE"""),"12.8991/77.6158")</f>
        <v>12.8991/77.6158</v>
      </c>
      <c r="H1367" s="1" t="str">
        <f ca="1">IFERROR(__xludf.DUMMYFUNCTION("""COMPUTED_VALUE"""),"Vijaya Bank Colony")</f>
        <v>Vijaya Bank Colony</v>
      </c>
      <c r="I1367" s="1"/>
      <c r="J1367" s="1" t="str">
        <f ca="1">IFERROR(__xludf.DUMMYFUNCTION("""COMPUTED_VALUE"""),"1d 01h 28m")</f>
        <v>1d 01h 28m</v>
      </c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13.2">
      <c r="A1368" s="1">
        <f ca="1">IFERROR(__xludf.DUMMYFUNCTION("""COMPUTED_VALUE"""),92)</f>
        <v>92</v>
      </c>
      <c r="B1368" s="1" t="str">
        <f ca="1">IFERROR(__xludf.DUMMYFUNCTION("""COMPUTED_VALUE"""),"S12_KA04C5145_JETTING")</f>
        <v>S12_KA04C5145_JETTING</v>
      </c>
      <c r="C1368" s="1" t="str">
        <f ca="1">IFERROR(__xludf.DUMMYFUNCTION("""COMPUTED_VALUE"""),"s12_ka04c5145_jetting")</f>
        <v>s12_ka04c5145_jetting</v>
      </c>
      <c r="D1368" s="2">
        <f ca="1">IFERROR(__xludf.DUMMYFUNCTION("""COMPUTED_VALUE"""),41640)</f>
        <v>41640</v>
      </c>
      <c r="E1368" s="3">
        <f ca="1">IFERROR(__xludf.DUMMYFUNCTION("""COMPUTED_VALUE"""),0.715763888889341)</f>
        <v>0.71576388888934095</v>
      </c>
      <c r="F1368" s="1">
        <f ca="1">IFERROR(__xludf.DUMMYFUNCTION("""COMPUTED_VALUE"""),27663)</f>
        <v>27663</v>
      </c>
      <c r="G1368" s="1" t="str">
        <f ca="1">IFERROR(__xludf.DUMMYFUNCTION("""COMPUTED_VALUE"""),"12.8991/77.6158")</f>
        <v>12.8991/77.6158</v>
      </c>
      <c r="H1368" s="1" t="str">
        <f ca="1">IFERROR(__xludf.DUMMYFUNCTION("""COMPUTED_VALUE"""),"Vijaya Bank Colony")</f>
        <v>Vijaya Bank Colony</v>
      </c>
      <c r="I1368" s="1"/>
      <c r="J1368" s="1" t="str">
        <f ca="1">IFERROR(__xludf.DUMMYFUNCTION("""COMPUTED_VALUE"""),"1d 01h 30m")</f>
        <v>1d 01h 30m</v>
      </c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13.2">
      <c r="A1369" s="1">
        <f ca="1">IFERROR(__xludf.DUMMYFUNCTION("""COMPUTED_VALUE"""),92)</f>
        <v>92</v>
      </c>
      <c r="B1369" s="1" t="str">
        <f ca="1">IFERROR(__xludf.DUMMYFUNCTION("""COMPUTED_VALUE"""),"S12_KA04C5145_JETTING")</f>
        <v>S12_KA04C5145_JETTING</v>
      </c>
      <c r="C1369" s="1" t="str">
        <f ca="1">IFERROR(__xludf.DUMMYFUNCTION("""COMPUTED_VALUE"""),"s12_ka04c5145_jetting")</f>
        <v>s12_ka04c5145_jetting</v>
      </c>
      <c r="D1369" s="2">
        <f ca="1">IFERROR(__xludf.DUMMYFUNCTION("""COMPUTED_VALUE"""),41640)</f>
        <v>41640</v>
      </c>
      <c r="E1369" s="3">
        <f ca="1">IFERROR(__xludf.DUMMYFUNCTION("""COMPUTED_VALUE"""),0.715763888889341)</f>
        <v>0.71576388888934095</v>
      </c>
      <c r="F1369" s="1">
        <f ca="1">IFERROR(__xludf.DUMMYFUNCTION("""COMPUTED_VALUE"""),27663)</f>
        <v>27663</v>
      </c>
      <c r="G1369" s="1" t="str">
        <f ca="1">IFERROR(__xludf.DUMMYFUNCTION("""COMPUTED_VALUE"""),"12.8991/77.6158")</f>
        <v>12.8991/77.6158</v>
      </c>
      <c r="H1369" s="1" t="str">
        <f ca="1">IFERROR(__xludf.DUMMYFUNCTION("""COMPUTED_VALUE"""),"Vijaya Bank Colony")</f>
        <v>Vijaya Bank Colony</v>
      </c>
      <c r="I1369" s="1"/>
      <c r="J1369" s="1" t="str">
        <f ca="1">IFERROR(__xludf.DUMMYFUNCTION("""COMPUTED_VALUE"""),"1d 01h 31m")</f>
        <v>1d 01h 31m</v>
      </c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13.2">
      <c r="A1370" s="1">
        <f ca="1">IFERROR(__xludf.DUMMYFUNCTION("""COMPUTED_VALUE"""),116)</f>
        <v>116</v>
      </c>
      <c r="B1370" s="1" t="str">
        <f ca="1">IFERROR(__xludf.DUMMYFUNCTION("""COMPUTED_VALUE"""),"S12_KA04C5152_JETTING")</f>
        <v>S12_KA04C5152_JETTING</v>
      </c>
      <c r="C1370" s="1" t="str">
        <f ca="1">IFERROR(__xludf.DUMMYFUNCTION("""COMPUTED_VALUE"""),"s12_ka04c5152_jetting")</f>
        <v>s12_ka04c5152_jetting</v>
      </c>
      <c r="D1370" s="2">
        <f ca="1">IFERROR(__xludf.DUMMYFUNCTION("""COMPUTED_VALUE"""),43998)</f>
        <v>43998</v>
      </c>
      <c r="E1370" s="3">
        <f ca="1">IFERROR(__xludf.DUMMYFUNCTION("""COMPUTED_VALUE"""),0.544837962963356)</f>
        <v>0.54483796296335596</v>
      </c>
      <c r="F1370" s="1">
        <f ca="1">IFERROR(__xludf.DUMMYFUNCTION("""COMPUTED_VALUE"""),18568)</f>
        <v>18568</v>
      </c>
      <c r="G1370" s="1" t="str">
        <f ca="1">IFERROR(__xludf.DUMMYFUNCTION("""COMPUTED_VALUE"""),"12.9771/77.4381")</f>
        <v>12.9771/77.4381</v>
      </c>
      <c r="H1370" s="1" t="str">
        <f ca="1">IFERROR(__xludf.DUMMYFUNCTION("""COMPUTED_VALUE"""),"Bayandhalli")</f>
        <v>Bayandhalli</v>
      </c>
      <c r="I1370" s="1"/>
      <c r="J1370" s="1" t="str">
        <f ca="1">IFERROR(__xludf.DUMMYFUNCTION("""COMPUTED_VALUE"""),"1372d 22h 19m")</f>
        <v>1372d 22h 19m</v>
      </c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13.2">
      <c r="A1371" s="1">
        <f ca="1">IFERROR(__xludf.DUMMYFUNCTION("""COMPUTED_VALUE"""),116)</f>
        <v>116</v>
      </c>
      <c r="B1371" s="1" t="str">
        <f ca="1">IFERROR(__xludf.DUMMYFUNCTION("""COMPUTED_VALUE"""),"S12_KA04C5152_JETTING")</f>
        <v>S12_KA04C5152_JETTING</v>
      </c>
      <c r="C1371" s="1" t="str">
        <f ca="1">IFERROR(__xludf.DUMMYFUNCTION("""COMPUTED_VALUE"""),"s12_ka04c5152_jetting")</f>
        <v>s12_ka04c5152_jetting</v>
      </c>
      <c r="D1371" s="2">
        <f ca="1">IFERROR(__xludf.DUMMYFUNCTION("""COMPUTED_VALUE"""),43998)</f>
        <v>43998</v>
      </c>
      <c r="E1371" s="3">
        <f ca="1">IFERROR(__xludf.DUMMYFUNCTION("""COMPUTED_VALUE"""),0.544837962963356)</f>
        <v>0.54483796296335596</v>
      </c>
      <c r="F1371" s="1">
        <f ca="1">IFERROR(__xludf.DUMMYFUNCTION("""COMPUTED_VALUE"""),18568)</f>
        <v>18568</v>
      </c>
      <c r="G1371" s="1" t="str">
        <f ca="1">IFERROR(__xludf.DUMMYFUNCTION("""COMPUTED_VALUE"""),"12.9771/77.4381")</f>
        <v>12.9771/77.4381</v>
      </c>
      <c r="H1371" s="1" t="str">
        <f ca="1">IFERROR(__xludf.DUMMYFUNCTION("""COMPUTED_VALUE"""),"Bayandhalli")</f>
        <v>Bayandhalli</v>
      </c>
      <c r="I1371" s="1"/>
      <c r="J1371" s="1" t="str">
        <f ca="1">IFERROR(__xludf.DUMMYFUNCTION("""COMPUTED_VALUE"""),"1372d 22h 20m")</f>
        <v>1372d 22h 20m</v>
      </c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13.2">
      <c r="A1372" s="1">
        <f ca="1">IFERROR(__xludf.DUMMYFUNCTION("""COMPUTED_VALUE"""),113)</f>
        <v>113</v>
      </c>
      <c r="B1372" s="1" t="str">
        <f ca="1">IFERROR(__xludf.DUMMYFUNCTION("""COMPUTED_VALUE"""),"S12_KA04C5152_JETTING")</f>
        <v>S12_KA04C5152_JETTING</v>
      </c>
      <c r="C1372" s="1" t="str">
        <f ca="1">IFERROR(__xludf.DUMMYFUNCTION("""COMPUTED_VALUE"""),"s12_ka04c5152_jetting")</f>
        <v>s12_ka04c5152_jetting</v>
      </c>
      <c r="D1372" s="2">
        <f ca="1">IFERROR(__xludf.DUMMYFUNCTION("""COMPUTED_VALUE"""),43998)</f>
        <v>43998</v>
      </c>
      <c r="E1372" s="3">
        <f ca="1">IFERROR(__xludf.DUMMYFUNCTION("""COMPUTED_VALUE"""),0.544837962963356)</f>
        <v>0.54483796296335596</v>
      </c>
      <c r="F1372" s="1">
        <f ca="1">IFERROR(__xludf.DUMMYFUNCTION("""COMPUTED_VALUE"""),18568)</f>
        <v>18568</v>
      </c>
      <c r="G1372" s="1" t="str">
        <f ca="1">IFERROR(__xludf.DUMMYFUNCTION("""COMPUTED_VALUE"""),"12.9771/77.4381")</f>
        <v>12.9771/77.4381</v>
      </c>
      <c r="H1372" s="1" t="str">
        <f ca="1">IFERROR(__xludf.DUMMYFUNCTION("""COMPUTED_VALUE"""),"Bayandhalli")</f>
        <v>Bayandhalli</v>
      </c>
      <c r="I1372" s="1"/>
      <c r="J1372" s="1" t="str">
        <f ca="1">IFERROR(__xludf.DUMMYFUNCTION("""COMPUTED_VALUE"""),"1372d 22h 23m")</f>
        <v>1372d 22h 23m</v>
      </c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13.2">
      <c r="A1373" s="1">
        <f ca="1">IFERROR(__xludf.DUMMYFUNCTION("""COMPUTED_VALUE"""),113)</f>
        <v>113</v>
      </c>
      <c r="B1373" s="1" t="str">
        <f ca="1">IFERROR(__xludf.DUMMYFUNCTION("""COMPUTED_VALUE"""),"S12_KA04C5152_JETTING")</f>
        <v>S12_KA04C5152_JETTING</v>
      </c>
      <c r="C1373" s="1" t="str">
        <f ca="1">IFERROR(__xludf.DUMMYFUNCTION("""COMPUTED_VALUE"""),"s12_ka04c5152_jetting")</f>
        <v>s12_ka04c5152_jetting</v>
      </c>
      <c r="D1373" s="2">
        <f ca="1">IFERROR(__xludf.DUMMYFUNCTION("""COMPUTED_VALUE"""),43998)</f>
        <v>43998</v>
      </c>
      <c r="E1373" s="3">
        <f ca="1">IFERROR(__xludf.DUMMYFUNCTION("""COMPUTED_VALUE"""),0.544837962963356)</f>
        <v>0.54483796296335596</v>
      </c>
      <c r="F1373" s="1">
        <f ca="1">IFERROR(__xludf.DUMMYFUNCTION("""COMPUTED_VALUE"""),18568)</f>
        <v>18568</v>
      </c>
      <c r="G1373" s="1" t="str">
        <f ca="1">IFERROR(__xludf.DUMMYFUNCTION("""COMPUTED_VALUE"""),"12.9771/77.4381")</f>
        <v>12.9771/77.4381</v>
      </c>
      <c r="H1373" s="1" t="str">
        <f ca="1">IFERROR(__xludf.DUMMYFUNCTION("""COMPUTED_VALUE"""),"Bayandhalli")</f>
        <v>Bayandhalli</v>
      </c>
      <c r="I1373" s="1"/>
      <c r="J1373" s="1" t="str">
        <f ca="1">IFERROR(__xludf.DUMMYFUNCTION("""COMPUTED_VALUE"""),"1372d 22h 24m")</f>
        <v>1372d 22h 24m</v>
      </c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13.2">
      <c r="A1374" s="1">
        <f ca="1">IFERROR(__xludf.DUMMYFUNCTION("""COMPUTED_VALUE"""),113)</f>
        <v>113</v>
      </c>
      <c r="B1374" s="1" t="str">
        <f ca="1">IFERROR(__xludf.DUMMYFUNCTION("""COMPUTED_VALUE"""),"S12_KA04C5152_JETTING")</f>
        <v>S12_KA04C5152_JETTING</v>
      </c>
      <c r="C1374" s="1" t="str">
        <f ca="1">IFERROR(__xludf.DUMMYFUNCTION("""COMPUTED_VALUE"""),"s12_ka04c5152_jetting")</f>
        <v>s12_ka04c5152_jetting</v>
      </c>
      <c r="D1374" s="2">
        <f ca="1">IFERROR(__xludf.DUMMYFUNCTION("""COMPUTED_VALUE"""),43998)</f>
        <v>43998</v>
      </c>
      <c r="E1374" s="3">
        <f ca="1">IFERROR(__xludf.DUMMYFUNCTION("""COMPUTED_VALUE"""),0.544837962963356)</f>
        <v>0.54483796296335596</v>
      </c>
      <c r="F1374" s="1">
        <f ca="1">IFERROR(__xludf.DUMMYFUNCTION("""COMPUTED_VALUE"""),18568)</f>
        <v>18568</v>
      </c>
      <c r="G1374" s="1" t="str">
        <f ca="1">IFERROR(__xludf.DUMMYFUNCTION("""COMPUTED_VALUE"""),"12.9771/77.4381")</f>
        <v>12.9771/77.4381</v>
      </c>
      <c r="H1374" s="1" t="str">
        <f ca="1">IFERROR(__xludf.DUMMYFUNCTION("""COMPUTED_VALUE"""),"Bayandhalli")</f>
        <v>Bayandhalli</v>
      </c>
      <c r="I1374" s="1"/>
      <c r="J1374" s="1" t="str">
        <f ca="1">IFERROR(__xludf.DUMMYFUNCTION("""COMPUTED_VALUE"""),"1372d 22h 26m")</f>
        <v>1372d 22h 26m</v>
      </c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13.2">
      <c r="A1375" s="1">
        <f ca="1">IFERROR(__xludf.DUMMYFUNCTION("""COMPUTED_VALUE"""),113)</f>
        <v>113</v>
      </c>
      <c r="B1375" s="1" t="str">
        <f ca="1">IFERROR(__xludf.DUMMYFUNCTION("""COMPUTED_VALUE"""),"S12_KA04C5152_JETTING")</f>
        <v>S12_KA04C5152_JETTING</v>
      </c>
      <c r="C1375" s="1" t="str">
        <f ca="1">IFERROR(__xludf.DUMMYFUNCTION("""COMPUTED_VALUE"""),"s12_ka04c5152_jetting")</f>
        <v>s12_ka04c5152_jetting</v>
      </c>
      <c r="D1375" s="2">
        <f ca="1">IFERROR(__xludf.DUMMYFUNCTION("""COMPUTED_VALUE"""),43998)</f>
        <v>43998</v>
      </c>
      <c r="E1375" s="3">
        <f ca="1">IFERROR(__xludf.DUMMYFUNCTION("""COMPUTED_VALUE"""),0.544837962963356)</f>
        <v>0.54483796296335596</v>
      </c>
      <c r="F1375" s="1">
        <f ca="1">IFERROR(__xludf.DUMMYFUNCTION("""COMPUTED_VALUE"""),18568)</f>
        <v>18568</v>
      </c>
      <c r="G1375" s="1" t="str">
        <f ca="1">IFERROR(__xludf.DUMMYFUNCTION("""COMPUTED_VALUE"""),"12.9771/77.4381")</f>
        <v>12.9771/77.4381</v>
      </c>
      <c r="H1375" s="1" t="str">
        <f ca="1">IFERROR(__xludf.DUMMYFUNCTION("""COMPUTED_VALUE"""),"Bayandhalli")</f>
        <v>Bayandhalli</v>
      </c>
      <c r="I1375" s="1"/>
      <c r="J1375" s="1" t="str">
        <f ca="1">IFERROR(__xludf.DUMMYFUNCTION("""COMPUTED_VALUE"""),"1372d 22h 27m")</f>
        <v>1372d 22h 27m</v>
      </c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13.2">
      <c r="A1376" s="1">
        <f ca="1">IFERROR(__xludf.DUMMYFUNCTION("""COMPUTED_VALUE"""),113)</f>
        <v>113</v>
      </c>
      <c r="B1376" s="1" t="str">
        <f ca="1">IFERROR(__xludf.DUMMYFUNCTION("""COMPUTED_VALUE"""),"S12_KA04C5152_JETTING")</f>
        <v>S12_KA04C5152_JETTING</v>
      </c>
      <c r="C1376" s="1" t="str">
        <f ca="1">IFERROR(__xludf.DUMMYFUNCTION("""COMPUTED_VALUE"""),"s12_ka04c5152_jetting")</f>
        <v>s12_ka04c5152_jetting</v>
      </c>
      <c r="D1376" s="2">
        <f ca="1">IFERROR(__xludf.DUMMYFUNCTION("""COMPUTED_VALUE"""),43998)</f>
        <v>43998</v>
      </c>
      <c r="E1376" s="3">
        <f ca="1">IFERROR(__xludf.DUMMYFUNCTION("""COMPUTED_VALUE"""),0.544837962963356)</f>
        <v>0.54483796296335596</v>
      </c>
      <c r="F1376" s="1">
        <f ca="1">IFERROR(__xludf.DUMMYFUNCTION("""COMPUTED_VALUE"""),18568)</f>
        <v>18568</v>
      </c>
      <c r="G1376" s="1" t="str">
        <f ca="1">IFERROR(__xludf.DUMMYFUNCTION("""COMPUTED_VALUE"""),"12.9771/77.4381")</f>
        <v>12.9771/77.4381</v>
      </c>
      <c r="H1376" s="1" t="str">
        <f ca="1">IFERROR(__xludf.DUMMYFUNCTION("""COMPUTED_VALUE"""),"Bayandhalli")</f>
        <v>Bayandhalli</v>
      </c>
      <c r="I1376" s="1"/>
      <c r="J1376" s="1" t="str">
        <f ca="1">IFERROR(__xludf.DUMMYFUNCTION("""COMPUTED_VALUE"""),"1372d 22h 28m")</f>
        <v>1372d 22h 28m</v>
      </c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13.2">
      <c r="A1377" s="1">
        <f ca="1">IFERROR(__xludf.DUMMYFUNCTION("""COMPUTED_VALUE"""),60)</f>
        <v>60</v>
      </c>
      <c r="B1377" s="1" t="str">
        <f ca="1">IFERROR(__xludf.DUMMYFUNCTION("""COMPUTED_VALUE"""),"S12_KA04D4603_JETTING")</f>
        <v>S12_KA04D4603_JETTING</v>
      </c>
      <c r="C1377" s="1" t="str">
        <f ca="1">IFERROR(__xludf.DUMMYFUNCTION("""COMPUTED_VALUE"""),"s12_ka04d4603_jetting")</f>
        <v>s12_ka04d4603_jetting</v>
      </c>
      <c r="D1377" s="2">
        <f ca="1">IFERROR(__xludf.DUMMYFUNCTION("""COMPUTED_VALUE"""),41640)</f>
        <v>41640</v>
      </c>
      <c r="E1377" s="3">
        <f ca="1">IFERROR(__xludf.DUMMYFUNCTION("""COMPUTED_VALUE"""),0.455092592594155)</f>
        <v>0.45509259259415502</v>
      </c>
      <c r="F1377" s="1">
        <f ca="1">IFERROR(__xludf.DUMMYFUNCTION("""COMPUTED_VALUE"""),89403)</f>
        <v>89403</v>
      </c>
      <c r="G1377" s="1" t="str">
        <f ca="1">IFERROR(__xludf.DUMMYFUNCTION("""COMPUTED_VALUE"""),"12.9003/77.6226")</f>
        <v>12.9003/77.6226</v>
      </c>
      <c r="H1377" s="1" t="str">
        <f ca="1">IFERROR(__xludf.DUMMYFUNCTION("""COMPUTED_VALUE"""),"Hongasandra")</f>
        <v>Hongasandra</v>
      </c>
      <c r="I1377" s="1"/>
      <c r="J1377" s="1" t="str">
        <f ca="1">IFERROR(__xludf.DUMMYFUNCTION("""COMPUTED_VALUE"""),"0d 00h 00m")</f>
        <v>0d 00h 00m</v>
      </c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13.2">
      <c r="A1378" s="1">
        <f ca="1">IFERROR(__xludf.DUMMYFUNCTION("""COMPUTED_VALUE"""),60)</f>
        <v>60</v>
      </c>
      <c r="B1378" s="1" t="str">
        <f ca="1">IFERROR(__xludf.DUMMYFUNCTION("""COMPUTED_VALUE"""),"S12_KA04D4603_JETTING")</f>
        <v>S12_KA04D4603_JETTING</v>
      </c>
      <c r="C1378" s="1" t="str">
        <f ca="1">IFERROR(__xludf.DUMMYFUNCTION("""COMPUTED_VALUE"""),"s12_ka04d4603_jetting")</f>
        <v>s12_ka04d4603_jetting</v>
      </c>
      <c r="D1378" s="2">
        <f ca="1">IFERROR(__xludf.DUMMYFUNCTION("""COMPUTED_VALUE"""),41640)</f>
        <v>41640</v>
      </c>
      <c r="E1378" s="3">
        <f ca="1">IFERROR(__xludf.DUMMYFUNCTION("""COMPUTED_VALUE"""),0.455092592594155)</f>
        <v>0.45509259259415502</v>
      </c>
      <c r="F1378" s="1">
        <f ca="1">IFERROR(__xludf.DUMMYFUNCTION("""COMPUTED_VALUE"""),89403)</f>
        <v>89403</v>
      </c>
      <c r="G1378" s="1" t="str">
        <f ca="1">IFERROR(__xludf.DUMMYFUNCTION("""COMPUTED_VALUE"""),"12.9003/77.6226")</f>
        <v>12.9003/77.6226</v>
      </c>
      <c r="H1378" s="1" t="str">
        <f ca="1">IFERROR(__xludf.DUMMYFUNCTION("""COMPUTED_VALUE"""),"Hongasandra")</f>
        <v>Hongasandra</v>
      </c>
      <c r="I1378" s="1"/>
      <c r="J1378" s="1" t="str">
        <f ca="1">IFERROR(__xludf.DUMMYFUNCTION("""COMPUTED_VALUE"""),"0d 00h 00m")</f>
        <v>0d 00h 00m</v>
      </c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13.2">
      <c r="A1379" s="1">
        <f ca="1">IFERROR(__xludf.DUMMYFUNCTION("""COMPUTED_VALUE"""),59)</f>
        <v>59</v>
      </c>
      <c r="B1379" s="1" t="str">
        <f ca="1">IFERROR(__xludf.DUMMYFUNCTION("""COMPUTED_VALUE"""),"S12_KA04D4603_JETTING")</f>
        <v>S12_KA04D4603_JETTING</v>
      </c>
      <c r="C1379" s="1" t="str">
        <f ca="1">IFERROR(__xludf.DUMMYFUNCTION("""COMPUTED_VALUE"""),"s12_ka04d4603_jetting")</f>
        <v>s12_ka04d4603_jetting</v>
      </c>
      <c r="D1379" s="2">
        <f ca="1">IFERROR(__xludf.DUMMYFUNCTION("""COMPUTED_VALUE"""),41640)</f>
        <v>41640</v>
      </c>
      <c r="E1379" s="3">
        <f ca="1">IFERROR(__xludf.DUMMYFUNCTION("""COMPUTED_VALUE"""),0.455092592594155)</f>
        <v>0.45509259259415502</v>
      </c>
      <c r="F1379" s="1">
        <f ca="1">IFERROR(__xludf.DUMMYFUNCTION("""COMPUTED_VALUE"""),89403)</f>
        <v>89403</v>
      </c>
      <c r="G1379" s="1" t="str">
        <f ca="1">IFERROR(__xludf.DUMMYFUNCTION("""COMPUTED_VALUE"""),"12.9003/77.6226")</f>
        <v>12.9003/77.6226</v>
      </c>
      <c r="H1379" s="1" t="str">
        <f ca="1">IFERROR(__xludf.DUMMYFUNCTION("""COMPUTED_VALUE"""),"Hongasandra")</f>
        <v>Hongasandra</v>
      </c>
      <c r="I1379" s="1"/>
      <c r="J1379" s="1" t="str">
        <f ca="1">IFERROR(__xludf.DUMMYFUNCTION("""COMPUTED_VALUE"""),"0d 00h 00m")</f>
        <v>0d 00h 00m</v>
      </c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13.2">
      <c r="A1380" s="1">
        <f ca="1">IFERROR(__xludf.DUMMYFUNCTION("""COMPUTED_VALUE"""),59)</f>
        <v>59</v>
      </c>
      <c r="B1380" s="1" t="str">
        <f ca="1">IFERROR(__xludf.DUMMYFUNCTION("""COMPUTED_VALUE"""),"S12_KA04D4603_JETTING")</f>
        <v>S12_KA04D4603_JETTING</v>
      </c>
      <c r="C1380" s="1" t="str">
        <f ca="1">IFERROR(__xludf.DUMMYFUNCTION("""COMPUTED_VALUE"""),"s12_ka04d4603_jetting")</f>
        <v>s12_ka04d4603_jetting</v>
      </c>
      <c r="D1380" s="2">
        <f ca="1">IFERROR(__xludf.DUMMYFUNCTION("""COMPUTED_VALUE"""),41640)</f>
        <v>41640</v>
      </c>
      <c r="E1380" s="3">
        <f ca="1">IFERROR(__xludf.DUMMYFUNCTION("""COMPUTED_VALUE"""),0.455092592594155)</f>
        <v>0.45509259259415502</v>
      </c>
      <c r="F1380" s="1">
        <f ca="1">IFERROR(__xludf.DUMMYFUNCTION("""COMPUTED_VALUE"""),89403)</f>
        <v>89403</v>
      </c>
      <c r="G1380" s="1" t="str">
        <f ca="1">IFERROR(__xludf.DUMMYFUNCTION("""COMPUTED_VALUE"""),"12.9003/77.6226")</f>
        <v>12.9003/77.6226</v>
      </c>
      <c r="H1380" s="1" t="str">
        <f ca="1">IFERROR(__xludf.DUMMYFUNCTION("""COMPUTED_VALUE"""),"Hongasandra")</f>
        <v>Hongasandra</v>
      </c>
      <c r="I1380" s="1"/>
      <c r="J1380" s="1" t="str">
        <f ca="1">IFERROR(__xludf.DUMMYFUNCTION("""COMPUTED_VALUE"""),"0d 00h 00m")</f>
        <v>0d 00h 00m</v>
      </c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13.2">
      <c r="A1381" s="1">
        <f ca="1">IFERROR(__xludf.DUMMYFUNCTION("""COMPUTED_VALUE"""),59)</f>
        <v>59</v>
      </c>
      <c r="B1381" s="1" t="str">
        <f ca="1">IFERROR(__xludf.DUMMYFUNCTION("""COMPUTED_VALUE"""),"S12_KA04D4603_JETTING")</f>
        <v>S12_KA04D4603_JETTING</v>
      </c>
      <c r="C1381" s="1" t="str">
        <f ca="1">IFERROR(__xludf.DUMMYFUNCTION("""COMPUTED_VALUE"""),"s12_ka04d4603_jetting")</f>
        <v>s12_ka04d4603_jetting</v>
      </c>
      <c r="D1381" s="2">
        <f ca="1">IFERROR(__xludf.DUMMYFUNCTION("""COMPUTED_VALUE"""),41640)</f>
        <v>41640</v>
      </c>
      <c r="E1381" s="3">
        <f ca="1">IFERROR(__xludf.DUMMYFUNCTION("""COMPUTED_VALUE"""),0.455092592594155)</f>
        <v>0.45509259259415502</v>
      </c>
      <c r="F1381" s="1">
        <f ca="1">IFERROR(__xludf.DUMMYFUNCTION("""COMPUTED_VALUE"""),89403)</f>
        <v>89403</v>
      </c>
      <c r="G1381" s="1" t="str">
        <f ca="1">IFERROR(__xludf.DUMMYFUNCTION("""COMPUTED_VALUE"""),"12.9003/77.6226")</f>
        <v>12.9003/77.6226</v>
      </c>
      <c r="H1381" s="1" t="str">
        <f ca="1">IFERROR(__xludf.DUMMYFUNCTION("""COMPUTED_VALUE"""),"Hongasandra")</f>
        <v>Hongasandra</v>
      </c>
      <c r="I1381" s="1"/>
      <c r="J1381" s="1" t="str">
        <f ca="1">IFERROR(__xludf.DUMMYFUNCTION("""COMPUTED_VALUE"""),"0d 00h 00m")</f>
        <v>0d 00h 00m</v>
      </c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13.2">
      <c r="A1382" s="1">
        <f ca="1">IFERROR(__xludf.DUMMYFUNCTION("""COMPUTED_VALUE"""),59)</f>
        <v>59</v>
      </c>
      <c r="B1382" s="1" t="str">
        <f ca="1">IFERROR(__xludf.DUMMYFUNCTION("""COMPUTED_VALUE"""),"S12_KA04D4603_JETTING")</f>
        <v>S12_KA04D4603_JETTING</v>
      </c>
      <c r="C1382" s="1" t="str">
        <f ca="1">IFERROR(__xludf.DUMMYFUNCTION("""COMPUTED_VALUE"""),"s12_ka04d4603_jetting")</f>
        <v>s12_ka04d4603_jetting</v>
      </c>
      <c r="D1382" s="2">
        <f ca="1">IFERROR(__xludf.DUMMYFUNCTION("""COMPUTED_VALUE"""),41640)</f>
        <v>41640</v>
      </c>
      <c r="E1382" s="3">
        <f ca="1">IFERROR(__xludf.DUMMYFUNCTION("""COMPUTED_VALUE"""),0.455092592594155)</f>
        <v>0.45509259259415502</v>
      </c>
      <c r="F1382" s="1">
        <f ca="1">IFERROR(__xludf.DUMMYFUNCTION("""COMPUTED_VALUE"""),89403)</f>
        <v>89403</v>
      </c>
      <c r="G1382" s="1" t="str">
        <f ca="1">IFERROR(__xludf.DUMMYFUNCTION("""COMPUTED_VALUE"""),"12.9003/77.6226")</f>
        <v>12.9003/77.6226</v>
      </c>
      <c r="H1382" s="1" t="str">
        <f ca="1">IFERROR(__xludf.DUMMYFUNCTION("""COMPUTED_VALUE"""),"Hongasandra")</f>
        <v>Hongasandra</v>
      </c>
      <c r="I1382" s="1"/>
      <c r="J1382" s="1" t="str">
        <f ca="1">IFERROR(__xludf.DUMMYFUNCTION("""COMPUTED_VALUE"""),"0d 00h 00m")</f>
        <v>0d 00h 00m</v>
      </c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13.2">
      <c r="A1383" s="1">
        <f ca="1">IFERROR(__xludf.DUMMYFUNCTION("""COMPUTED_VALUE"""),59)</f>
        <v>59</v>
      </c>
      <c r="B1383" s="1" t="str">
        <f ca="1">IFERROR(__xludf.DUMMYFUNCTION("""COMPUTED_VALUE"""),"S12_KA04D4603_JETTING")</f>
        <v>S12_KA04D4603_JETTING</v>
      </c>
      <c r="C1383" s="1" t="str">
        <f ca="1">IFERROR(__xludf.DUMMYFUNCTION("""COMPUTED_VALUE"""),"s12_ka04d4603_jetting")</f>
        <v>s12_ka04d4603_jetting</v>
      </c>
      <c r="D1383" s="2">
        <f ca="1">IFERROR(__xludf.DUMMYFUNCTION("""COMPUTED_VALUE"""),41640)</f>
        <v>41640</v>
      </c>
      <c r="E1383" s="3">
        <f ca="1">IFERROR(__xludf.DUMMYFUNCTION("""COMPUTED_VALUE"""),0.455092592594155)</f>
        <v>0.45509259259415502</v>
      </c>
      <c r="F1383" s="1">
        <f ca="1">IFERROR(__xludf.DUMMYFUNCTION("""COMPUTED_VALUE"""),89403)</f>
        <v>89403</v>
      </c>
      <c r="G1383" s="1" t="str">
        <f ca="1">IFERROR(__xludf.DUMMYFUNCTION("""COMPUTED_VALUE"""),"12.9003/77.6226")</f>
        <v>12.9003/77.6226</v>
      </c>
      <c r="H1383" s="1" t="str">
        <f ca="1">IFERROR(__xludf.DUMMYFUNCTION("""COMPUTED_VALUE"""),"Hongasandra")</f>
        <v>Hongasandra</v>
      </c>
      <c r="I1383" s="1"/>
      <c r="J1383" s="1" t="str">
        <f ca="1">IFERROR(__xludf.DUMMYFUNCTION("""COMPUTED_VALUE"""),"0d 00h 00m")</f>
        <v>0d 00h 00m</v>
      </c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13.2">
      <c r="A1384" s="1">
        <f ca="1">IFERROR(__xludf.DUMMYFUNCTION("""COMPUTED_VALUE"""),5)</f>
        <v>5</v>
      </c>
      <c r="B1384" s="1" t="str">
        <f ca="1">IFERROR(__xludf.DUMMYFUNCTION("""COMPUTED_VALUE"""),"S12_KA05D8083_TANKER")</f>
        <v>S12_KA05D8083_TANKER</v>
      </c>
      <c r="C1384" s="1" t="str">
        <f ca="1">IFERROR(__xludf.DUMMYFUNCTION("""COMPUTED_VALUE"""),"s12_ka05d8083_tanker")</f>
        <v>s12_ka05d8083_tanker</v>
      </c>
      <c r="D1384" s="2">
        <f ca="1">IFERROR(__xludf.DUMMYFUNCTION("""COMPUTED_VALUE"""),41640)</f>
        <v>41640</v>
      </c>
      <c r="E1384" s="3">
        <f ca="1">IFERROR(__xludf.DUMMYFUNCTION("""COMPUTED_VALUE"""),0.229398148148902)</f>
        <v>0.229398148148902</v>
      </c>
      <c r="F1384" s="1">
        <f ca="1">IFERROR(__xludf.DUMMYFUNCTION("""COMPUTED_VALUE"""),32840)</f>
        <v>32840</v>
      </c>
      <c r="G1384" s="1"/>
      <c r="H1384" s="1"/>
      <c r="I1384" s="1"/>
      <c r="J1384" s="1" t="str">
        <f ca="1">IFERROR(__xludf.DUMMYFUNCTION("""COMPUTED_VALUE"""),"0d 02h 10m")</f>
        <v>0d 02h 10m</v>
      </c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13.2">
      <c r="A1385" s="1">
        <f ca="1">IFERROR(__xludf.DUMMYFUNCTION("""COMPUTED_VALUE"""),5)</f>
        <v>5</v>
      </c>
      <c r="B1385" s="1" t="str">
        <f ca="1">IFERROR(__xludf.DUMMYFUNCTION("""COMPUTED_VALUE"""),"S12_KA05D8083_TANKER")</f>
        <v>S12_KA05D8083_TANKER</v>
      </c>
      <c r="C1385" s="1" t="str">
        <f ca="1">IFERROR(__xludf.DUMMYFUNCTION("""COMPUTED_VALUE"""),"s12_ka05d8083_tanker")</f>
        <v>s12_ka05d8083_tanker</v>
      </c>
      <c r="D1385" s="2">
        <f ca="1">IFERROR(__xludf.DUMMYFUNCTION("""COMPUTED_VALUE"""),41640)</f>
        <v>41640</v>
      </c>
      <c r="E1385" s="3">
        <f ca="1">IFERROR(__xludf.DUMMYFUNCTION("""COMPUTED_VALUE"""),0.229398148148902)</f>
        <v>0.229398148148902</v>
      </c>
      <c r="F1385" s="1">
        <f ca="1">IFERROR(__xludf.DUMMYFUNCTION("""COMPUTED_VALUE"""),32840)</f>
        <v>32840</v>
      </c>
      <c r="G1385" s="1"/>
      <c r="H1385" s="1"/>
      <c r="I1385" s="1"/>
      <c r="J1385" s="1" t="str">
        <f ca="1">IFERROR(__xludf.DUMMYFUNCTION("""COMPUTED_VALUE"""),"0d 02h 11m")</f>
        <v>0d 02h 11m</v>
      </c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13.2">
      <c r="A1386" s="1">
        <f ca="1">IFERROR(__xludf.DUMMYFUNCTION("""COMPUTED_VALUE"""),5)</f>
        <v>5</v>
      </c>
      <c r="B1386" s="1" t="str">
        <f ca="1">IFERROR(__xludf.DUMMYFUNCTION("""COMPUTED_VALUE"""),"S12_KA05D8083_TANKER")</f>
        <v>S12_KA05D8083_TANKER</v>
      </c>
      <c r="C1386" s="1" t="str">
        <f ca="1">IFERROR(__xludf.DUMMYFUNCTION("""COMPUTED_VALUE"""),"s12_ka05d8083_tanker")</f>
        <v>s12_ka05d8083_tanker</v>
      </c>
      <c r="D1386" s="2">
        <f ca="1">IFERROR(__xludf.DUMMYFUNCTION("""COMPUTED_VALUE"""),41640)</f>
        <v>41640</v>
      </c>
      <c r="E1386" s="3">
        <f ca="1">IFERROR(__xludf.DUMMYFUNCTION("""COMPUTED_VALUE"""),0.229398148148902)</f>
        <v>0.229398148148902</v>
      </c>
      <c r="F1386" s="1">
        <f ca="1">IFERROR(__xludf.DUMMYFUNCTION("""COMPUTED_VALUE"""),32840)</f>
        <v>32840</v>
      </c>
      <c r="G1386" s="1"/>
      <c r="H1386" s="1"/>
      <c r="I1386" s="1"/>
      <c r="J1386" s="1" t="str">
        <f ca="1">IFERROR(__xludf.DUMMYFUNCTION("""COMPUTED_VALUE"""),"0d 02h 14m")</f>
        <v>0d 02h 14m</v>
      </c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13.2">
      <c r="A1387" s="1">
        <f ca="1">IFERROR(__xludf.DUMMYFUNCTION("""COMPUTED_VALUE"""),5)</f>
        <v>5</v>
      </c>
      <c r="B1387" s="1" t="str">
        <f ca="1">IFERROR(__xludf.DUMMYFUNCTION("""COMPUTED_VALUE"""),"S12_KA05D8083_TANKER")</f>
        <v>S12_KA05D8083_TANKER</v>
      </c>
      <c r="C1387" s="1" t="str">
        <f ca="1">IFERROR(__xludf.DUMMYFUNCTION("""COMPUTED_VALUE"""),"s12_ka05d8083_tanker")</f>
        <v>s12_ka05d8083_tanker</v>
      </c>
      <c r="D1387" s="2">
        <f ca="1">IFERROR(__xludf.DUMMYFUNCTION("""COMPUTED_VALUE"""),41640)</f>
        <v>41640</v>
      </c>
      <c r="E1387" s="3">
        <f ca="1">IFERROR(__xludf.DUMMYFUNCTION("""COMPUTED_VALUE"""),0.229398148148902)</f>
        <v>0.229398148148902</v>
      </c>
      <c r="F1387" s="1">
        <f ca="1">IFERROR(__xludf.DUMMYFUNCTION("""COMPUTED_VALUE"""),32840)</f>
        <v>32840</v>
      </c>
      <c r="G1387" s="1"/>
      <c r="H1387" s="1"/>
      <c r="I1387" s="1"/>
      <c r="J1387" s="1" t="str">
        <f ca="1">IFERROR(__xludf.DUMMYFUNCTION("""COMPUTED_VALUE"""),"0d 02h 15m")</f>
        <v>0d 02h 15m</v>
      </c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13.2">
      <c r="A1388" s="1">
        <f ca="1">IFERROR(__xludf.DUMMYFUNCTION("""COMPUTED_VALUE"""),5)</f>
        <v>5</v>
      </c>
      <c r="B1388" s="1" t="str">
        <f ca="1">IFERROR(__xludf.DUMMYFUNCTION("""COMPUTED_VALUE"""),"S12_KA05D8083_TANKER")</f>
        <v>S12_KA05D8083_TANKER</v>
      </c>
      <c r="C1388" s="1" t="str">
        <f ca="1">IFERROR(__xludf.DUMMYFUNCTION("""COMPUTED_VALUE"""),"s12_ka05d8083_tanker")</f>
        <v>s12_ka05d8083_tanker</v>
      </c>
      <c r="D1388" s="2">
        <f ca="1">IFERROR(__xludf.DUMMYFUNCTION("""COMPUTED_VALUE"""),41640)</f>
        <v>41640</v>
      </c>
      <c r="E1388" s="3">
        <f ca="1">IFERROR(__xludf.DUMMYFUNCTION("""COMPUTED_VALUE"""),0.229398148148902)</f>
        <v>0.229398148148902</v>
      </c>
      <c r="F1388" s="1">
        <f ca="1">IFERROR(__xludf.DUMMYFUNCTION("""COMPUTED_VALUE"""),32840)</f>
        <v>32840</v>
      </c>
      <c r="G1388" s="1"/>
      <c r="H1388" s="1"/>
      <c r="I1388" s="1"/>
      <c r="J1388" s="1" t="str">
        <f ca="1">IFERROR(__xludf.DUMMYFUNCTION("""COMPUTED_VALUE"""),"0d 02h 16m")</f>
        <v>0d 02h 16m</v>
      </c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13.2">
      <c r="A1389" s="1">
        <f ca="1">IFERROR(__xludf.DUMMYFUNCTION("""COMPUTED_VALUE"""),5)</f>
        <v>5</v>
      </c>
      <c r="B1389" s="1" t="str">
        <f ca="1">IFERROR(__xludf.DUMMYFUNCTION("""COMPUTED_VALUE"""),"S12_KA05D8083_TANKER")</f>
        <v>S12_KA05D8083_TANKER</v>
      </c>
      <c r="C1389" s="1" t="str">
        <f ca="1">IFERROR(__xludf.DUMMYFUNCTION("""COMPUTED_VALUE"""),"s12_ka05d8083_tanker")</f>
        <v>s12_ka05d8083_tanker</v>
      </c>
      <c r="D1389" s="2">
        <f ca="1">IFERROR(__xludf.DUMMYFUNCTION("""COMPUTED_VALUE"""),41640)</f>
        <v>41640</v>
      </c>
      <c r="E1389" s="3">
        <f ca="1">IFERROR(__xludf.DUMMYFUNCTION("""COMPUTED_VALUE"""),0.229398148148902)</f>
        <v>0.229398148148902</v>
      </c>
      <c r="F1389" s="1">
        <f ca="1">IFERROR(__xludf.DUMMYFUNCTION("""COMPUTED_VALUE"""),32840)</f>
        <v>32840</v>
      </c>
      <c r="G1389" s="1"/>
      <c r="H1389" s="1"/>
      <c r="I1389" s="1"/>
      <c r="J1389" s="1" t="str">
        <f ca="1">IFERROR(__xludf.DUMMYFUNCTION("""COMPUTED_VALUE"""),"0d 02h 17m")</f>
        <v>0d 02h 17m</v>
      </c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13.2">
      <c r="A1390" s="1">
        <f ca="1">IFERROR(__xludf.DUMMYFUNCTION("""COMPUTED_VALUE"""),5)</f>
        <v>5</v>
      </c>
      <c r="B1390" s="1" t="str">
        <f ca="1">IFERROR(__xludf.DUMMYFUNCTION("""COMPUTED_VALUE"""),"S12_KA05D8083_TANKER")</f>
        <v>S12_KA05D8083_TANKER</v>
      </c>
      <c r="C1390" s="1" t="str">
        <f ca="1">IFERROR(__xludf.DUMMYFUNCTION("""COMPUTED_VALUE"""),"s12_ka05d8083_tanker")</f>
        <v>s12_ka05d8083_tanker</v>
      </c>
      <c r="D1390" s="2">
        <f ca="1">IFERROR(__xludf.DUMMYFUNCTION("""COMPUTED_VALUE"""),41640)</f>
        <v>41640</v>
      </c>
      <c r="E1390" s="3">
        <f ca="1">IFERROR(__xludf.DUMMYFUNCTION("""COMPUTED_VALUE"""),0.229398148148902)</f>
        <v>0.229398148148902</v>
      </c>
      <c r="F1390" s="1">
        <f ca="1">IFERROR(__xludf.DUMMYFUNCTION("""COMPUTED_VALUE"""),32840)</f>
        <v>32840</v>
      </c>
      <c r="G1390" s="1"/>
      <c r="H1390" s="1"/>
      <c r="I1390" s="1"/>
      <c r="J1390" s="1" t="str">
        <f ca="1">IFERROR(__xludf.DUMMYFUNCTION("""COMPUTED_VALUE"""),"0d 02h 18m")</f>
        <v>0d 02h 18m</v>
      </c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13.2">
      <c r="A1391" s="1">
        <f ca="1">IFERROR(__xludf.DUMMYFUNCTION("""COMPUTED_VALUE"""),58)</f>
        <v>58</v>
      </c>
      <c r="B1391" s="1" t="str">
        <f ca="1">IFERROR(__xludf.DUMMYFUNCTION("""COMPUTED_VALUE"""),"S13_KA04C5149_JETTING")</f>
        <v>S13_KA04C5149_JETTING</v>
      </c>
      <c r="C1391" s="1" t="str">
        <f ca="1">IFERROR(__xludf.DUMMYFUNCTION("""COMPUTED_VALUE"""),"s13_ka04c5149_jetting")</f>
        <v>s13_ka04c5149_jetting</v>
      </c>
      <c r="D1391" s="2">
        <f ca="1">IFERROR(__xludf.DUMMYFUNCTION("""COMPUTED_VALUE"""),41640)</f>
        <v>41640</v>
      </c>
      <c r="E1391" s="3">
        <f ca="1">IFERROR(__xludf.DUMMYFUNCTION("""COMPUTED_VALUE"""),0.453078703703795)</f>
        <v>0.45307870370379499</v>
      </c>
      <c r="F1391" s="1">
        <f ca="1">IFERROR(__xludf.DUMMYFUNCTION("""COMPUTED_VALUE"""),21212)</f>
        <v>21212</v>
      </c>
      <c r="G1391" s="1"/>
      <c r="H1391" s="1"/>
      <c r="I1391" s="1"/>
      <c r="J1391" s="1" t="str">
        <f ca="1">IFERROR(__xludf.DUMMYFUNCTION("""COMPUTED_VALUE"""),"0d 00h 00m")</f>
        <v>0d 00h 00m</v>
      </c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13.2">
      <c r="A1392" s="1">
        <f ca="1">IFERROR(__xludf.DUMMYFUNCTION("""COMPUTED_VALUE"""),58)</f>
        <v>58</v>
      </c>
      <c r="B1392" s="1" t="str">
        <f ca="1">IFERROR(__xludf.DUMMYFUNCTION("""COMPUTED_VALUE"""),"S13_KA04C5149_JETTING")</f>
        <v>S13_KA04C5149_JETTING</v>
      </c>
      <c r="C1392" s="1" t="str">
        <f ca="1">IFERROR(__xludf.DUMMYFUNCTION("""COMPUTED_VALUE"""),"s13_ka04c5149_jetting")</f>
        <v>s13_ka04c5149_jetting</v>
      </c>
      <c r="D1392" s="2">
        <f ca="1">IFERROR(__xludf.DUMMYFUNCTION("""COMPUTED_VALUE"""),41640)</f>
        <v>41640</v>
      </c>
      <c r="E1392" s="3">
        <f ca="1">IFERROR(__xludf.DUMMYFUNCTION("""COMPUTED_VALUE"""),0.453078703703795)</f>
        <v>0.45307870370379499</v>
      </c>
      <c r="F1392" s="1">
        <f ca="1">IFERROR(__xludf.DUMMYFUNCTION("""COMPUTED_VALUE"""),21212)</f>
        <v>21212</v>
      </c>
      <c r="G1392" s="1"/>
      <c r="H1392" s="1"/>
      <c r="I1392" s="1"/>
      <c r="J1392" s="1" t="str">
        <f ca="1">IFERROR(__xludf.DUMMYFUNCTION("""COMPUTED_VALUE"""),"0d 00h 01m")</f>
        <v>0d 00h 01m</v>
      </c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13.2">
      <c r="A1393" s="1">
        <f ca="1">IFERROR(__xludf.DUMMYFUNCTION("""COMPUTED_VALUE"""),57)</f>
        <v>57</v>
      </c>
      <c r="B1393" s="1" t="str">
        <f ca="1">IFERROR(__xludf.DUMMYFUNCTION("""COMPUTED_VALUE"""),"S13_KA04C5149_JETTING")</f>
        <v>S13_KA04C5149_JETTING</v>
      </c>
      <c r="C1393" s="1" t="str">
        <f ca="1">IFERROR(__xludf.DUMMYFUNCTION("""COMPUTED_VALUE"""),"s13_ka04c5149_jetting")</f>
        <v>s13_ka04c5149_jetting</v>
      </c>
      <c r="D1393" s="2">
        <f ca="1">IFERROR(__xludf.DUMMYFUNCTION("""COMPUTED_VALUE"""),41640)</f>
        <v>41640</v>
      </c>
      <c r="E1393" s="3">
        <f ca="1">IFERROR(__xludf.DUMMYFUNCTION("""COMPUTED_VALUE"""),0.453078703703795)</f>
        <v>0.45307870370379499</v>
      </c>
      <c r="F1393" s="1">
        <f ca="1">IFERROR(__xludf.DUMMYFUNCTION("""COMPUTED_VALUE"""),21212)</f>
        <v>21212</v>
      </c>
      <c r="G1393" s="1"/>
      <c r="H1393" s="1"/>
      <c r="I1393" s="1"/>
      <c r="J1393" s="1" t="str">
        <f ca="1">IFERROR(__xludf.DUMMYFUNCTION("""COMPUTED_VALUE"""),"0d 00h 00m")</f>
        <v>0d 00h 00m</v>
      </c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13.2">
      <c r="A1394" s="1">
        <f ca="1">IFERROR(__xludf.DUMMYFUNCTION("""COMPUTED_VALUE"""),57)</f>
        <v>57</v>
      </c>
      <c r="B1394" s="1" t="str">
        <f ca="1">IFERROR(__xludf.DUMMYFUNCTION("""COMPUTED_VALUE"""),"S13_KA04C5149_JETTING")</f>
        <v>S13_KA04C5149_JETTING</v>
      </c>
      <c r="C1394" s="1" t="str">
        <f ca="1">IFERROR(__xludf.DUMMYFUNCTION("""COMPUTED_VALUE"""),"s13_ka04c5149_jetting")</f>
        <v>s13_ka04c5149_jetting</v>
      </c>
      <c r="D1394" s="2">
        <f ca="1">IFERROR(__xludf.DUMMYFUNCTION("""COMPUTED_VALUE"""),41640)</f>
        <v>41640</v>
      </c>
      <c r="E1394" s="3">
        <f ca="1">IFERROR(__xludf.DUMMYFUNCTION("""COMPUTED_VALUE"""),0.453078703703795)</f>
        <v>0.45307870370379499</v>
      </c>
      <c r="F1394" s="1">
        <f ca="1">IFERROR(__xludf.DUMMYFUNCTION("""COMPUTED_VALUE"""),21212)</f>
        <v>21212</v>
      </c>
      <c r="G1394" s="1"/>
      <c r="H1394" s="1"/>
      <c r="I1394" s="1"/>
      <c r="J1394" s="1" t="str">
        <f ca="1">IFERROR(__xludf.DUMMYFUNCTION("""COMPUTED_VALUE"""),"0d 00h 01m")</f>
        <v>0d 00h 01m</v>
      </c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13.2">
      <c r="A1395" s="1">
        <f ca="1">IFERROR(__xludf.DUMMYFUNCTION("""COMPUTED_VALUE"""),57)</f>
        <v>57</v>
      </c>
      <c r="B1395" s="1" t="str">
        <f ca="1">IFERROR(__xludf.DUMMYFUNCTION("""COMPUTED_VALUE"""),"S13_KA04C5149_JETTING")</f>
        <v>S13_KA04C5149_JETTING</v>
      </c>
      <c r="C1395" s="1" t="str">
        <f ca="1">IFERROR(__xludf.DUMMYFUNCTION("""COMPUTED_VALUE"""),"s13_ka04c5149_jetting")</f>
        <v>s13_ka04c5149_jetting</v>
      </c>
      <c r="D1395" s="2">
        <f ca="1">IFERROR(__xludf.DUMMYFUNCTION("""COMPUTED_VALUE"""),41640)</f>
        <v>41640</v>
      </c>
      <c r="E1395" s="3">
        <f ca="1">IFERROR(__xludf.DUMMYFUNCTION("""COMPUTED_VALUE"""),0.453078703703795)</f>
        <v>0.45307870370379499</v>
      </c>
      <c r="F1395" s="1">
        <f ca="1">IFERROR(__xludf.DUMMYFUNCTION("""COMPUTED_VALUE"""),21212)</f>
        <v>21212</v>
      </c>
      <c r="G1395" s="1"/>
      <c r="H1395" s="1"/>
      <c r="I1395" s="1"/>
      <c r="J1395" s="1" t="str">
        <f ca="1">IFERROR(__xludf.DUMMYFUNCTION("""COMPUTED_VALUE"""),"0d 00h 02m")</f>
        <v>0d 00h 02m</v>
      </c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13.2">
      <c r="A1396" s="1">
        <f ca="1">IFERROR(__xludf.DUMMYFUNCTION("""COMPUTED_VALUE"""),57)</f>
        <v>57</v>
      </c>
      <c r="B1396" s="1" t="str">
        <f ca="1">IFERROR(__xludf.DUMMYFUNCTION("""COMPUTED_VALUE"""),"S13_KA04C5149_JETTING")</f>
        <v>S13_KA04C5149_JETTING</v>
      </c>
      <c r="C1396" s="1" t="str">
        <f ca="1">IFERROR(__xludf.DUMMYFUNCTION("""COMPUTED_VALUE"""),"s13_ka04c5149_jetting")</f>
        <v>s13_ka04c5149_jetting</v>
      </c>
      <c r="D1396" s="2">
        <f ca="1">IFERROR(__xludf.DUMMYFUNCTION("""COMPUTED_VALUE"""),41640)</f>
        <v>41640</v>
      </c>
      <c r="E1396" s="3">
        <f ca="1">IFERROR(__xludf.DUMMYFUNCTION("""COMPUTED_VALUE"""),0.453078703703795)</f>
        <v>0.45307870370379499</v>
      </c>
      <c r="F1396" s="1">
        <f ca="1">IFERROR(__xludf.DUMMYFUNCTION("""COMPUTED_VALUE"""),21212)</f>
        <v>21212</v>
      </c>
      <c r="G1396" s="1"/>
      <c r="H1396" s="1"/>
      <c r="I1396" s="1"/>
      <c r="J1396" s="1" t="str">
        <f ca="1">IFERROR(__xludf.DUMMYFUNCTION("""COMPUTED_VALUE"""),"0d 00h 03m")</f>
        <v>0d 00h 03m</v>
      </c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13.2">
      <c r="A1397" s="1">
        <f ca="1">IFERROR(__xludf.DUMMYFUNCTION("""COMPUTED_VALUE"""),57)</f>
        <v>57</v>
      </c>
      <c r="B1397" s="1" t="str">
        <f ca="1">IFERROR(__xludf.DUMMYFUNCTION("""COMPUTED_VALUE"""),"S13_KA04C5149_JETTING")</f>
        <v>S13_KA04C5149_JETTING</v>
      </c>
      <c r="C1397" s="1" t="str">
        <f ca="1">IFERROR(__xludf.DUMMYFUNCTION("""COMPUTED_VALUE"""),"s13_ka04c5149_jetting")</f>
        <v>s13_ka04c5149_jetting</v>
      </c>
      <c r="D1397" s="2">
        <f ca="1">IFERROR(__xludf.DUMMYFUNCTION("""COMPUTED_VALUE"""),41640)</f>
        <v>41640</v>
      </c>
      <c r="E1397" s="3">
        <f ca="1">IFERROR(__xludf.DUMMYFUNCTION("""COMPUTED_VALUE"""),0.453078703703795)</f>
        <v>0.45307870370379499</v>
      </c>
      <c r="F1397" s="1">
        <f ca="1">IFERROR(__xludf.DUMMYFUNCTION("""COMPUTED_VALUE"""),21212)</f>
        <v>21212</v>
      </c>
      <c r="G1397" s="1"/>
      <c r="H1397" s="1"/>
      <c r="I1397" s="1"/>
      <c r="J1397" s="1" t="str">
        <f ca="1">IFERROR(__xludf.DUMMYFUNCTION("""COMPUTED_VALUE"""),"0d 00h 04m")</f>
        <v>0d 00h 04m</v>
      </c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13.2">
      <c r="A1398" s="1">
        <f ca="1">IFERROR(__xludf.DUMMYFUNCTION("""COMPUTED_VALUE"""),181)</f>
        <v>181</v>
      </c>
      <c r="B1398" s="1" t="str">
        <f ca="1">IFERROR(__xludf.DUMMYFUNCTION("""COMPUTED_VALUE"""),"S1_KA03C5043_Tanker")</f>
        <v>S1_KA03C5043_Tanker</v>
      </c>
      <c r="C1398" s="1" t="str">
        <f ca="1">IFERROR(__xludf.DUMMYFUNCTION("""COMPUTED_VALUE"""),"s1_ka03c5043_tanker")</f>
        <v>s1_ka03c5043_tanker</v>
      </c>
      <c r="D1398" s="2">
        <f ca="1">IFERROR(__xludf.DUMMYFUNCTION("""COMPUTED_VALUE"""),44707)</f>
        <v>44707</v>
      </c>
      <c r="E1398" s="3">
        <f ca="1">IFERROR(__xludf.DUMMYFUNCTION("""COMPUTED_VALUE"""),0.999085648149048)</f>
        <v>0.99908564814904799</v>
      </c>
      <c r="F1398" s="1">
        <f ca="1">IFERROR(__xludf.DUMMYFUNCTION("""COMPUTED_VALUE"""),64084)</f>
        <v>64084</v>
      </c>
      <c r="G1398" s="1" t="str">
        <f ca="1">IFERROR(__xludf.DUMMYFUNCTION("""COMPUTED_VALUE"""),"12.9093/77.5624")</f>
        <v>12.9093/77.5624</v>
      </c>
      <c r="H1398" s="1" t="str">
        <f ca="1">IFERROR(__xludf.DUMMYFUNCTION("""COMPUTED_VALUE"""),"Bendre")</f>
        <v>Bendre</v>
      </c>
      <c r="I1398" s="1"/>
      <c r="J1398" s="1" t="str">
        <f ca="1">IFERROR(__xludf.DUMMYFUNCTION("""COMPUTED_VALUE"""),"0d 00h 00m")</f>
        <v>0d 00h 00m</v>
      </c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13.2">
      <c r="A1399" s="1">
        <f ca="1">IFERROR(__xludf.DUMMYFUNCTION("""COMPUTED_VALUE"""),181)</f>
        <v>181</v>
      </c>
      <c r="B1399" s="1" t="str">
        <f ca="1">IFERROR(__xludf.DUMMYFUNCTION("""COMPUTED_VALUE"""),"S1_KA03C5043_Tanker")</f>
        <v>S1_KA03C5043_Tanker</v>
      </c>
      <c r="C1399" s="1" t="str">
        <f ca="1">IFERROR(__xludf.DUMMYFUNCTION("""COMPUTED_VALUE"""),"s1_ka03c5043_tanker")</f>
        <v>s1_ka03c5043_tanker</v>
      </c>
      <c r="D1399" s="2">
        <f ca="1">IFERROR(__xludf.DUMMYFUNCTION("""COMPUTED_VALUE"""),44738)</f>
        <v>44738</v>
      </c>
      <c r="E1399" s="3">
        <f ca="1">IFERROR(__xludf.DUMMYFUNCTION("""COMPUTED_VALUE"""),0.999074074072268)</f>
        <v>0.999074074072268</v>
      </c>
      <c r="F1399" s="1">
        <f ca="1">IFERROR(__xludf.DUMMYFUNCTION("""COMPUTED_VALUE"""),64800)</f>
        <v>64800</v>
      </c>
      <c r="G1399" s="1" t="str">
        <f ca="1">IFERROR(__xludf.DUMMYFUNCTION("""COMPUTED_VALUE"""),"12.9092/77.5623")</f>
        <v>12.9092/77.5623</v>
      </c>
      <c r="H1399" s="1" t="str">
        <f ca="1">IFERROR(__xludf.DUMMYFUNCTION("""COMPUTED_VALUE"""),"Bendre")</f>
        <v>Bendre</v>
      </c>
      <c r="I1399" s="1"/>
      <c r="J1399" s="1" t="str">
        <f ca="1">IFERROR(__xludf.DUMMYFUNCTION("""COMPUTED_VALUE"""),"0d 00h 00m")</f>
        <v>0d 00h 00m</v>
      </c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13.2">
      <c r="A1400" s="1">
        <f ca="1">IFERROR(__xludf.DUMMYFUNCTION("""COMPUTED_VALUE"""),111)</f>
        <v>111</v>
      </c>
      <c r="B1400" s="1" t="str">
        <f ca="1">IFERROR(__xludf.DUMMYFUNCTION("""COMPUTED_VALUE"""),"S1_KA03C5043_Tanker")</f>
        <v>S1_KA03C5043_Tanker</v>
      </c>
      <c r="C1400" s="1" t="str">
        <f ca="1">IFERROR(__xludf.DUMMYFUNCTION("""COMPUTED_VALUE"""),"s1_ka03c5043_tanker")</f>
        <v>s1_ka03c5043_tanker</v>
      </c>
      <c r="D1400" s="2">
        <f ca="1">IFERROR(__xludf.DUMMYFUNCTION("""COMPUTED_VALUE"""),44763)</f>
        <v>44763</v>
      </c>
      <c r="E1400" s="3">
        <f ca="1">IFERROR(__xludf.DUMMYFUNCTION("""COMPUTED_VALUE"""),0.408379629629052)</f>
        <v>0.408379629629052</v>
      </c>
      <c r="F1400" s="1">
        <f ca="1">IFERROR(__xludf.DUMMYFUNCTION("""COMPUTED_VALUE"""),65145)</f>
        <v>65145</v>
      </c>
      <c r="G1400" s="1" t="str">
        <f ca="1">IFERROR(__xludf.DUMMYFUNCTION("""COMPUTED_VALUE"""),"12.9154/77.5692")</f>
        <v>12.9154/77.5692</v>
      </c>
      <c r="H1400" s="1" t="str">
        <f ca="1">IFERROR(__xludf.DUMMYFUNCTION("""COMPUTED_VALUE"""),"Yarub Nagar")</f>
        <v>Yarub Nagar</v>
      </c>
      <c r="I1400" s="1"/>
      <c r="J1400" s="1" t="str">
        <f ca="1">IFERROR(__xludf.DUMMYFUNCTION("""COMPUTED_VALUE"""),"0d 00h 00m")</f>
        <v>0d 00h 00m</v>
      </c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13.2">
      <c r="A1401" s="1">
        <f ca="1">IFERROR(__xludf.DUMMYFUNCTION("""COMPUTED_VALUE"""),126)</f>
        <v>126</v>
      </c>
      <c r="B1401" s="1" t="str">
        <f ca="1">IFERROR(__xludf.DUMMYFUNCTION("""COMPUTED_VALUE"""),"S1_KA03C5043_Tanker")</f>
        <v>S1_KA03C5043_Tanker</v>
      </c>
      <c r="C1401" s="1" t="str">
        <f ca="1">IFERROR(__xludf.DUMMYFUNCTION("""COMPUTED_VALUE"""),"s1_ka03c5043_tanker")</f>
        <v>s1_ka03c5043_tanker</v>
      </c>
      <c r="D1401" s="2">
        <f ca="1">IFERROR(__xludf.DUMMYFUNCTION("""COMPUTED_VALUE"""),44794)</f>
        <v>44794</v>
      </c>
      <c r="E1401" s="3">
        <f ca="1">IFERROR(__xludf.DUMMYFUNCTION("""COMPUTED_VALUE"""),0.928067129629198)</f>
        <v>0.92806712962919802</v>
      </c>
      <c r="F1401" s="1">
        <f ca="1">IFERROR(__xludf.DUMMYFUNCTION("""COMPUTED_VALUE"""),65378)</f>
        <v>65378</v>
      </c>
      <c r="G1401" s="1" t="str">
        <f ca="1">IFERROR(__xludf.DUMMYFUNCTION("""COMPUTED_VALUE"""),"12.9092/77.5620")</f>
        <v>12.9092/77.5620</v>
      </c>
      <c r="H1401" s="1" t="str">
        <f ca="1">IFERROR(__xludf.DUMMYFUNCTION("""COMPUTED_VALUE"""),"Kumaraswamy Layout")</f>
        <v>Kumaraswamy Layout</v>
      </c>
      <c r="I1401" s="1"/>
      <c r="J1401" s="1" t="str">
        <f ca="1">IFERROR(__xludf.DUMMYFUNCTION("""COMPUTED_VALUE"""),"0d 00h 00m")</f>
        <v>0d 00h 00m</v>
      </c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13.2">
      <c r="A1402" s="1">
        <f ca="1">IFERROR(__xludf.DUMMYFUNCTION("""COMPUTED_VALUE"""),88)</f>
        <v>88</v>
      </c>
      <c r="B1402" s="1" t="str">
        <f ca="1">IFERROR(__xludf.DUMMYFUNCTION("""COMPUTED_VALUE"""),"S1_KA03C5043_Tanker")</f>
        <v>S1_KA03C5043_Tanker</v>
      </c>
      <c r="C1402" s="1" t="str">
        <f ca="1">IFERROR(__xludf.DUMMYFUNCTION("""COMPUTED_VALUE"""),"s1_ka03c5043_tanker")</f>
        <v>s1_ka03c5043_tanker</v>
      </c>
      <c r="D1402" s="2">
        <f ca="1">IFERROR(__xludf.DUMMYFUNCTION("""COMPUTED_VALUE"""),44808)</f>
        <v>44808</v>
      </c>
      <c r="E1402" s="3">
        <f ca="1">IFERROR(__xludf.DUMMYFUNCTION("""COMPUTED_VALUE"""),0.485451388889487)</f>
        <v>0.48545138888948702</v>
      </c>
      <c r="F1402" s="1">
        <f ca="1">IFERROR(__xludf.DUMMYFUNCTION("""COMPUTED_VALUE"""),65378)</f>
        <v>65378</v>
      </c>
      <c r="G1402" s="1" t="str">
        <f ca="1">IFERROR(__xludf.DUMMYFUNCTION("""COMPUTED_VALUE"""),"12.9094/77.5622")</f>
        <v>12.9094/77.5622</v>
      </c>
      <c r="H1402" s="1" t="str">
        <f ca="1">IFERROR(__xludf.DUMMYFUNCTION("""COMPUTED_VALUE"""),"Bendre")</f>
        <v>Bendre</v>
      </c>
      <c r="I1402" s="1"/>
      <c r="J1402" s="1" t="str">
        <f ca="1">IFERROR(__xludf.DUMMYFUNCTION("""COMPUTED_VALUE"""),"0d 00h 00m")</f>
        <v>0d 00h 00m</v>
      </c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13.2">
      <c r="A1403" s="1">
        <f ca="1">IFERROR(__xludf.DUMMYFUNCTION("""COMPUTED_VALUE"""),102)</f>
        <v>102</v>
      </c>
      <c r="B1403" s="1" t="str">
        <f ca="1">IFERROR(__xludf.DUMMYFUNCTION("""COMPUTED_VALUE"""),"S1_KA03C5043_Tanker")</f>
        <v>S1_KA03C5043_Tanker</v>
      </c>
      <c r="C1403" s="1" t="str">
        <f ca="1">IFERROR(__xludf.DUMMYFUNCTION("""COMPUTED_VALUE"""),"s1_ka03c5043_tanker")</f>
        <v>s1_ka03c5043_tanker</v>
      </c>
      <c r="D1403" s="2">
        <f ca="1">IFERROR(__xludf.DUMMYFUNCTION("""COMPUTED_VALUE"""),44858)</f>
        <v>44858</v>
      </c>
      <c r="E1403" s="3">
        <f ca="1">IFERROR(__xludf.DUMMYFUNCTION("""COMPUTED_VALUE"""),0.2556250000016)</f>
        <v>0.25562500000159999</v>
      </c>
      <c r="F1403" s="1">
        <f ca="1">IFERROR(__xludf.DUMMYFUNCTION("""COMPUTED_VALUE"""),65395)</f>
        <v>65395</v>
      </c>
      <c r="G1403" s="1" t="str">
        <f ca="1">IFERROR(__xludf.DUMMYFUNCTION("""COMPUTED_VALUE"""),"12.9093/77.5623")</f>
        <v>12.9093/77.5623</v>
      </c>
      <c r="H1403" s="1" t="str">
        <f ca="1">IFERROR(__xludf.DUMMYFUNCTION("""COMPUTED_VALUE"""),"Bendre")</f>
        <v>Bendre</v>
      </c>
      <c r="I1403" s="1"/>
      <c r="J1403" s="1" t="str">
        <f ca="1">IFERROR(__xludf.DUMMYFUNCTION("""COMPUTED_VALUE"""),"0d 00h 00m")</f>
        <v>0d 00h 00m</v>
      </c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13.2">
      <c r="A1404" s="1">
        <f ca="1">IFERROR(__xludf.DUMMYFUNCTION("""COMPUTED_VALUE"""),104)</f>
        <v>104</v>
      </c>
      <c r="B1404" s="1" t="str">
        <f ca="1">IFERROR(__xludf.DUMMYFUNCTION("""COMPUTED_VALUE"""),"S1_KA04C5144_Jetting")</f>
        <v>S1_KA04C5144_Jetting</v>
      </c>
      <c r="C1404" s="1" t="str">
        <f ca="1">IFERROR(__xludf.DUMMYFUNCTION("""COMPUTED_VALUE"""),"s1_ka04c5144_jetting")</f>
        <v>s1_ka04c5144_jetting</v>
      </c>
      <c r="D1404" s="2">
        <f ca="1">IFERROR(__xludf.DUMMYFUNCTION("""COMPUTED_VALUE"""),44704)</f>
        <v>44704</v>
      </c>
      <c r="E1404" s="3">
        <f ca="1">IFERROR(__xludf.DUMMYFUNCTION("""COMPUTED_VALUE"""),0.754062500000145)</f>
        <v>0.75406250000014496</v>
      </c>
      <c r="F1404" s="1">
        <f ca="1">IFERROR(__xludf.DUMMYFUNCTION("""COMPUTED_VALUE"""),40265)</f>
        <v>40265</v>
      </c>
      <c r="G1404" s="1" t="str">
        <f ca="1">IFERROR(__xludf.DUMMYFUNCTION("""COMPUTED_VALUE"""),"12.8877/77.5413")</f>
        <v>12.8877/77.5413</v>
      </c>
      <c r="H1404" s="1" t="str">
        <f ca="1">IFERROR(__xludf.DUMMYFUNCTION("""COMPUTED_VALUE"""),"Vasantpura")</f>
        <v>Vasantpura</v>
      </c>
      <c r="I1404" s="1"/>
      <c r="J1404" s="1" t="str">
        <f ca="1">IFERROR(__xludf.DUMMYFUNCTION("""COMPUTED_VALUE"""),"0d 00h 01m")</f>
        <v>0d 00h 01m</v>
      </c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13.2">
      <c r="A1405" s="1">
        <f ca="1">IFERROR(__xludf.DUMMYFUNCTION("""COMPUTED_VALUE"""),67)</f>
        <v>67</v>
      </c>
      <c r="B1405" s="1" t="str">
        <f ca="1">IFERROR(__xludf.DUMMYFUNCTION("""COMPUTED_VALUE"""),"S1_KA04C5144_Jetting")</f>
        <v>S1_KA04C5144_Jetting</v>
      </c>
      <c r="C1405" s="1" t="str">
        <f ca="1">IFERROR(__xludf.DUMMYFUNCTION("""COMPUTED_VALUE"""),"s1_ka04c5144_jetting")</f>
        <v>s1_ka04c5144_jetting</v>
      </c>
      <c r="D1405" s="2">
        <f ca="1">IFERROR(__xludf.DUMMYFUNCTION("""COMPUTED_VALUE"""),44713)</f>
        <v>44713</v>
      </c>
      <c r="E1405" s="3">
        <f ca="1">IFERROR(__xludf.DUMMYFUNCTION("""COMPUTED_VALUE"""),0.708414351851388)</f>
        <v>0.70841435185138801</v>
      </c>
      <c r="F1405" s="1">
        <f ca="1">IFERROR(__xludf.DUMMYFUNCTION("""COMPUTED_VALUE"""),40268)</f>
        <v>40268</v>
      </c>
      <c r="G1405" s="1" t="str">
        <f ca="1">IFERROR(__xludf.DUMMYFUNCTION("""COMPUTED_VALUE"""),"12.9083/77.5346")</f>
        <v>12.9083/77.5346</v>
      </c>
      <c r="H1405" s="1" t="str">
        <f ca="1">IFERROR(__xludf.DUMMYFUNCTION("""COMPUTED_VALUE"""),"Kodipur")</f>
        <v>Kodipur</v>
      </c>
      <c r="I1405" s="1"/>
      <c r="J1405" s="1" t="str">
        <f ca="1">IFERROR(__xludf.DUMMYFUNCTION("""COMPUTED_VALUE"""),"0d 00h 02m")</f>
        <v>0d 00h 02m</v>
      </c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13.2">
      <c r="A1406" s="1">
        <f ca="1">IFERROR(__xludf.DUMMYFUNCTION("""COMPUTED_VALUE"""),53)</f>
        <v>53</v>
      </c>
      <c r="B1406" s="1" t="str">
        <f ca="1">IFERROR(__xludf.DUMMYFUNCTION("""COMPUTED_VALUE"""),"S1_KA04C5144_Jetting")</f>
        <v>S1_KA04C5144_Jetting</v>
      </c>
      <c r="C1406" s="1" t="str">
        <f ca="1">IFERROR(__xludf.DUMMYFUNCTION("""COMPUTED_VALUE"""),"s1_ka04c5144_jetting")</f>
        <v>s1_ka04c5144_jetting</v>
      </c>
      <c r="D1406" s="2">
        <f ca="1">IFERROR(__xludf.DUMMYFUNCTION("""COMPUTED_VALUE"""),44713)</f>
        <v>44713</v>
      </c>
      <c r="E1406" s="3">
        <f ca="1">IFERROR(__xludf.DUMMYFUNCTION("""COMPUTED_VALUE"""),0.708414351851388)</f>
        <v>0.70841435185138801</v>
      </c>
      <c r="F1406" s="1">
        <f ca="1">IFERROR(__xludf.DUMMYFUNCTION("""COMPUTED_VALUE"""),40268)</f>
        <v>40268</v>
      </c>
      <c r="G1406" s="1" t="str">
        <f ca="1">IFERROR(__xludf.DUMMYFUNCTION("""COMPUTED_VALUE"""),"12.9083/77.5346")</f>
        <v>12.9083/77.5346</v>
      </c>
      <c r="H1406" s="1" t="str">
        <f ca="1">IFERROR(__xludf.DUMMYFUNCTION("""COMPUTED_VALUE"""),"Kodipur")</f>
        <v>Kodipur</v>
      </c>
      <c r="I1406" s="1"/>
      <c r="J1406" s="1" t="str">
        <f ca="1">IFERROR(__xludf.DUMMYFUNCTION("""COMPUTED_VALUE"""),"0d 00h 03m")</f>
        <v>0d 00h 03m</v>
      </c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13.2">
      <c r="A1407" s="1">
        <f ca="1">IFERROR(__xludf.DUMMYFUNCTION("""COMPUTED_VALUE"""),52)</f>
        <v>52</v>
      </c>
      <c r="B1407" s="1" t="str">
        <f ca="1">IFERROR(__xludf.DUMMYFUNCTION("""COMPUTED_VALUE"""),"S1_KA04C5144_Jetting")</f>
        <v>S1_KA04C5144_Jetting</v>
      </c>
      <c r="C1407" s="1" t="str">
        <f ca="1">IFERROR(__xludf.DUMMYFUNCTION("""COMPUTED_VALUE"""),"s1_ka04c5144_jetting")</f>
        <v>s1_ka04c5144_jetting</v>
      </c>
      <c r="D1407" s="2">
        <f ca="1">IFERROR(__xludf.DUMMYFUNCTION("""COMPUTED_VALUE"""),44713)</f>
        <v>44713</v>
      </c>
      <c r="E1407" s="3">
        <f ca="1">IFERROR(__xludf.DUMMYFUNCTION("""COMPUTED_VALUE"""),0.708414351851388)</f>
        <v>0.70841435185138801</v>
      </c>
      <c r="F1407" s="1">
        <f ca="1">IFERROR(__xludf.DUMMYFUNCTION("""COMPUTED_VALUE"""),40268)</f>
        <v>40268</v>
      </c>
      <c r="G1407" s="1" t="str">
        <f ca="1">IFERROR(__xludf.DUMMYFUNCTION("""COMPUTED_VALUE"""),"12.9083/77.5346")</f>
        <v>12.9083/77.5346</v>
      </c>
      <c r="H1407" s="1" t="str">
        <f ca="1">IFERROR(__xludf.DUMMYFUNCTION("""COMPUTED_VALUE"""),"Kodipur")</f>
        <v>Kodipur</v>
      </c>
      <c r="I1407" s="1"/>
      <c r="J1407" s="1" t="str">
        <f ca="1">IFERROR(__xludf.DUMMYFUNCTION("""COMPUTED_VALUE"""),"0d 00h 04m")</f>
        <v>0d 00h 04m</v>
      </c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13.2">
      <c r="A1408" s="1">
        <f ca="1">IFERROR(__xludf.DUMMYFUNCTION("""COMPUTED_VALUE"""),133)</f>
        <v>133</v>
      </c>
      <c r="B1408" s="1" t="str">
        <f ca="1">IFERROR(__xludf.DUMMYFUNCTION("""COMPUTED_VALUE"""),"S1_KA04C5144_Jetting")</f>
        <v>S1_KA04C5144_Jetting</v>
      </c>
      <c r="C1408" s="1" t="str">
        <f ca="1">IFERROR(__xludf.DUMMYFUNCTION("""COMPUTED_VALUE"""),"s1_ka04c5144_jetting")</f>
        <v>s1_ka04c5144_jetting</v>
      </c>
      <c r="D1408" s="2">
        <f ca="1">IFERROR(__xludf.DUMMYFUNCTION("""COMPUTED_VALUE"""),44828)</f>
        <v>44828</v>
      </c>
      <c r="E1408" s="3">
        <f ca="1">IFERROR(__xludf.DUMMYFUNCTION("""COMPUTED_VALUE"""),0.58244212963109)</f>
        <v>0.58244212963108999</v>
      </c>
      <c r="F1408" s="1">
        <f ca="1">IFERROR(__xludf.DUMMYFUNCTION("""COMPUTED_VALUE"""),40677)</f>
        <v>40677</v>
      </c>
      <c r="G1408" s="1" t="str">
        <f ca="1">IFERROR(__xludf.DUMMYFUNCTION("""COMPUTED_VALUE"""),"12.9097/77.5348")</f>
        <v>12.9097/77.5348</v>
      </c>
      <c r="H1408" s="1" t="str">
        <f ca="1">IFERROR(__xludf.DUMMYFUNCTION("""COMPUTED_VALUE"""),"Kodipur")</f>
        <v>Kodipur</v>
      </c>
      <c r="I1408" s="1"/>
      <c r="J1408" s="1" t="str">
        <f ca="1">IFERROR(__xludf.DUMMYFUNCTION("""COMPUTED_VALUE"""),"0d 00h 05m")</f>
        <v>0d 00h 05m</v>
      </c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13.2">
      <c r="A1409" s="1">
        <f ca="1">IFERROR(__xludf.DUMMYFUNCTION("""COMPUTED_VALUE"""),122)</f>
        <v>122</v>
      </c>
      <c r="B1409" s="1" t="str">
        <f ca="1">IFERROR(__xludf.DUMMYFUNCTION("""COMPUTED_VALUE"""),"S1_KA04C5144_Jetting")</f>
        <v>S1_KA04C5144_Jetting</v>
      </c>
      <c r="C1409" s="1" t="str">
        <f ca="1">IFERROR(__xludf.DUMMYFUNCTION("""COMPUTED_VALUE"""),"s1_ka04c5144_jetting")</f>
        <v>s1_ka04c5144_jetting</v>
      </c>
      <c r="D1409" s="2">
        <f ca="1">IFERROR(__xludf.DUMMYFUNCTION("""COMPUTED_VALUE"""),44860)</f>
        <v>44860</v>
      </c>
      <c r="E1409" s="3">
        <f ca="1">IFERROR(__xludf.DUMMYFUNCTION("""COMPUTED_VALUE"""),0.422418981481314)</f>
        <v>0.42241898148131402</v>
      </c>
      <c r="F1409" s="1">
        <f ca="1">IFERROR(__xludf.DUMMYFUNCTION("""COMPUTED_VALUE"""),40680)</f>
        <v>40680</v>
      </c>
      <c r="G1409" s="1" t="str">
        <f ca="1">IFERROR(__xludf.DUMMYFUNCTION("""COMPUTED_VALUE"""),"12.9130/77.5489")</f>
        <v>12.9130/77.5489</v>
      </c>
      <c r="H1409" s="1" t="str">
        <f ca="1">IFERROR(__xludf.DUMMYFUNCTION("""COMPUTED_VALUE"""),"Chikalsandra")</f>
        <v>Chikalsandra</v>
      </c>
      <c r="I1409" s="1"/>
      <c r="J1409" s="1" t="str">
        <f ca="1">IFERROR(__xludf.DUMMYFUNCTION("""COMPUTED_VALUE"""),"0d 00h 05m")</f>
        <v>0d 00h 05m</v>
      </c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13.2">
      <c r="A1410" s="1">
        <f ca="1">IFERROR(__xludf.DUMMYFUNCTION("""COMPUTED_VALUE"""),182)</f>
        <v>182</v>
      </c>
      <c r="B1410" s="1" t="str">
        <f ca="1">IFERROR(__xludf.DUMMYFUNCTION("""COMPUTED_VALUE"""),"S1_KA04D4270_Jetting")</f>
        <v>S1_KA04D4270_Jetting</v>
      </c>
      <c r="C1410" s="1" t="str">
        <f ca="1">IFERROR(__xludf.DUMMYFUNCTION("""COMPUTED_VALUE"""),"s1_ka04d4270_jetting")</f>
        <v>s1_ka04d4270_jetting</v>
      </c>
      <c r="D1410" s="2">
        <f ca="1">IFERROR(__xludf.DUMMYFUNCTION("""COMPUTED_VALUE"""),44707)</f>
        <v>44707</v>
      </c>
      <c r="E1410" s="3">
        <f ca="1">IFERROR(__xludf.DUMMYFUNCTION("""COMPUTED_VALUE"""),0.999085648149048)</f>
        <v>0.99908564814904799</v>
      </c>
      <c r="F1410" s="1">
        <f ca="1">IFERROR(__xludf.DUMMYFUNCTION("""COMPUTED_VALUE"""),61884)</f>
        <v>61884</v>
      </c>
      <c r="G1410" s="1" t="str">
        <f ca="1">IFERROR(__xludf.DUMMYFUNCTION("""COMPUTED_VALUE"""),"12.9091/77.5625")</f>
        <v>12.9091/77.5625</v>
      </c>
      <c r="H1410" s="1" t="str">
        <f ca="1">IFERROR(__xludf.DUMMYFUNCTION("""COMPUTED_VALUE"""),"Kumaraswamy Layout")</f>
        <v>Kumaraswamy Layout</v>
      </c>
      <c r="I1410" s="1"/>
      <c r="J1410" s="1" t="str">
        <f ca="1">IFERROR(__xludf.DUMMYFUNCTION("""COMPUTED_VALUE"""),"0d 00h 00m")</f>
        <v>0d 00h 00m</v>
      </c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13.2">
      <c r="A1411" s="1">
        <f ca="1">IFERROR(__xludf.DUMMYFUNCTION("""COMPUTED_VALUE"""),157)</f>
        <v>157</v>
      </c>
      <c r="B1411" s="1" t="str">
        <f ca="1">IFERROR(__xludf.DUMMYFUNCTION("""COMPUTED_VALUE"""),"S1_KA04D4270_Jetting")</f>
        <v>S1_KA04D4270_Jetting</v>
      </c>
      <c r="C1411" s="1" t="str">
        <f ca="1">IFERROR(__xludf.DUMMYFUNCTION("""COMPUTED_VALUE"""),"s1_ka04d4270_jetting")</f>
        <v>s1_ka04d4270_jetting</v>
      </c>
      <c r="D1411" s="2">
        <f ca="1">IFERROR(__xludf.DUMMYFUNCTION("""COMPUTED_VALUE"""),44738)</f>
        <v>44738</v>
      </c>
      <c r="E1411" s="3">
        <f ca="1">IFERROR(__xludf.DUMMYFUNCTION("""COMPUTED_VALUE"""),0.99748842592453)</f>
        <v>0.99748842592453002</v>
      </c>
      <c r="F1411" s="1">
        <f ca="1">IFERROR(__xludf.DUMMYFUNCTION("""COMPUTED_VALUE"""),62980)</f>
        <v>62980</v>
      </c>
      <c r="G1411" s="1" t="str">
        <f ca="1">IFERROR(__xludf.DUMMYFUNCTION("""COMPUTED_VALUE"""),"12.9089/77.5624")</f>
        <v>12.9089/77.5624</v>
      </c>
      <c r="H1411" s="1" t="str">
        <f ca="1">IFERROR(__xludf.DUMMYFUNCTION("""COMPUTED_VALUE"""),"Kumaraswamy Layout")</f>
        <v>Kumaraswamy Layout</v>
      </c>
      <c r="I1411" s="1"/>
      <c r="J1411" s="1" t="str">
        <f ca="1">IFERROR(__xludf.DUMMYFUNCTION("""COMPUTED_VALUE"""),"0d 00h 00m")</f>
        <v>0d 00h 00m</v>
      </c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13.2">
      <c r="A1412" s="1">
        <f ca="1">IFERROR(__xludf.DUMMYFUNCTION("""COMPUTED_VALUE"""),169)</f>
        <v>169</v>
      </c>
      <c r="B1412" s="1" t="str">
        <f ca="1">IFERROR(__xludf.DUMMYFUNCTION("""COMPUTED_VALUE"""),"S1_KA04D4270_Jetting")</f>
        <v>S1_KA04D4270_Jetting</v>
      </c>
      <c r="C1412" s="1" t="str">
        <f ca="1">IFERROR(__xludf.DUMMYFUNCTION("""COMPUTED_VALUE"""),"s1_ka04d4270_jetting")</f>
        <v>s1_ka04d4270_jetting</v>
      </c>
      <c r="D1412" s="2">
        <f ca="1">IFERROR(__xludf.DUMMYFUNCTION("""COMPUTED_VALUE"""),44768)</f>
        <v>44768</v>
      </c>
      <c r="E1412" s="3">
        <f ca="1">IFERROR(__xludf.DUMMYFUNCTION("""COMPUTED_VALUE"""),0.998981481479859)</f>
        <v>0.99898148147985899</v>
      </c>
      <c r="F1412" s="1">
        <f ca="1">IFERROR(__xludf.DUMMYFUNCTION("""COMPUTED_VALUE"""),63565)</f>
        <v>63565</v>
      </c>
      <c r="G1412" s="1" t="str">
        <f ca="1">IFERROR(__xludf.DUMMYFUNCTION("""COMPUTED_VALUE"""),"12.9090/77.5624")</f>
        <v>12.9090/77.5624</v>
      </c>
      <c r="H1412" s="1" t="str">
        <f ca="1">IFERROR(__xludf.DUMMYFUNCTION("""COMPUTED_VALUE"""),"Kumaraswamy Layout")</f>
        <v>Kumaraswamy Layout</v>
      </c>
      <c r="I1412" s="1"/>
      <c r="J1412" s="1" t="str">
        <f ca="1">IFERROR(__xludf.DUMMYFUNCTION("""COMPUTED_VALUE"""),"0d 00h 00m")</f>
        <v>0d 00h 00m</v>
      </c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13.2">
      <c r="A1413" s="1">
        <f ca="1">IFERROR(__xludf.DUMMYFUNCTION("""COMPUTED_VALUE"""),198)</f>
        <v>198</v>
      </c>
      <c r="B1413" s="1" t="str">
        <f ca="1">IFERROR(__xludf.DUMMYFUNCTION("""COMPUTED_VALUE"""),"S1_KA04D4270_Jetting")</f>
        <v>S1_KA04D4270_Jetting</v>
      </c>
      <c r="C1413" s="1" t="str">
        <f ca="1">IFERROR(__xludf.DUMMYFUNCTION("""COMPUTED_VALUE"""),"s1_ka04d4270_jetting")</f>
        <v>s1_ka04d4270_jetting</v>
      </c>
      <c r="D1413" s="2">
        <f ca="1">IFERROR(__xludf.DUMMYFUNCTION("""COMPUTED_VALUE"""),44799)</f>
        <v>44799</v>
      </c>
      <c r="E1413" s="3">
        <f ca="1">IFERROR(__xludf.DUMMYFUNCTION("""COMPUTED_VALUE"""),0.999097222222189)</f>
        <v>0.999097222222189</v>
      </c>
      <c r="F1413" s="1">
        <f ca="1">IFERROR(__xludf.DUMMYFUNCTION("""COMPUTED_VALUE"""),63892)</f>
        <v>63892</v>
      </c>
      <c r="G1413" s="1" t="str">
        <f ca="1">IFERROR(__xludf.DUMMYFUNCTION("""COMPUTED_VALUE"""),"12.9090/77.5624")</f>
        <v>12.9090/77.5624</v>
      </c>
      <c r="H1413" s="1" t="str">
        <f ca="1">IFERROR(__xludf.DUMMYFUNCTION("""COMPUTED_VALUE"""),"Kumaraswamy Layout")</f>
        <v>Kumaraswamy Layout</v>
      </c>
      <c r="I1413" s="1"/>
      <c r="J1413" s="1" t="str">
        <f ca="1">IFERROR(__xludf.DUMMYFUNCTION("""COMPUTED_VALUE"""),"0d 00h 00m")</f>
        <v>0d 00h 00m</v>
      </c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13.2">
      <c r="A1414" s="1">
        <f ca="1">IFERROR(__xludf.DUMMYFUNCTION("""COMPUTED_VALUE"""),175)</f>
        <v>175</v>
      </c>
      <c r="B1414" s="1" t="str">
        <f ca="1">IFERROR(__xludf.DUMMYFUNCTION("""COMPUTED_VALUE"""),"S1_KA04D4270_Jetting")</f>
        <v>S1_KA04D4270_Jetting</v>
      </c>
      <c r="C1414" s="1" t="str">
        <f ca="1">IFERROR(__xludf.DUMMYFUNCTION("""COMPUTED_VALUE"""),"s1_ka04d4270_jetting")</f>
        <v>s1_ka04d4270_jetting</v>
      </c>
      <c r="D1414" s="2">
        <f ca="1">IFERROR(__xludf.DUMMYFUNCTION("""COMPUTED_VALUE"""),44830)</f>
        <v>44830</v>
      </c>
      <c r="E1414" s="3">
        <f ca="1">IFERROR(__xludf.DUMMYFUNCTION("""COMPUTED_VALUE"""),0.999039351852843)</f>
        <v>0.99903935185284298</v>
      </c>
      <c r="F1414" s="1">
        <f ca="1">IFERROR(__xludf.DUMMYFUNCTION("""COMPUTED_VALUE"""),64719)</f>
        <v>64719</v>
      </c>
      <c r="G1414" s="1" t="str">
        <f ca="1">IFERROR(__xludf.DUMMYFUNCTION("""COMPUTED_VALUE"""),"12.9095/77.5626")</f>
        <v>12.9095/77.5626</v>
      </c>
      <c r="H1414" s="1" t="str">
        <f ca="1">IFERROR(__xludf.DUMMYFUNCTION("""COMPUTED_VALUE"""),"Bendre")</f>
        <v>Bendre</v>
      </c>
      <c r="I1414" s="1"/>
      <c r="J1414" s="1" t="str">
        <f ca="1">IFERROR(__xludf.DUMMYFUNCTION("""COMPUTED_VALUE"""),"0d 00h 00m")</f>
        <v>0d 00h 00m</v>
      </c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13.2">
      <c r="A1415" s="1">
        <f ca="1">IFERROR(__xludf.DUMMYFUNCTION("""COMPUTED_VALUE"""),169)</f>
        <v>169</v>
      </c>
      <c r="B1415" s="1" t="str">
        <f ca="1">IFERROR(__xludf.DUMMYFUNCTION("""COMPUTED_VALUE"""),"S1_KA04D4270_Jetting")</f>
        <v>S1_KA04D4270_Jetting</v>
      </c>
      <c r="C1415" s="1" t="str">
        <f ca="1">IFERROR(__xludf.DUMMYFUNCTION("""COMPUTED_VALUE"""),"s1_ka04d4270_jetting")</f>
        <v>s1_ka04d4270_jetting</v>
      </c>
      <c r="D1415" s="2">
        <f ca="1">IFERROR(__xludf.DUMMYFUNCTION("""COMPUTED_VALUE"""),44860)</f>
        <v>44860</v>
      </c>
      <c r="E1415" s="3">
        <f ca="1">IFERROR(__xludf.DUMMYFUNCTION("""COMPUTED_VALUE"""),0.999016203702922)</f>
        <v>0.99901620370292199</v>
      </c>
      <c r="F1415" s="1">
        <f ca="1">IFERROR(__xludf.DUMMYFUNCTION("""COMPUTED_VALUE"""),65985)</f>
        <v>65985</v>
      </c>
      <c r="G1415" s="1" t="str">
        <f ca="1">IFERROR(__xludf.DUMMYFUNCTION("""COMPUTED_VALUE"""),"12.9091/77.5625")</f>
        <v>12.9091/77.5625</v>
      </c>
      <c r="H1415" s="1" t="str">
        <f ca="1">IFERROR(__xludf.DUMMYFUNCTION("""COMPUTED_VALUE"""),"Kumaraswamy Layout")</f>
        <v>Kumaraswamy Layout</v>
      </c>
      <c r="I1415" s="1"/>
      <c r="J1415" s="1" t="str">
        <f ca="1">IFERROR(__xludf.DUMMYFUNCTION("""COMPUTED_VALUE"""),"0d 00h 00m")</f>
        <v>0d 00h 00m</v>
      </c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13.2">
      <c r="A1416" s="1">
        <f ca="1">IFERROR(__xludf.DUMMYFUNCTION("""COMPUTED_VALUE"""),165)</f>
        <v>165</v>
      </c>
      <c r="B1416" s="1" t="str">
        <f ca="1">IFERROR(__xludf.DUMMYFUNCTION("""COMPUTED_VALUE"""),"S1_KA04D5233_Tanker")</f>
        <v>S1_KA04D5233_Tanker</v>
      </c>
      <c r="C1416" s="1" t="str">
        <f ca="1">IFERROR(__xludf.DUMMYFUNCTION("""COMPUTED_VALUE"""),"s1_ka04d5233_tanker")</f>
        <v>s1_ka04d5233_tanker</v>
      </c>
      <c r="D1416" s="2">
        <f ca="1">IFERROR(__xludf.DUMMYFUNCTION("""COMPUTED_VALUE"""),44707)</f>
        <v>44707</v>
      </c>
      <c r="E1416" s="3">
        <f ca="1">IFERROR(__xludf.DUMMYFUNCTION("""COMPUTED_VALUE"""),0.99900462962978)</f>
        <v>0.99900462962977998</v>
      </c>
      <c r="F1416" s="1">
        <f ca="1">IFERROR(__xludf.DUMMYFUNCTION("""COMPUTED_VALUE"""),70035)</f>
        <v>70035</v>
      </c>
      <c r="G1416" s="1" t="str">
        <f ca="1">IFERROR(__xludf.DUMMYFUNCTION("""COMPUTED_VALUE"""),"12.9082/77.5349")</f>
        <v>12.9082/77.5349</v>
      </c>
      <c r="H1416" s="1" t="str">
        <f ca="1">IFERROR(__xludf.DUMMYFUNCTION("""COMPUTED_VALUE"""),"Kodipur")</f>
        <v>Kodipur</v>
      </c>
      <c r="I1416" s="1"/>
      <c r="J1416" s="1" t="str">
        <f ca="1">IFERROR(__xludf.DUMMYFUNCTION("""COMPUTED_VALUE"""),"0d 00h 00m")</f>
        <v>0d 00h 00m</v>
      </c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13.2">
      <c r="A1417" s="1">
        <f ca="1">IFERROR(__xludf.DUMMYFUNCTION("""COMPUTED_VALUE"""),191)</f>
        <v>191</v>
      </c>
      <c r="B1417" s="1" t="str">
        <f ca="1">IFERROR(__xludf.DUMMYFUNCTION("""COMPUTED_VALUE"""),"S1_KA04D5233_Tanker")</f>
        <v>S1_KA04D5233_Tanker</v>
      </c>
      <c r="C1417" s="1" t="str">
        <f ca="1">IFERROR(__xludf.DUMMYFUNCTION("""COMPUTED_VALUE"""),"s1_ka04d5233_tanker")</f>
        <v>s1_ka04d5233_tanker</v>
      </c>
      <c r="D1417" s="2">
        <f ca="1">IFERROR(__xludf.DUMMYFUNCTION("""COMPUTED_VALUE"""),44738)</f>
        <v>44738</v>
      </c>
      <c r="E1417" s="3">
        <f ca="1">IFERROR(__xludf.DUMMYFUNCTION("""COMPUTED_VALUE"""),0.999120370372111)</f>
        <v>0.99912037037211099</v>
      </c>
      <c r="F1417" s="1">
        <f ca="1">IFERROR(__xludf.DUMMYFUNCTION("""COMPUTED_VALUE"""),71099)</f>
        <v>71099</v>
      </c>
      <c r="G1417" s="1" t="str">
        <f ca="1">IFERROR(__xludf.DUMMYFUNCTION("""COMPUTED_VALUE"""),"12.9079/77.5348")</f>
        <v>12.9079/77.5348</v>
      </c>
      <c r="H1417" s="1" t="str">
        <f ca="1">IFERROR(__xludf.DUMMYFUNCTION("""COMPUTED_VALUE"""),"Kodipur")</f>
        <v>Kodipur</v>
      </c>
      <c r="I1417" s="1"/>
      <c r="J1417" s="1" t="str">
        <f ca="1">IFERROR(__xludf.DUMMYFUNCTION("""COMPUTED_VALUE"""),"0d 00h 00m")</f>
        <v>0d 00h 00m</v>
      </c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13.2">
      <c r="A1418" s="1">
        <f ca="1">IFERROR(__xludf.DUMMYFUNCTION("""COMPUTED_VALUE"""),209)</f>
        <v>209</v>
      </c>
      <c r="B1418" s="1" t="str">
        <f ca="1">IFERROR(__xludf.DUMMYFUNCTION("""COMPUTED_VALUE"""),"S1_KA04D5233_Tanker")</f>
        <v>S1_KA04D5233_Tanker</v>
      </c>
      <c r="C1418" s="1" t="str">
        <f ca="1">IFERROR(__xludf.DUMMYFUNCTION("""COMPUTED_VALUE"""),"s1_ka04d5233_tanker")</f>
        <v>s1_ka04d5233_tanker</v>
      </c>
      <c r="D1418" s="2">
        <f ca="1">IFERROR(__xludf.DUMMYFUNCTION("""COMPUTED_VALUE"""),44768)</f>
        <v>44768</v>
      </c>
      <c r="E1418" s="3">
        <f ca="1">IFERROR(__xludf.DUMMYFUNCTION("""COMPUTED_VALUE"""),0.999189814814599)</f>
        <v>0.99918981481459901</v>
      </c>
      <c r="F1418" s="1">
        <f ca="1">IFERROR(__xludf.DUMMYFUNCTION("""COMPUTED_VALUE"""),72229)</f>
        <v>72229</v>
      </c>
      <c r="G1418" s="1" t="str">
        <f ca="1">IFERROR(__xludf.DUMMYFUNCTION("""COMPUTED_VALUE"""),"12.9081/77.5348")</f>
        <v>12.9081/77.5348</v>
      </c>
      <c r="H1418" s="1" t="str">
        <f ca="1">IFERROR(__xludf.DUMMYFUNCTION("""COMPUTED_VALUE"""),"Kodipur")</f>
        <v>Kodipur</v>
      </c>
      <c r="I1418" s="1"/>
      <c r="J1418" s="1" t="str">
        <f ca="1">IFERROR(__xludf.DUMMYFUNCTION("""COMPUTED_VALUE"""),"0d 00h 00m")</f>
        <v>0d 00h 00m</v>
      </c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13.2">
      <c r="A1419" s="1">
        <f ca="1">IFERROR(__xludf.DUMMYFUNCTION("""COMPUTED_VALUE"""),152)</f>
        <v>152</v>
      </c>
      <c r="B1419" s="1" t="str">
        <f ca="1">IFERROR(__xludf.DUMMYFUNCTION("""COMPUTED_VALUE"""),"S1_KA04D5233_Tanker")</f>
        <v>S1_KA04D5233_Tanker</v>
      </c>
      <c r="C1419" s="1" t="str">
        <f ca="1">IFERROR(__xludf.DUMMYFUNCTION("""COMPUTED_VALUE"""),"s1_ka04d5233_tanker")</f>
        <v>s1_ka04d5233_tanker</v>
      </c>
      <c r="D1419" s="2">
        <f ca="1">IFERROR(__xludf.DUMMYFUNCTION("""COMPUTED_VALUE"""),44799)</f>
        <v>44799</v>
      </c>
      <c r="E1419" s="3">
        <f ca="1">IFERROR(__xludf.DUMMYFUNCTION("""COMPUTED_VALUE"""),0.719131944442779)</f>
        <v>0.71913194444277895</v>
      </c>
      <c r="F1419" s="1">
        <f ca="1">IFERROR(__xludf.DUMMYFUNCTION("""COMPUTED_VALUE"""),72326)</f>
        <v>72326</v>
      </c>
      <c r="G1419" s="1" t="str">
        <f ca="1">IFERROR(__xludf.DUMMYFUNCTION("""COMPUTED_VALUE"""),"12.9082/77.5349")</f>
        <v>12.9082/77.5349</v>
      </c>
      <c r="H1419" s="1" t="str">
        <f ca="1">IFERROR(__xludf.DUMMYFUNCTION("""COMPUTED_VALUE"""),"Kodipur")</f>
        <v>Kodipur</v>
      </c>
      <c r="I1419" s="1"/>
      <c r="J1419" s="1" t="str">
        <f ca="1">IFERROR(__xludf.DUMMYFUNCTION("""COMPUTED_VALUE"""),"0d 00h 00m")</f>
        <v>0d 00h 00m</v>
      </c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13.2">
      <c r="A1420" s="1">
        <f ca="1">IFERROR(__xludf.DUMMYFUNCTION("""COMPUTED_VALUE"""),84)</f>
        <v>84</v>
      </c>
      <c r="B1420" s="1" t="str">
        <f ca="1">IFERROR(__xludf.DUMMYFUNCTION("""COMPUTED_VALUE"""),"S1_KA04D5233_Tanker")</f>
        <v>S1_KA04D5233_Tanker</v>
      </c>
      <c r="C1420" s="1" t="str">
        <f ca="1">IFERROR(__xludf.DUMMYFUNCTION("""COMPUTED_VALUE"""),"s1_ka04d5233_tanker")</f>
        <v>s1_ka04d5233_tanker</v>
      </c>
      <c r="D1420" s="2">
        <f ca="1">IFERROR(__xludf.DUMMYFUNCTION("""COMPUTED_VALUE"""),44802)</f>
        <v>44802</v>
      </c>
      <c r="E1420" s="3">
        <f ca="1">IFERROR(__xludf.DUMMYFUNCTION("""COMPUTED_VALUE"""),0.528668981482042)</f>
        <v>0.528668981482042</v>
      </c>
      <c r="F1420" s="1">
        <f ca="1">IFERROR(__xludf.DUMMYFUNCTION("""COMPUTED_VALUE"""),72333)</f>
        <v>72333</v>
      </c>
      <c r="G1420" s="1" t="str">
        <f ca="1">IFERROR(__xludf.DUMMYFUNCTION("""COMPUTED_VALUE"""),"12.9089/77.5729")</f>
        <v>12.9089/77.5729</v>
      </c>
      <c r="H1420" s="1" t="str">
        <f ca="1">IFERROR(__xludf.DUMMYFUNCTION("""COMPUTED_VALUE"""),"Kanakapura Road")</f>
        <v>Kanakapura Road</v>
      </c>
      <c r="I1420" s="1"/>
      <c r="J1420" s="1" t="str">
        <f ca="1">IFERROR(__xludf.DUMMYFUNCTION("""COMPUTED_VALUE"""),"0d 00h 00m")</f>
        <v>0d 00h 00m</v>
      </c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13.2">
      <c r="A1421" s="1">
        <f ca="1">IFERROR(__xludf.DUMMYFUNCTION("""COMPUTED_VALUE"""),81)</f>
        <v>81</v>
      </c>
      <c r="B1421" s="1" t="str">
        <f ca="1">IFERROR(__xludf.DUMMYFUNCTION("""COMPUTED_VALUE"""),"S1_KA04D5233_Tanker")</f>
        <v>S1_KA04D5233_Tanker</v>
      </c>
      <c r="C1421" s="1" t="str">
        <f ca="1">IFERROR(__xludf.DUMMYFUNCTION("""COMPUTED_VALUE"""),"s1_ka04d5233_tanker")</f>
        <v>s1_ka04d5233_tanker</v>
      </c>
      <c r="D1421" s="2">
        <f ca="1">IFERROR(__xludf.DUMMYFUNCTION("""COMPUTED_VALUE"""),44843)</f>
        <v>44843</v>
      </c>
      <c r="E1421" s="3">
        <f ca="1">IFERROR(__xludf.DUMMYFUNCTION("""COMPUTED_VALUE"""),0.730960648146719)</f>
        <v>0.73096064814671902</v>
      </c>
      <c r="F1421" s="1">
        <f ca="1">IFERROR(__xludf.DUMMYFUNCTION("""COMPUTED_VALUE"""),72345)</f>
        <v>72345</v>
      </c>
      <c r="G1421" s="1" t="str">
        <f ca="1">IFERROR(__xludf.DUMMYFUNCTION("""COMPUTED_VALUE"""),"12.9081/77.5347")</f>
        <v>12.9081/77.5347</v>
      </c>
      <c r="H1421" s="1" t="str">
        <f ca="1">IFERROR(__xludf.DUMMYFUNCTION("""COMPUTED_VALUE"""),"Kodipur")</f>
        <v>Kodipur</v>
      </c>
      <c r="I1421" s="1"/>
      <c r="J1421" s="1" t="str">
        <f ca="1">IFERROR(__xludf.DUMMYFUNCTION("""COMPUTED_VALUE"""),"0d 00h 00m")</f>
        <v>0d 00h 00m</v>
      </c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13.2">
      <c r="A1422" s="1">
        <f ca="1">IFERROR(__xludf.DUMMYFUNCTION("""COMPUTED_VALUE"""),158)</f>
        <v>158</v>
      </c>
      <c r="B1422" s="1" t="str">
        <f ca="1">IFERROR(__xludf.DUMMYFUNCTION("""COMPUTED_VALUE"""),"S1_KA04D5428_Tanker")</f>
        <v>S1_KA04D5428_Tanker</v>
      </c>
      <c r="C1422" s="1" t="str">
        <f ca="1">IFERROR(__xludf.DUMMYFUNCTION("""COMPUTED_VALUE"""),"s1_ka04d5428_tanker")</f>
        <v>s1_ka04d5428_tanker</v>
      </c>
      <c r="D1422" s="2">
        <f ca="1">IFERROR(__xludf.DUMMYFUNCTION("""COMPUTED_VALUE"""),44707)</f>
        <v>44707</v>
      </c>
      <c r="E1422" s="3">
        <f ca="1">IFERROR(__xludf.DUMMYFUNCTION("""COMPUTED_VALUE"""),0.998993055556638)</f>
        <v>0.99899305555663798</v>
      </c>
      <c r="F1422" s="1">
        <f ca="1">IFERROR(__xludf.DUMMYFUNCTION("""COMPUTED_VALUE"""),37167)</f>
        <v>37167</v>
      </c>
      <c r="G1422" s="1" t="str">
        <f ca="1">IFERROR(__xludf.DUMMYFUNCTION("""COMPUTED_VALUE"""),"12.9114/77.6470")</f>
        <v>12.9114/77.6470</v>
      </c>
      <c r="H1422" s="1" t="str">
        <f ca="1">IFERROR(__xludf.DUMMYFUNCTION("""COMPUTED_VALUE"""),"HSR Club")</f>
        <v>HSR Club</v>
      </c>
      <c r="I1422" s="1"/>
      <c r="J1422" s="1" t="str">
        <f ca="1">IFERROR(__xludf.DUMMYFUNCTION("""COMPUTED_VALUE"""),"0d 00h 00m")</f>
        <v>0d 00h 00m</v>
      </c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13.2">
      <c r="A1423" s="1">
        <f ca="1">IFERROR(__xludf.DUMMYFUNCTION("""COMPUTED_VALUE"""),203)</f>
        <v>203</v>
      </c>
      <c r="B1423" s="1" t="str">
        <f ca="1">IFERROR(__xludf.DUMMYFUNCTION("""COMPUTED_VALUE"""),"S1_KA04D5428_Tanker")</f>
        <v>S1_KA04D5428_Tanker</v>
      </c>
      <c r="C1423" s="1" t="str">
        <f ca="1">IFERROR(__xludf.DUMMYFUNCTION("""COMPUTED_VALUE"""),"s1_ka04d5428_tanker")</f>
        <v>s1_ka04d5428_tanker</v>
      </c>
      <c r="D1423" s="2">
        <f ca="1">IFERROR(__xludf.DUMMYFUNCTION("""COMPUTED_VALUE"""),44738)</f>
        <v>44738</v>
      </c>
      <c r="E1423" s="3">
        <f ca="1">IFERROR(__xludf.DUMMYFUNCTION("""COMPUTED_VALUE"""),0.999178240741457)</f>
        <v>0.999178240741457</v>
      </c>
      <c r="F1423" s="1">
        <f ca="1">IFERROR(__xludf.DUMMYFUNCTION("""COMPUTED_VALUE"""),37924)</f>
        <v>37924</v>
      </c>
      <c r="G1423" s="1" t="str">
        <f ca="1">IFERROR(__xludf.DUMMYFUNCTION("""COMPUTED_VALUE"""),"12.9113/77.6467")</f>
        <v>12.9113/77.6467</v>
      </c>
      <c r="H1423" s="1" t="str">
        <f ca="1">IFERROR(__xludf.DUMMYFUNCTION("""COMPUTED_VALUE"""),"HSR Club")</f>
        <v>HSR Club</v>
      </c>
      <c r="I1423" s="1"/>
      <c r="J1423" s="1" t="str">
        <f ca="1">IFERROR(__xludf.DUMMYFUNCTION("""COMPUTED_VALUE"""),"0d 00h 00m")</f>
        <v>0d 00h 00m</v>
      </c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13.2">
      <c r="A1424" s="1">
        <f ca="1">IFERROR(__xludf.DUMMYFUNCTION("""COMPUTED_VALUE"""),122)</f>
        <v>122</v>
      </c>
      <c r="B1424" s="1" t="str">
        <f ca="1">IFERROR(__xludf.DUMMYFUNCTION("""COMPUTED_VALUE"""),"S1_KA04D5428_Tanker")</f>
        <v>S1_KA04D5428_Tanker</v>
      </c>
      <c r="C1424" s="1" t="str">
        <f ca="1">IFERROR(__xludf.DUMMYFUNCTION("""COMPUTED_VALUE"""),"s1_ka04d5428_tanker")</f>
        <v>s1_ka04d5428_tanker</v>
      </c>
      <c r="D1424" s="2">
        <f ca="1">IFERROR(__xludf.DUMMYFUNCTION("""COMPUTED_VALUE"""),44765)</f>
        <v>44765</v>
      </c>
      <c r="E1424" s="3">
        <f ca="1">IFERROR(__xludf.DUMMYFUNCTION("""COMPUTED_VALUE"""),0.833263888889632)</f>
        <v>0.83326388888963199</v>
      </c>
      <c r="F1424" s="1">
        <f ca="1">IFERROR(__xludf.DUMMYFUNCTION("""COMPUTED_VALUE"""),38312)</f>
        <v>38312</v>
      </c>
      <c r="G1424" s="1" t="str">
        <f ca="1">IFERROR(__xludf.DUMMYFUNCTION("""COMPUTED_VALUE"""),"12.9114/77.6466")</f>
        <v>12.9114/77.6466</v>
      </c>
      <c r="H1424" s="1" t="str">
        <f ca="1">IFERROR(__xludf.DUMMYFUNCTION("""COMPUTED_VALUE"""),"HSR Club")</f>
        <v>HSR Club</v>
      </c>
      <c r="I1424" s="1"/>
      <c r="J1424" s="1" t="str">
        <f ca="1">IFERROR(__xludf.DUMMYFUNCTION("""COMPUTED_VALUE"""),"0d 00h 00m")</f>
        <v>0d 00h 00m</v>
      </c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13.2">
      <c r="A1425" s="1">
        <f ca="1">IFERROR(__xludf.DUMMYFUNCTION("""COMPUTED_VALUE"""),179)</f>
        <v>179</v>
      </c>
      <c r="B1425" s="1" t="str">
        <f ca="1">IFERROR(__xludf.DUMMYFUNCTION("""COMPUTED_VALUE"""),"S1_KA04D5428_Tanker")</f>
        <v>S1_KA04D5428_Tanker</v>
      </c>
      <c r="C1425" s="1" t="str">
        <f ca="1">IFERROR(__xludf.DUMMYFUNCTION("""COMPUTED_VALUE"""),"s1_ka04d5428_tanker")</f>
        <v>s1_ka04d5428_tanker</v>
      </c>
      <c r="D1425" s="2">
        <f ca="1">IFERROR(__xludf.DUMMYFUNCTION("""COMPUTED_VALUE"""),44799)</f>
        <v>44799</v>
      </c>
      <c r="E1425" s="3">
        <f ca="1">IFERROR(__xludf.DUMMYFUNCTION("""COMPUTED_VALUE"""),0.999027777776063)</f>
        <v>0.999027777776063</v>
      </c>
      <c r="F1425" s="1">
        <f ca="1">IFERROR(__xludf.DUMMYFUNCTION("""COMPUTED_VALUE"""),38353)</f>
        <v>38353</v>
      </c>
      <c r="G1425" s="1" t="str">
        <f ca="1">IFERROR(__xludf.DUMMYFUNCTION("""COMPUTED_VALUE"""),"12.9116/77.6469")</f>
        <v>12.9116/77.6469</v>
      </c>
      <c r="H1425" s="1" t="str">
        <f ca="1">IFERROR(__xludf.DUMMYFUNCTION("""COMPUTED_VALUE"""),"HSR Club")</f>
        <v>HSR Club</v>
      </c>
      <c r="I1425" s="1"/>
      <c r="J1425" s="1" t="str">
        <f ca="1">IFERROR(__xludf.DUMMYFUNCTION("""COMPUTED_VALUE"""),"0d 00h 00m")</f>
        <v>0d 00h 00m</v>
      </c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13.2">
      <c r="A1426" s="1">
        <f ca="1">IFERROR(__xludf.DUMMYFUNCTION("""COMPUTED_VALUE"""),118)</f>
        <v>118</v>
      </c>
      <c r="B1426" s="1" t="str">
        <f ca="1">IFERROR(__xludf.DUMMYFUNCTION("""COMPUTED_VALUE"""),"S1_KA04D5428_Tanker")</f>
        <v>S1_KA04D5428_Tanker</v>
      </c>
      <c r="C1426" s="1" t="str">
        <f ca="1">IFERROR(__xludf.DUMMYFUNCTION("""COMPUTED_VALUE"""),"s1_ka04d5428_tanker")</f>
        <v>s1_ka04d5428_tanker</v>
      </c>
      <c r="D1426" s="2">
        <f ca="1">IFERROR(__xludf.DUMMYFUNCTION("""COMPUTED_VALUE"""),44826)</f>
        <v>44826</v>
      </c>
      <c r="E1426" s="3">
        <f ca="1">IFERROR(__xludf.DUMMYFUNCTION("""COMPUTED_VALUE"""),0.384201388889778)</f>
        <v>0.38420138888977801</v>
      </c>
      <c r="F1426" s="1">
        <f ca="1">IFERROR(__xludf.DUMMYFUNCTION("""COMPUTED_VALUE"""),38643)</f>
        <v>38643</v>
      </c>
      <c r="G1426" s="1" t="str">
        <f ca="1">IFERROR(__xludf.DUMMYFUNCTION("""COMPUTED_VALUE"""),"12.9120/77.6465")</f>
        <v>12.9120/77.6465</v>
      </c>
      <c r="H1426" s="1" t="str">
        <f ca="1">IFERROR(__xludf.DUMMYFUNCTION("""COMPUTED_VALUE"""),"HSR Club")</f>
        <v>HSR Club</v>
      </c>
      <c r="I1426" s="1"/>
      <c r="J1426" s="1" t="str">
        <f ca="1">IFERROR(__xludf.DUMMYFUNCTION("""COMPUTED_VALUE"""),"0d 00h 00m")</f>
        <v>0d 00h 00m</v>
      </c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13.2">
      <c r="A1427" s="1">
        <f ca="1">IFERROR(__xludf.DUMMYFUNCTION("""COMPUTED_VALUE"""),71)</f>
        <v>71</v>
      </c>
      <c r="B1427" s="1" t="str">
        <f ca="1">IFERROR(__xludf.DUMMYFUNCTION("""COMPUTED_VALUE"""),"S1_KA04D5428_Tanker")</f>
        <v>S1_KA04D5428_Tanker</v>
      </c>
      <c r="C1427" s="1" t="str">
        <f ca="1">IFERROR(__xludf.DUMMYFUNCTION("""COMPUTED_VALUE"""),"s1_ka04d5428_tanker")</f>
        <v>s1_ka04d5428_tanker</v>
      </c>
      <c r="D1427" s="2">
        <f ca="1">IFERROR(__xludf.DUMMYFUNCTION("""COMPUTED_VALUE"""),44826)</f>
        <v>44826</v>
      </c>
      <c r="E1427" s="3">
        <f ca="1">IFERROR(__xludf.DUMMYFUNCTION("""COMPUTED_VALUE"""),0.384201388889778)</f>
        <v>0.38420138888977801</v>
      </c>
      <c r="F1427" s="1">
        <f ca="1">IFERROR(__xludf.DUMMYFUNCTION("""COMPUTED_VALUE"""),38643)</f>
        <v>38643</v>
      </c>
      <c r="G1427" s="1" t="str">
        <f ca="1">IFERROR(__xludf.DUMMYFUNCTION("""COMPUTED_VALUE"""),"12.9120/77.6465")</f>
        <v>12.9120/77.6465</v>
      </c>
      <c r="H1427" s="1" t="str">
        <f ca="1">IFERROR(__xludf.DUMMYFUNCTION("""COMPUTED_VALUE"""),"HSR Club")</f>
        <v>HSR Club</v>
      </c>
      <c r="I1427" s="1"/>
      <c r="J1427" s="1" t="str">
        <f ca="1">IFERROR(__xludf.DUMMYFUNCTION("""COMPUTED_VALUE"""),"0d 00h 00m")</f>
        <v>0d 00h 00m</v>
      </c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13.2">
      <c r="A1428" s="1">
        <f ca="1">IFERROR(__xludf.DUMMYFUNCTION("""COMPUTED_VALUE"""),222)</f>
        <v>222</v>
      </c>
      <c r="B1428" s="1" t="str">
        <f ca="1">IFERROR(__xludf.DUMMYFUNCTION("""COMPUTED_VALUE"""),"S1_KA05AD2936_Desilting")</f>
        <v>S1_KA05AD2936_Desilting</v>
      </c>
      <c r="C1428" s="1" t="str">
        <f ca="1">IFERROR(__xludf.DUMMYFUNCTION("""COMPUTED_VALUE"""),"s1_ka05ad2936_desilting")</f>
        <v>s1_ka05ad2936_desilting</v>
      </c>
      <c r="D1428" s="2">
        <f ca="1">IFERROR(__xludf.DUMMYFUNCTION("""COMPUTED_VALUE"""),44707)</f>
        <v>44707</v>
      </c>
      <c r="E1428" s="3">
        <f ca="1">IFERROR(__xludf.DUMMYFUNCTION("""COMPUTED_VALUE"""),0.999270833333866)</f>
        <v>0.99927083333386602</v>
      </c>
      <c r="F1428" s="1">
        <f ca="1">IFERROR(__xludf.DUMMYFUNCTION("""COMPUTED_VALUE"""),1609344)</f>
        <v>1609344</v>
      </c>
      <c r="G1428" s="1" t="str">
        <f ca="1">IFERROR(__xludf.DUMMYFUNCTION("""COMPUTED_VALUE"""),"12.9164/77.5727")</f>
        <v>12.9164/77.5727</v>
      </c>
      <c r="H1428" s="1" t="str">
        <f ca="1">IFERROR(__xludf.DUMMYFUNCTION("""COMPUTED_VALUE"""),"Banashankari")</f>
        <v>Banashankari</v>
      </c>
      <c r="I1428" s="1"/>
      <c r="J1428" s="1" t="str">
        <f ca="1">IFERROR(__xludf.DUMMYFUNCTION("""COMPUTED_VALUE"""),"0d 00h 00m")</f>
        <v>0d 00h 00m</v>
      </c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13.2">
      <c r="A1429" s="1">
        <f ca="1">IFERROR(__xludf.DUMMYFUNCTION("""COMPUTED_VALUE"""),94)</f>
        <v>94</v>
      </c>
      <c r="B1429" s="1" t="str">
        <f ca="1">IFERROR(__xludf.DUMMYFUNCTION("""COMPUTED_VALUE"""),"S1_KA05AD2936_Desilting")</f>
        <v>S1_KA05AD2936_Desilting</v>
      </c>
      <c r="C1429" s="1" t="str">
        <f ca="1">IFERROR(__xludf.DUMMYFUNCTION("""COMPUTED_VALUE"""),"s1_ka05ad2936_desilting")</f>
        <v>s1_ka05ad2936_desilting</v>
      </c>
      <c r="D1429" s="2">
        <f ca="1">IFERROR(__xludf.DUMMYFUNCTION("""COMPUTED_VALUE"""),44732)</f>
        <v>44732</v>
      </c>
      <c r="E1429" s="3">
        <f ca="1">IFERROR(__xludf.DUMMYFUNCTION("""COMPUTED_VALUE"""),0.383495370369928)</f>
        <v>0.38349537036992798</v>
      </c>
      <c r="F1429" s="1">
        <f ca="1">IFERROR(__xludf.DUMMYFUNCTION("""COMPUTED_VALUE"""),1609344)</f>
        <v>1609344</v>
      </c>
      <c r="G1429" s="1" t="str">
        <f ca="1">IFERROR(__xludf.DUMMYFUNCTION("""COMPUTED_VALUE"""),"12.9162/77.5729")</f>
        <v>12.9162/77.5729</v>
      </c>
      <c r="H1429" s="1" t="str">
        <f ca="1">IFERROR(__xludf.DUMMYFUNCTION("""COMPUTED_VALUE"""),"Banashankari")</f>
        <v>Banashankari</v>
      </c>
      <c r="I1429" s="1"/>
      <c r="J1429" s="1" t="str">
        <f ca="1">IFERROR(__xludf.DUMMYFUNCTION("""COMPUTED_VALUE"""),"0d 00h 00m")</f>
        <v>0d 00h 00m</v>
      </c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13.2">
      <c r="A1430" s="1">
        <f ca="1">IFERROR(__xludf.DUMMYFUNCTION("""COMPUTED_VALUE"""),186)</f>
        <v>186</v>
      </c>
      <c r="B1430" s="1" t="str">
        <f ca="1">IFERROR(__xludf.DUMMYFUNCTION("""COMPUTED_VALUE"""),"S1_KA05AD2936_Desilting")</f>
        <v>S1_KA05AD2936_Desilting</v>
      </c>
      <c r="C1430" s="1" t="str">
        <f ca="1">IFERROR(__xludf.DUMMYFUNCTION("""COMPUTED_VALUE"""),"s1_ka05ad2936_desilting")</f>
        <v>s1_ka05ad2936_desilting</v>
      </c>
      <c r="D1430" s="2">
        <f ca="1">IFERROR(__xludf.DUMMYFUNCTION("""COMPUTED_VALUE"""),44768)</f>
        <v>44768</v>
      </c>
      <c r="E1430" s="3">
        <f ca="1">IFERROR(__xludf.DUMMYFUNCTION("""COMPUTED_VALUE"""),0.999050925925985)</f>
        <v>0.99905092592598499</v>
      </c>
      <c r="F1430" s="1">
        <f ca="1">IFERROR(__xludf.DUMMYFUNCTION("""COMPUTED_VALUE"""),1609344)</f>
        <v>1609344</v>
      </c>
      <c r="G1430" s="1" t="str">
        <f ca="1">IFERROR(__xludf.DUMMYFUNCTION("""COMPUTED_VALUE"""),"12.9163/77.5728")</f>
        <v>12.9163/77.5728</v>
      </c>
      <c r="H1430" s="1" t="str">
        <f ca="1">IFERROR(__xludf.DUMMYFUNCTION("""COMPUTED_VALUE"""),"Banashankari")</f>
        <v>Banashankari</v>
      </c>
      <c r="I1430" s="1"/>
      <c r="J1430" s="1" t="str">
        <f ca="1">IFERROR(__xludf.DUMMYFUNCTION("""COMPUTED_VALUE"""),"0d 00h 00m")</f>
        <v>0d 00h 00m</v>
      </c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13.2">
      <c r="A1431" s="1">
        <f ca="1">IFERROR(__xludf.DUMMYFUNCTION("""COMPUTED_VALUE"""),235)</f>
        <v>235</v>
      </c>
      <c r="B1431" s="1" t="str">
        <f ca="1">IFERROR(__xludf.DUMMYFUNCTION("""COMPUTED_VALUE"""),"S1_KA05AD2936_Desilting")</f>
        <v>S1_KA05AD2936_Desilting</v>
      </c>
      <c r="C1431" s="1" t="str">
        <f ca="1">IFERROR(__xludf.DUMMYFUNCTION("""COMPUTED_VALUE"""),"s1_ka05ad2936_desilting")</f>
        <v>s1_ka05ad2936_desilting</v>
      </c>
      <c r="D1431" s="2">
        <f ca="1">IFERROR(__xludf.DUMMYFUNCTION("""COMPUTED_VALUE"""),44799)</f>
        <v>44799</v>
      </c>
      <c r="E1431" s="3">
        <f ca="1">IFERROR(__xludf.DUMMYFUNCTION("""COMPUTED_VALUE"""),0.999305555556929)</f>
        <v>0.99930555555692901</v>
      </c>
      <c r="F1431" s="1">
        <f ca="1">IFERROR(__xludf.DUMMYFUNCTION("""COMPUTED_VALUE"""),1609344)</f>
        <v>1609344</v>
      </c>
      <c r="G1431" s="1" t="str">
        <f ca="1">IFERROR(__xludf.DUMMYFUNCTION("""COMPUTED_VALUE"""),"12.9164/77.5728")</f>
        <v>12.9164/77.5728</v>
      </c>
      <c r="H1431" s="1" t="str">
        <f ca="1">IFERROR(__xludf.DUMMYFUNCTION("""COMPUTED_VALUE"""),"Banashankari")</f>
        <v>Banashankari</v>
      </c>
      <c r="I1431" s="1"/>
      <c r="J1431" s="1" t="str">
        <f ca="1">IFERROR(__xludf.DUMMYFUNCTION("""COMPUTED_VALUE"""),"0d 00h 00m")</f>
        <v>0d 00h 00m</v>
      </c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13.2">
      <c r="A1432" s="1">
        <f ca="1">IFERROR(__xludf.DUMMYFUNCTION("""COMPUTED_VALUE"""),126)</f>
        <v>126</v>
      </c>
      <c r="B1432" s="1" t="str">
        <f ca="1">IFERROR(__xludf.DUMMYFUNCTION("""COMPUTED_VALUE"""),"S1_KA05AD2936_Desilting")</f>
        <v>S1_KA05AD2936_Desilting</v>
      </c>
      <c r="C1432" s="1" t="str">
        <f ca="1">IFERROR(__xludf.DUMMYFUNCTION("""COMPUTED_VALUE"""),"s1_ka05ad2936_desilting")</f>
        <v>s1_ka05ad2936_desilting</v>
      </c>
      <c r="D1432" s="2">
        <f ca="1">IFERROR(__xludf.DUMMYFUNCTION("""COMPUTED_VALUE"""),44827)</f>
        <v>44827</v>
      </c>
      <c r="E1432" s="3">
        <f ca="1">IFERROR(__xludf.DUMMYFUNCTION("""COMPUTED_VALUE"""),0.732465277778828)</f>
        <v>0.73246527777882797</v>
      </c>
      <c r="F1432" s="1">
        <f ca="1">IFERROR(__xludf.DUMMYFUNCTION("""COMPUTED_VALUE"""),1609344)</f>
        <v>1609344</v>
      </c>
      <c r="G1432" s="1" t="str">
        <f ca="1">IFERROR(__xludf.DUMMYFUNCTION("""COMPUTED_VALUE"""),"12.8529/77.5848")</f>
        <v>12.8529/77.5848</v>
      </c>
      <c r="H1432" s="1" t="str">
        <f ca="1">IFERROR(__xludf.DUMMYFUNCTION("""COMPUTED_VALUE"""),"Gottigere")</f>
        <v>Gottigere</v>
      </c>
      <c r="I1432" s="1"/>
      <c r="J1432" s="1" t="str">
        <f ca="1">IFERROR(__xludf.DUMMYFUNCTION("""COMPUTED_VALUE"""),"0d 00h 00m")</f>
        <v>0d 00h 00m</v>
      </c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13.2">
      <c r="A1433" s="1">
        <f ca="1">IFERROR(__xludf.DUMMYFUNCTION("""COMPUTED_VALUE"""),72)</f>
        <v>72</v>
      </c>
      <c r="B1433" s="1" t="str">
        <f ca="1">IFERROR(__xludf.DUMMYFUNCTION("""COMPUTED_VALUE"""),"S1_KA05AD2936_Desilting")</f>
        <v>S1_KA05AD2936_Desilting</v>
      </c>
      <c r="C1433" s="1" t="str">
        <f ca="1">IFERROR(__xludf.DUMMYFUNCTION("""COMPUTED_VALUE"""),"s1_ka05ad2936_desilting")</f>
        <v>s1_ka05ad2936_desilting</v>
      </c>
      <c r="D1433" s="2">
        <f ca="1">IFERROR(__xludf.DUMMYFUNCTION("""COMPUTED_VALUE"""),44827)</f>
        <v>44827</v>
      </c>
      <c r="E1433" s="3">
        <f ca="1">IFERROR(__xludf.DUMMYFUNCTION("""COMPUTED_VALUE"""),0.732465277778828)</f>
        <v>0.73246527777882797</v>
      </c>
      <c r="F1433" s="1">
        <f ca="1">IFERROR(__xludf.DUMMYFUNCTION("""COMPUTED_VALUE"""),1609344)</f>
        <v>1609344</v>
      </c>
      <c r="G1433" s="1" t="str">
        <f ca="1">IFERROR(__xludf.DUMMYFUNCTION("""COMPUTED_VALUE"""),"12.8529/77.5848")</f>
        <v>12.8529/77.5848</v>
      </c>
      <c r="H1433" s="1" t="str">
        <f ca="1">IFERROR(__xludf.DUMMYFUNCTION("""COMPUTED_VALUE"""),"Gottigere")</f>
        <v>Gottigere</v>
      </c>
      <c r="I1433" s="1"/>
      <c r="J1433" s="1" t="str">
        <f ca="1">IFERROR(__xludf.DUMMYFUNCTION("""COMPUTED_VALUE"""),"0d 00h 00m")</f>
        <v>0d 00h 00m</v>
      </c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13.2">
      <c r="A1434" s="1">
        <f ca="1">IFERROR(__xludf.DUMMYFUNCTION("""COMPUTED_VALUE"""),144)</f>
        <v>144</v>
      </c>
      <c r="B1434" s="1" t="str">
        <f ca="1">IFERROR(__xludf.DUMMYFUNCTION("""COMPUTED_VALUE"""),"S1_KA05B6541_Jetting")</f>
        <v>S1_KA05B6541_Jetting</v>
      </c>
      <c r="C1434" s="1" t="str">
        <f ca="1">IFERROR(__xludf.DUMMYFUNCTION("""COMPUTED_VALUE"""),"s1_ka05b6541_jetting")</f>
        <v>s1_ka05b6541_jetting</v>
      </c>
      <c r="D1434" s="2">
        <f ca="1">IFERROR(__xludf.DUMMYFUNCTION("""COMPUTED_VALUE"""),44707)</f>
        <v>44707</v>
      </c>
      <c r="E1434" s="3">
        <f ca="1">IFERROR(__xludf.DUMMYFUNCTION("""COMPUTED_VALUE"""),0.996481481481168)</f>
        <v>0.996481481481168</v>
      </c>
      <c r="F1434" s="1">
        <f ca="1">IFERROR(__xludf.DUMMYFUNCTION("""COMPUTED_VALUE"""),166665)</f>
        <v>166665</v>
      </c>
      <c r="G1434" s="1" t="str">
        <f ca="1">IFERROR(__xludf.DUMMYFUNCTION("""COMPUTED_VALUE"""),"12.9093/77.5626")</f>
        <v>12.9093/77.5626</v>
      </c>
      <c r="H1434" s="1" t="str">
        <f ca="1">IFERROR(__xludf.DUMMYFUNCTION("""COMPUTED_VALUE"""),"Bendre")</f>
        <v>Bendre</v>
      </c>
      <c r="I1434" s="1"/>
      <c r="J1434" s="1" t="str">
        <f ca="1">IFERROR(__xludf.DUMMYFUNCTION("""COMPUTED_VALUE"""),"0d 00h 00m")</f>
        <v>0d 00h 00m</v>
      </c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13.2">
      <c r="A1435" s="1">
        <f ca="1">IFERROR(__xludf.DUMMYFUNCTION("""COMPUTED_VALUE"""),140)</f>
        <v>140</v>
      </c>
      <c r="B1435" s="1" t="str">
        <f ca="1">IFERROR(__xludf.DUMMYFUNCTION("""COMPUTED_VALUE"""),"S1_KA05B6541_Jetting")</f>
        <v>S1_KA05B6541_Jetting</v>
      </c>
      <c r="C1435" s="1" t="str">
        <f ca="1">IFERROR(__xludf.DUMMYFUNCTION("""COMPUTED_VALUE"""),"s1_ka05b6541_jetting")</f>
        <v>s1_ka05b6541_jetting</v>
      </c>
      <c r="D1435" s="2">
        <f ca="1">IFERROR(__xludf.DUMMYFUNCTION("""COMPUTED_VALUE"""),44737)</f>
        <v>44737</v>
      </c>
      <c r="E1435" s="3">
        <f ca="1">IFERROR(__xludf.DUMMYFUNCTION("""COMPUTED_VALUE"""),0.960879629630653)</f>
        <v>0.96087962963065299</v>
      </c>
      <c r="F1435" s="1">
        <f ca="1">IFERROR(__xludf.DUMMYFUNCTION("""COMPUTED_VALUE"""),170786)</f>
        <v>170786</v>
      </c>
      <c r="G1435" s="1" t="str">
        <f ca="1">IFERROR(__xludf.DUMMYFUNCTION("""COMPUTED_VALUE"""),"12.9093/77.5633")</f>
        <v>12.9093/77.5633</v>
      </c>
      <c r="H1435" s="1" t="str">
        <f ca="1">IFERROR(__xludf.DUMMYFUNCTION("""COMPUTED_VALUE"""),"Bendre")</f>
        <v>Bendre</v>
      </c>
      <c r="I1435" s="1"/>
      <c r="J1435" s="1" t="str">
        <f ca="1">IFERROR(__xludf.DUMMYFUNCTION("""COMPUTED_VALUE"""),"0d 00h 00m")</f>
        <v>0d 00h 00m</v>
      </c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13.2">
      <c r="A1436" s="1">
        <f ca="1">IFERROR(__xludf.DUMMYFUNCTION("""COMPUTED_VALUE"""),162)</f>
        <v>162</v>
      </c>
      <c r="B1436" s="1" t="str">
        <f ca="1">IFERROR(__xludf.DUMMYFUNCTION("""COMPUTED_VALUE"""),"S1_KA05B6541_Jetting")</f>
        <v>S1_KA05B6541_Jetting</v>
      </c>
      <c r="C1436" s="1" t="str">
        <f ca="1">IFERROR(__xludf.DUMMYFUNCTION("""COMPUTED_VALUE"""),"s1_ka05b6541_jetting")</f>
        <v>s1_ka05b6541_jetting</v>
      </c>
      <c r="D1436" s="2">
        <f ca="1">IFERROR(__xludf.DUMMYFUNCTION("""COMPUTED_VALUE"""),44768)</f>
        <v>44768</v>
      </c>
      <c r="E1436" s="3">
        <f ca="1">IFERROR(__xludf.DUMMYFUNCTION("""COMPUTED_VALUE"""),0.998969907406717)</f>
        <v>0.99896990740671698</v>
      </c>
      <c r="F1436" s="1">
        <f ca="1">IFERROR(__xludf.DUMMYFUNCTION("""COMPUTED_VALUE"""),172134)</f>
        <v>172134</v>
      </c>
      <c r="G1436" s="1" t="str">
        <f ca="1">IFERROR(__xludf.DUMMYFUNCTION("""COMPUTED_VALUE"""),"12.9088/77.5628")</f>
        <v>12.9088/77.5628</v>
      </c>
      <c r="H1436" s="1" t="str">
        <f ca="1">IFERROR(__xludf.DUMMYFUNCTION("""COMPUTED_VALUE"""),"Kumaraswamy Layout")</f>
        <v>Kumaraswamy Layout</v>
      </c>
      <c r="I1436" s="1"/>
      <c r="J1436" s="1" t="str">
        <f ca="1">IFERROR(__xludf.DUMMYFUNCTION("""COMPUTED_VALUE"""),"0d 00h 00m")</f>
        <v>0d 00h 00m</v>
      </c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13.2">
      <c r="A1437" s="1">
        <f ca="1">IFERROR(__xludf.DUMMYFUNCTION("""COMPUTED_VALUE"""),166)</f>
        <v>166</v>
      </c>
      <c r="B1437" s="1" t="str">
        <f ca="1">IFERROR(__xludf.DUMMYFUNCTION("""COMPUTED_VALUE"""),"S1_KA05B6541_Jetting")</f>
        <v>S1_KA05B6541_Jetting</v>
      </c>
      <c r="C1437" s="1" t="str">
        <f ca="1">IFERROR(__xludf.DUMMYFUNCTION("""COMPUTED_VALUE"""),"s1_ka05b6541_jetting")</f>
        <v>s1_ka05b6541_jetting</v>
      </c>
      <c r="D1437" s="2">
        <f ca="1">IFERROR(__xludf.DUMMYFUNCTION("""COMPUTED_VALUE"""),44799)</f>
        <v>44799</v>
      </c>
      <c r="E1437" s="3">
        <f ca="1">IFERROR(__xludf.DUMMYFUNCTION("""COMPUTED_VALUE"""),0.998483796294749)</f>
        <v>0.99848379629474904</v>
      </c>
      <c r="F1437" s="1">
        <f ca="1">IFERROR(__xludf.DUMMYFUNCTION("""COMPUTED_VALUE"""),175296)</f>
        <v>175296</v>
      </c>
      <c r="G1437" s="1" t="str">
        <f ca="1">IFERROR(__xludf.DUMMYFUNCTION("""COMPUTED_VALUE"""),"12.9079/77.5622")</f>
        <v>12.9079/77.5622</v>
      </c>
      <c r="H1437" s="1" t="str">
        <f ca="1">IFERROR(__xludf.DUMMYFUNCTION("""COMPUTED_VALUE"""),"Kumaraswamy Layout")</f>
        <v>Kumaraswamy Layout</v>
      </c>
      <c r="I1437" s="1"/>
      <c r="J1437" s="1" t="str">
        <f ca="1">IFERROR(__xludf.DUMMYFUNCTION("""COMPUTED_VALUE"""),"0d 00h 00m")</f>
        <v>0d 00h 00m</v>
      </c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13.2">
      <c r="A1438" s="1">
        <f ca="1">IFERROR(__xludf.DUMMYFUNCTION("""COMPUTED_VALUE"""),202)</f>
        <v>202</v>
      </c>
      <c r="B1438" s="1" t="str">
        <f ca="1">IFERROR(__xludf.DUMMYFUNCTION("""COMPUTED_VALUE"""),"S1_KA05B6541_Jetting")</f>
        <v>S1_KA05B6541_Jetting</v>
      </c>
      <c r="C1438" s="1" t="str">
        <f ca="1">IFERROR(__xludf.DUMMYFUNCTION("""COMPUTED_VALUE"""),"s1_ka05b6541_jetting")</f>
        <v>s1_ka05b6541_jetting</v>
      </c>
      <c r="D1438" s="2">
        <f ca="1">IFERROR(__xludf.DUMMYFUNCTION("""COMPUTED_VALUE"""),44830)</f>
        <v>44830</v>
      </c>
      <c r="E1438" s="3">
        <f ca="1">IFERROR(__xludf.DUMMYFUNCTION("""COMPUTED_VALUE"""),0.999155092591536)</f>
        <v>0.99915509259153601</v>
      </c>
      <c r="F1438" s="1">
        <f ca="1">IFERROR(__xludf.DUMMYFUNCTION("""COMPUTED_VALUE"""),176382)</f>
        <v>176382</v>
      </c>
      <c r="G1438" s="1" t="str">
        <f ca="1">IFERROR(__xludf.DUMMYFUNCTION("""COMPUTED_VALUE"""),"12.9091/77.5625")</f>
        <v>12.9091/77.5625</v>
      </c>
      <c r="H1438" s="1" t="str">
        <f ca="1">IFERROR(__xludf.DUMMYFUNCTION("""COMPUTED_VALUE"""),"Kumaraswamy Layout")</f>
        <v>Kumaraswamy Layout</v>
      </c>
      <c r="I1438" s="1"/>
      <c r="J1438" s="1" t="str">
        <f ca="1">IFERROR(__xludf.DUMMYFUNCTION("""COMPUTED_VALUE"""),"0d 00h 00m")</f>
        <v>0d 00h 00m</v>
      </c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13.2">
      <c r="A1439" s="1">
        <f ca="1">IFERROR(__xludf.DUMMYFUNCTION("""COMPUTED_VALUE"""),118)</f>
        <v>118</v>
      </c>
      <c r="B1439" s="1" t="str">
        <f ca="1">IFERROR(__xludf.DUMMYFUNCTION("""COMPUTED_VALUE"""),"S1_KA05B6541_Jetting")</f>
        <v>S1_KA05B6541_Jetting</v>
      </c>
      <c r="C1439" s="1" t="str">
        <f ca="1">IFERROR(__xludf.DUMMYFUNCTION("""COMPUTED_VALUE"""),"s1_ka05b6541_jetting")</f>
        <v>s1_ka05b6541_jetting</v>
      </c>
      <c r="D1439" s="2">
        <f ca="1">IFERROR(__xludf.DUMMYFUNCTION("""COMPUTED_VALUE"""),44859)</f>
        <v>44859</v>
      </c>
      <c r="E1439" s="3">
        <f ca="1">IFERROR(__xludf.DUMMYFUNCTION("""COMPUTED_VALUE"""),0.953923611112259)</f>
        <v>0.95392361111225898</v>
      </c>
      <c r="F1439" s="1">
        <f ca="1">IFERROR(__xludf.DUMMYFUNCTION("""COMPUTED_VALUE"""),177548)</f>
        <v>177548</v>
      </c>
      <c r="G1439" s="1" t="str">
        <f ca="1">IFERROR(__xludf.DUMMYFUNCTION("""COMPUTED_VALUE"""),"12.9093/77.5621")</f>
        <v>12.9093/77.5621</v>
      </c>
      <c r="H1439" s="1" t="str">
        <f ca="1">IFERROR(__xludf.DUMMYFUNCTION("""COMPUTED_VALUE"""),"Bendre")</f>
        <v>Bendre</v>
      </c>
      <c r="I1439" s="1"/>
      <c r="J1439" s="1" t="str">
        <f ca="1">IFERROR(__xludf.DUMMYFUNCTION("""COMPUTED_VALUE"""),"0d 00h 01m")</f>
        <v>0d 00h 01m</v>
      </c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13.2">
      <c r="A1440" s="1">
        <f ca="1">IFERROR(__xludf.DUMMYFUNCTION("""COMPUTED_VALUE"""),120)</f>
        <v>120</v>
      </c>
      <c r="B1440" s="1" t="str">
        <f ca="1">IFERROR(__xludf.DUMMYFUNCTION("""COMPUTED_VALUE"""),"S2_KA04AA7680_Desilting")</f>
        <v>S2_KA04AA7680_Desilting</v>
      </c>
      <c r="C1440" s="1" t="str">
        <f ca="1">IFERROR(__xludf.DUMMYFUNCTION("""COMPUTED_VALUE"""),"s2_ka04aa7680_desilting")</f>
        <v>s2_ka04aa7680_desilting</v>
      </c>
      <c r="D1440" s="2">
        <f ca="1">IFERROR(__xludf.DUMMYFUNCTION("""COMPUTED_VALUE"""),44706)</f>
        <v>44706</v>
      </c>
      <c r="E1440" s="3">
        <f ca="1">IFERROR(__xludf.DUMMYFUNCTION("""COMPUTED_VALUE"""),0.977349537035479)</f>
        <v>0.977349537035479</v>
      </c>
      <c r="F1440" s="1">
        <f ca="1">IFERROR(__xludf.DUMMYFUNCTION("""COMPUTED_VALUE"""),1609344)</f>
        <v>1609344</v>
      </c>
      <c r="G1440" s="1" t="str">
        <f ca="1">IFERROR(__xludf.DUMMYFUNCTION("""COMPUTED_VALUE"""),"12.8734/77.5847")</f>
        <v>12.8734/77.5847</v>
      </c>
      <c r="H1440" s="1" t="str">
        <f ca="1">IFERROR(__xludf.DUMMYFUNCTION("""COMPUTED_VALUE"""),"Quality Inn Shravanthi")</f>
        <v>Quality Inn Shravanthi</v>
      </c>
      <c r="I1440" s="1"/>
      <c r="J1440" s="1" t="str">
        <f ca="1">IFERROR(__xludf.DUMMYFUNCTION("""COMPUTED_VALUE"""),"0d 00h 00m")</f>
        <v>0d 00h 00m</v>
      </c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13.2">
      <c r="A1441" s="1">
        <f ca="1">IFERROR(__xludf.DUMMYFUNCTION("""COMPUTED_VALUE"""),58)</f>
        <v>58</v>
      </c>
      <c r="B1441" s="1" t="str">
        <f ca="1">IFERROR(__xludf.DUMMYFUNCTION("""COMPUTED_VALUE"""),"S2_KA04AA7680_Desilting")</f>
        <v>S2_KA04AA7680_Desilting</v>
      </c>
      <c r="C1441" s="1" t="str">
        <f ca="1">IFERROR(__xludf.DUMMYFUNCTION("""COMPUTED_VALUE"""),"s2_ka04aa7680_desilting")</f>
        <v>s2_ka04aa7680_desilting</v>
      </c>
      <c r="D1441" s="2">
        <f ca="1">IFERROR(__xludf.DUMMYFUNCTION("""COMPUTED_VALUE"""),44706)</f>
        <v>44706</v>
      </c>
      <c r="E1441" s="3">
        <f ca="1">IFERROR(__xludf.DUMMYFUNCTION("""COMPUTED_VALUE"""),0.977349537035479)</f>
        <v>0.977349537035479</v>
      </c>
      <c r="F1441" s="1">
        <f ca="1">IFERROR(__xludf.DUMMYFUNCTION("""COMPUTED_VALUE"""),1609344)</f>
        <v>1609344</v>
      </c>
      <c r="G1441" s="1" t="str">
        <f ca="1">IFERROR(__xludf.DUMMYFUNCTION("""COMPUTED_VALUE"""),"12.8734/77.5847")</f>
        <v>12.8734/77.5847</v>
      </c>
      <c r="H1441" s="1" t="str">
        <f ca="1">IFERROR(__xludf.DUMMYFUNCTION("""COMPUTED_VALUE"""),"Quality Inn Shravanthi")</f>
        <v>Quality Inn Shravanthi</v>
      </c>
      <c r="I1441" s="1"/>
      <c r="J1441" s="1" t="str">
        <f ca="1">IFERROR(__xludf.DUMMYFUNCTION("""COMPUTED_VALUE"""),"0d 00h 00m")</f>
        <v>0d 00h 00m</v>
      </c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13.2">
      <c r="A1442" s="1">
        <f ca="1">IFERROR(__xludf.DUMMYFUNCTION("""COMPUTED_VALUE"""),117)</f>
        <v>117</v>
      </c>
      <c r="B1442" s="1" t="str">
        <f ca="1">IFERROR(__xludf.DUMMYFUNCTION("""COMPUTED_VALUE"""),"S2_KA04AA7680_Desilting")</f>
        <v>S2_KA04AA7680_Desilting</v>
      </c>
      <c r="C1442" s="1" t="str">
        <f ca="1">IFERROR(__xludf.DUMMYFUNCTION("""COMPUTED_VALUE"""),"s2_ka04aa7680_desilting")</f>
        <v>s2_ka04aa7680_desilting</v>
      </c>
      <c r="D1442" s="2">
        <f ca="1">IFERROR(__xludf.DUMMYFUNCTION("""COMPUTED_VALUE"""),44764)</f>
        <v>44764</v>
      </c>
      <c r="E1442" s="3">
        <f ca="1">IFERROR(__xludf.DUMMYFUNCTION("""COMPUTED_VALUE"""),0.669907407405844)</f>
        <v>0.66990740740584398</v>
      </c>
      <c r="F1442" s="1">
        <f ca="1">IFERROR(__xludf.DUMMYFUNCTION("""COMPUTED_VALUE"""),1609344)</f>
        <v>1609344</v>
      </c>
      <c r="G1442" s="1" t="str">
        <f ca="1">IFERROR(__xludf.DUMMYFUNCTION("""COMPUTED_VALUE"""),"12.8623/77.5848")</f>
        <v>12.8623/77.5848</v>
      </c>
      <c r="H1442" s="1" t="str">
        <f ca="1">IFERROR(__xludf.DUMMYFUNCTION("""COMPUTED_VALUE"""),"Gottigere")</f>
        <v>Gottigere</v>
      </c>
      <c r="I1442" s="1"/>
      <c r="J1442" s="1" t="str">
        <f ca="1">IFERROR(__xludf.DUMMYFUNCTION("""COMPUTED_VALUE"""),"0d 00h 00m")</f>
        <v>0d 00h 00m</v>
      </c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13.2">
      <c r="A1443" s="1">
        <f ca="1">IFERROR(__xludf.DUMMYFUNCTION("""COMPUTED_VALUE"""),83)</f>
        <v>83</v>
      </c>
      <c r="B1443" s="1" t="str">
        <f ca="1">IFERROR(__xludf.DUMMYFUNCTION("""COMPUTED_VALUE"""),"S2_KA04AA7680_Desilting")</f>
        <v>S2_KA04AA7680_Desilting</v>
      </c>
      <c r="C1443" s="1" t="str">
        <f ca="1">IFERROR(__xludf.DUMMYFUNCTION("""COMPUTED_VALUE"""),"s2_ka04aa7680_desilting")</f>
        <v>s2_ka04aa7680_desilting</v>
      </c>
      <c r="D1443" s="2">
        <f ca="1">IFERROR(__xludf.DUMMYFUNCTION("""COMPUTED_VALUE"""),44764)</f>
        <v>44764</v>
      </c>
      <c r="E1443" s="3">
        <f ca="1">IFERROR(__xludf.DUMMYFUNCTION("""COMPUTED_VALUE"""),0.669907407405844)</f>
        <v>0.66990740740584398</v>
      </c>
      <c r="F1443" s="1">
        <f ca="1">IFERROR(__xludf.DUMMYFUNCTION("""COMPUTED_VALUE"""),1609344)</f>
        <v>1609344</v>
      </c>
      <c r="G1443" s="1" t="str">
        <f ca="1">IFERROR(__xludf.DUMMYFUNCTION("""COMPUTED_VALUE"""),"12.8623/77.5848")</f>
        <v>12.8623/77.5848</v>
      </c>
      <c r="H1443" s="1" t="str">
        <f ca="1">IFERROR(__xludf.DUMMYFUNCTION("""COMPUTED_VALUE"""),"Gottigere")</f>
        <v>Gottigere</v>
      </c>
      <c r="I1443" s="1"/>
      <c r="J1443" s="1" t="str">
        <f ca="1">IFERROR(__xludf.DUMMYFUNCTION("""COMPUTED_VALUE"""),"0d 00h 00m")</f>
        <v>0d 00h 00m</v>
      </c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13.2">
      <c r="A1444" s="1">
        <f ca="1">IFERROR(__xludf.DUMMYFUNCTION("""COMPUTED_VALUE"""),58)</f>
        <v>58</v>
      </c>
      <c r="B1444" s="1" t="str">
        <f ca="1">IFERROR(__xludf.DUMMYFUNCTION("""COMPUTED_VALUE"""),"S2_KA04AA7680_Desilting")</f>
        <v>S2_KA04AA7680_Desilting</v>
      </c>
      <c r="C1444" s="1" t="str">
        <f ca="1">IFERROR(__xludf.DUMMYFUNCTION("""COMPUTED_VALUE"""),"s2_ka04aa7680_desilting")</f>
        <v>s2_ka04aa7680_desilting</v>
      </c>
      <c r="D1444" s="2">
        <f ca="1">IFERROR(__xludf.DUMMYFUNCTION("""COMPUTED_VALUE"""),44764)</f>
        <v>44764</v>
      </c>
      <c r="E1444" s="3">
        <f ca="1">IFERROR(__xludf.DUMMYFUNCTION("""COMPUTED_VALUE"""),0.669907407405844)</f>
        <v>0.66990740740584398</v>
      </c>
      <c r="F1444" s="1">
        <f ca="1">IFERROR(__xludf.DUMMYFUNCTION("""COMPUTED_VALUE"""),1609344)</f>
        <v>1609344</v>
      </c>
      <c r="G1444" s="1" t="str">
        <f ca="1">IFERROR(__xludf.DUMMYFUNCTION("""COMPUTED_VALUE"""),"12.8623/77.5848")</f>
        <v>12.8623/77.5848</v>
      </c>
      <c r="H1444" s="1" t="str">
        <f ca="1">IFERROR(__xludf.DUMMYFUNCTION("""COMPUTED_VALUE"""),"Gottigere")</f>
        <v>Gottigere</v>
      </c>
      <c r="I1444" s="1"/>
      <c r="J1444" s="1" t="str">
        <f ca="1">IFERROR(__xludf.DUMMYFUNCTION("""COMPUTED_VALUE"""),"0d 00h 00m")</f>
        <v>0d 00h 00m</v>
      </c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13.2">
      <c r="A1445" s="1">
        <f ca="1">IFERROR(__xludf.DUMMYFUNCTION("""COMPUTED_VALUE"""),53)</f>
        <v>53</v>
      </c>
      <c r="B1445" s="1" t="str">
        <f ca="1">IFERROR(__xludf.DUMMYFUNCTION("""COMPUTED_VALUE"""),"S2_KA04AA7680_Desilting")</f>
        <v>S2_KA04AA7680_Desilting</v>
      </c>
      <c r="C1445" s="1" t="str">
        <f ca="1">IFERROR(__xludf.DUMMYFUNCTION("""COMPUTED_VALUE"""),"s2_ka04aa7680_desilting")</f>
        <v>s2_ka04aa7680_desilting</v>
      </c>
      <c r="D1445" s="2">
        <f ca="1">IFERROR(__xludf.DUMMYFUNCTION("""COMPUTED_VALUE"""),44764)</f>
        <v>44764</v>
      </c>
      <c r="E1445" s="3">
        <f ca="1">IFERROR(__xludf.DUMMYFUNCTION("""COMPUTED_VALUE"""),0.669907407405844)</f>
        <v>0.66990740740584398</v>
      </c>
      <c r="F1445" s="1">
        <f ca="1">IFERROR(__xludf.DUMMYFUNCTION("""COMPUTED_VALUE"""),1609344)</f>
        <v>1609344</v>
      </c>
      <c r="G1445" s="1" t="str">
        <f ca="1">IFERROR(__xludf.DUMMYFUNCTION("""COMPUTED_VALUE"""),"12.8623/77.5848")</f>
        <v>12.8623/77.5848</v>
      </c>
      <c r="H1445" s="1" t="str">
        <f ca="1">IFERROR(__xludf.DUMMYFUNCTION("""COMPUTED_VALUE"""),"Gottigere")</f>
        <v>Gottigere</v>
      </c>
      <c r="I1445" s="1"/>
      <c r="J1445" s="1" t="str">
        <f ca="1">IFERROR(__xludf.DUMMYFUNCTION("""COMPUTED_VALUE"""),"0d 00h 00m")</f>
        <v>0d 00h 00m</v>
      </c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13.2">
      <c r="A1446" s="1">
        <f ca="1">IFERROR(__xludf.DUMMYFUNCTION("""COMPUTED_VALUE"""),32)</f>
        <v>32</v>
      </c>
      <c r="B1446" s="1" t="str">
        <f ca="1">IFERROR(__xludf.DUMMYFUNCTION("""COMPUTED_VALUE"""),"S2_KA04C5149_Jetting")</f>
        <v>S2_KA04C5149_Jetting</v>
      </c>
      <c r="C1446" s="1" t="str">
        <f ca="1">IFERROR(__xludf.DUMMYFUNCTION("""COMPUTED_VALUE"""),"s2_ka04c5149_jetting")</f>
        <v>s2_ka04c5149_jetting</v>
      </c>
      <c r="D1446" s="2">
        <f ca="1">IFERROR(__xludf.DUMMYFUNCTION("""COMPUTED_VALUE"""),44222)</f>
        <v>44222</v>
      </c>
      <c r="E1446" s="3">
        <f ca="1">IFERROR(__xludf.DUMMYFUNCTION("""COMPUTED_VALUE"""),0.67738425925927)</f>
        <v>0.67738425925927004</v>
      </c>
      <c r="F1446" s="1">
        <f ca="1">IFERROR(__xludf.DUMMYFUNCTION("""COMPUTED_VALUE"""),19876)</f>
        <v>19876</v>
      </c>
      <c r="G1446" s="1" t="str">
        <f ca="1">IFERROR(__xludf.DUMMYFUNCTION("""COMPUTED_VALUE"""),"12.8735/77.5845")</f>
        <v>12.8735/77.5845</v>
      </c>
      <c r="H1446" s="1" t="str">
        <f ca="1">IFERROR(__xludf.DUMMYFUNCTION("""COMPUTED_VALUE"""),"Quality Inn Shravanthi")</f>
        <v>Quality Inn Shravanthi</v>
      </c>
      <c r="I1446" s="1"/>
      <c r="J1446" s="1" t="str">
        <f ca="1">IFERROR(__xludf.DUMMYFUNCTION("""COMPUTED_VALUE"""),"694d 18h 14m")</f>
        <v>694d 18h 14m</v>
      </c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13.2">
      <c r="A1447" s="1">
        <f ca="1">IFERROR(__xludf.DUMMYFUNCTION("""COMPUTED_VALUE"""),31)</f>
        <v>31</v>
      </c>
      <c r="B1447" s="1" t="str">
        <f ca="1">IFERROR(__xludf.DUMMYFUNCTION("""COMPUTED_VALUE"""),"S2_KA04C5149_Jetting")</f>
        <v>S2_KA04C5149_Jetting</v>
      </c>
      <c r="C1447" s="1" t="str">
        <f ca="1">IFERROR(__xludf.DUMMYFUNCTION("""COMPUTED_VALUE"""),"s2_ka04c5149_jetting")</f>
        <v>s2_ka04c5149_jetting</v>
      </c>
      <c r="D1447" s="2">
        <f ca="1">IFERROR(__xludf.DUMMYFUNCTION("""COMPUTED_VALUE"""),44222)</f>
        <v>44222</v>
      </c>
      <c r="E1447" s="3">
        <f ca="1">IFERROR(__xludf.DUMMYFUNCTION("""COMPUTED_VALUE"""),0.67738425925927)</f>
        <v>0.67738425925927004</v>
      </c>
      <c r="F1447" s="1">
        <f ca="1">IFERROR(__xludf.DUMMYFUNCTION("""COMPUTED_VALUE"""),19876)</f>
        <v>19876</v>
      </c>
      <c r="G1447" s="1" t="str">
        <f ca="1">IFERROR(__xludf.DUMMYFUNCTION("""COMPUTED_VALUE"""),"12.8735/77.5845")</f>
        <v>12.8735/77.5845</v>
      </c>
      <c r="H1447" s="1" t="str">
        <f ca="1">IFERROR(__xludf.DUMMYFUNCTION("""COMPUTED_VALUE"""),"Quality Inn Shravanthi")</f>
        <v>Quality Inn Shravanthi</v>
      </c>
      <c r="I1447" s="1"/>
      <c r="J1447" s="1" t="str">
        <f ca="1">IFERROR(__xludf.DUMMYFUNCTION("""COMPUTED_VALUE"""),"694d 18h 15m")</f>
        <v>694d 18h 15m</v>
      </c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13.2">
      <c r="A1448" s="1">
        <f ca="1">IFERROR(__xludf.DUMMYFUNCTION("""COMPUTED_VALUE"""),31)</f>
        <v>31</v>
      </c>
      <c r="B1448" s="1" t="str">
        <f ca="1">IFERROR(__xludf.DUMMYFUNCTION("""COMPUTED_VALUE"""),"S2_KA04C5149_Jetting")</f>
        <v>S2_KA04C5149_Jetting</v>
      </c>
      <c r="C1448" s="1" t="str">
        <f ca="1">IFERROR(__xludf.DUMMYFUNCTION("""COMPUTED_VALUE"""),"s2_ka04c5149_jetting")</f>
        <v>s2_ka04c5149_jetting</v>
      </c>
      <c r="D1448" s="2">
        <f ca="1">IFERROR(__xludf.DUMMYFUNCTION("""COMPUTED_VALUE"""),44222)</f>
        <v>44222</v>
      </c>
      <c r="E1448" s="3">
        <f ca="1">IFERROR(__xludf.DUMMYFUNCTION("""COMPUTED_VALUE"""),0.67738425925927)</f>
        <v>0.67738425925927004</v>
      </c>
      <c r="F1448" s="1">
        <f ca="1">IFERROR(__xludf.DUMMYFUNCTION("""COMPUTED_VALUE"""),19876)</f>
        <v>19876</v>
      </c>
      <c r="G1448" s="1" t="str">
        <f ca="1">IFERROR(__xludf.DUMMYFUNCTION("""COMPUTED_VALUE"""),"12.8735/77.5845")</f>
        <v>12.8735/77.5845</v>
      </c>
      <c r="H1448" s="1" t="str">
        <f ca="1">IFERROR(__xludf.DUMMYFUNCTION("""COMPUTED_VALUE"""),"Quality Inn Shravanthi")</f>
        <v>Quality Inn Shravanthi</v>
      </c>
      <c r="I1448" s="1"/>
      <c r="J1448" s="1" t="str">
        <f ca="1">IFERROR(__xludf.DUMMYFUNCTION("""COMPUTED_VALUE"""),"694d 18h 15m")</f>
        <v>694d 18h 15m</v>
      </c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13.2">
      <c r="A1449" s="1">
        <f ca="1">IFERROR(__xludf.DUMMYFUNCTION("""COMPUTED_VALUE"""),31)</f>
        <v>31</v>
      </c>
      <c r="B1449" s="1" t="str">
        <f ca="1">IFERROR(__xludf.DUMMYFUNCTION("""COMPUTED_VALUE"""),"S2_KA04C5149_Jetting")</f>
        <v>S2_KA04C5149_Jetting</v>
      </c>
      <c r="C1449" s="1" t="str">
        <f ca="1">IFERROR(__xludf.DUMMYFUNCTION("""COMPUTED_VALUE"""),"s2_ka04c5149_jetting")</f>
        <v>s2_ka04c5149_jetting</v>
      </c>
      <c r="D1449" s="2">
        <f ca="1">IFERROR(__xludf.DUMMYFUNCTION("""COMPUTED_VALUE"""),44222)</f>
        <v>44222</v>
      </c>
      <c r="E1449" s="3">
        <f ca="1">IFERROR(__xludf.DUMMYFUNCTION("""COMPUTED_VALUE"""),0.67738425925927)</f>
        <v>0.67738425925927004</v>
      </c>
      <c r="F1449" s="1">
        <f ca="1">IFERROR(__xludf.DUMMYFUNCTION("""COMPUTED_VALUE"""),19876)</f>
        <v>19876</v>
      </c>
      <c r="G1449" s="1" t="str">
        <f ca="1">IFERROR(__xludf.DUMMYFUNCTION("""COMPUTED_VALUE"""),"12.8735/77.5845")</f>
        <v>12.8735/77.5845</v>
      </c>
      <c r="H1449" s="1" t="str">
        <f ca="1">IFERROR(__xludf.DUMMYFUNCTION("""COMPUTED_VALUE"""),"Quality Inn Shravanthi")</f>
        <v>Quality Inn Shravanthi</v>
      </c>
      <c r="I1449" s="1"/>
      <c r="J1449" s="1" t="str">
        <f ca="1">IFERROR(__xludf.DUMMYFUNCTION("""COMPUTED_VALUE"""),"694d 18h 16m")</f>
        <v>694d 18h 16m</v>
      </c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13.2">
      <c r="A1450" s="1">
        <f ca="1">IFERROR(__xludf.DUMMYFUNCTION("""COMPUTED_VALUE"""),31)</f>
        <v>31</v>
      </c>
      <c r="B1450" s="1" t="str">
        <f ca="1">IFERROR(__xludf.DUMMYFUNCTION("""COMPUTED_VALUE"""),"S2_KA04C5149_Jetting")</f>
        <v>S2_KA04C5149_Jetting</v>
      </c>
      <c r="C1450" s="1" t="str">
        <f ca="1">IFERROR(__xludf.DUMMYFUNCTION("""COMPUTED_VALUE"""),"s2_ka04c5149_jetting")</f>
        <v>s2_ka04c5149_jetting</v>
      </c>
      <c r="D1450" s="2">
        <f ca="1">IFERROR(__xludf.DUMMYFUNCTION("""COMPUTED_VALUE"""),44222)</f>
        <v>44222</v>
      </c>
      <c r="E1450" s="3">
        <f ca="1">IFERROR(__xludf.DUMMYFUNCTION("""COMPUTED_VALUE"""),0.67738425925927)</f>
        <v>0.67738425925927004</v>
      </c>
      <c r="F1450" s="1">
        <f ca="1">IFERROR(__xludf.DUMMYFUNCTION("""COMPUTED_VALUE"""),19876)</f>
        <v>19876</v>
      </c>
      <c r="G1450" s="1" t="str">
        <f ca="1">IFERROR(__xludf.DUMMYFUNCTION("""COMPUTED_VALUE"""),"12.8735/77.5845")</f>
        <v>12.8735/77.5845</v>
      </c>
      <c r="H1450" s="1" t="str">
        <f ca="1">IFERROR(__xludf.DUMMYFUNCTION("""COMPUTED_VALUE"""),"Quality Inn Shravanthi")</f>
        <v>Quality Inn Shravanthi</v>
      </c>
      <c r="I1450" s="1"/>
      <c r="J1450" s="1" t="str">
        <f ca="1">IFERROR(__xludf.DUMMYFUNCTION("""COMPUTED_VALUE"""),"694d 18h 17m")</f>
        <v>694d 18h 17m</v>
      </c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13.2">
      <c r="A1451" s="1">
        <f ca="1">IFERROR(__xludf.DUMMYFUNCTION("""COMPUTED_VALUE"""),31)</f>
        <v>31</v>
      </c>
      <c r="B1451" s="1" t="str">
        <f ca="1">IFERROR(__xludf.DUMMYFUNCTION("""COMPUTED_VALUE"""),"S2_KA04C5149_Jetting")</f>
        <v>S2_KA04C5149_Jetting</v>
      </c>
      <c r="C1451" s="1" t="str">
        <f ca="1">IFERROR(__xludf.DUMMYFUNCTION("""COMPUTED_VALUE"""),"s2_ka04c5149_jetting")</f>
        <v>s2_ka04c5149_jetting</v>
      </c>
      <c r="D1451" s="2">
        <f ca="1">IFERROR(__xludf.DUMMYFUNCTION("""COMPUTED_VALUE"""),44222)</f>
        <v>44222</v>
      </c>
      <c r="E1451" s="3">
        <f ca="1">IFERROR(__xludf.DUMMYFUNCTION("""COMPUTED_VALUE"""),0.67738425925927)</f>
        <v>0.67738425925927004</v>
      </c>
      <c r="F1451" s="1">
        <f ca="1">IFERROR(__xludf.DUMMYFUNCTION("""COMPUTED_VALUE"""),19876)</f>
        <v>19876</v>
      </c>
      <c r="G1451" s="1" t="str">
        <f ca="1">IFERROR(__xludf.DUMMYFUNCTION("""COMPUTED_VALUE"""),"12.8735/77.5845")</f>
        <v>12.8735/77.5845</v>
      </c>
      <c r="H1451" s="1" t="str">
        <f ca="1">IFERROR(__xludf.DUMMYFUNCTION("""COMPUTED_VALUE"""),"Quality Inn Shravanthi")</f>
        <v>Quality Inn Shravanthi</v>
      </c>
      <c r="I1451" s="1"/>
      <c r="J1451" s="1" t="str">
        <f ca="1">IFERROR(__xludf.DUMMYFUNCTION("""COMPUTED_VALUE"""),"694d 18h 18m")</f>
        <v>694d 18h 18m</v>
      </c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13.2">
      <c r="A1452" s="1">
        <f ca="1">IFERROR(__xludf.DUMMYFUNCTION("""COMPUTED_VALUE"""),44)</f>
        <v>44</v>
      </c>
      <c r="B1452" s="1" t="str">
        <f ca="1">IFERROR(__xludf.DUMMYFUNCTION("""COMPUTED_VALUE"""),"S2_KA04D4104_Jetting")</f>
        <v>S2_KA04D4104_Jetting</v>
      </c>
      <c r="C1452" s="1" t="str">
        <f ca="1">IFERROR(__xludf.DUMMYFUNCTION("""COMPUTED_VALUE"""),"s2_ka04d4104_jetting")</f>
        <v>s2_ka04d4104_jetting</v>
      </c>
      <c r="D1452" s="2">
        <f ca="1">IFERROR(__xludf.DUMMYFUNCTION("""COMPUTED_VALUE"""),44561)</f>
        <v>44561</v>
      </c>
      <c r="E1452" s="3">
        <f ca="1">IFERROR(__xludf.DUMMYFUNCTION("""COMPUTED_VALUE"""),0.732824074075324)</f>
        <v>0.73282407407532402</v>
      </c>
      <c r="F1452" s="1">
        <f ca="1">IFERROR(__xludf.DUMMYFUNCTION("""COMPUTED_VALUE"""),21600)</f>
        <v>21600</v>
      </c>
      <c r="G1452" s="1" t="str">
        <f ca="1">IFERROR(__xludf.DUMMYFUNCTION("""COMPUTED_VALUE"""),"12.8735/77.5846")</f>
        <v>12.8735/77.5846</v>
      </c>
      <c r="H1452" s="1" t="str">
        <f ca="1">IFERROR(__xludf.DUMMYFUNCTION("""COMPUTED_VALUE"""),"Quality Inn Shravanthi")</f>
        <v>Quality Inn Shravanthi</v>
      </c>
      <c r="I1452" s="1"/>
      <c r="J1452" s="1" t="str">
        <f ca="1">IFERROR(__xludf.DUMMYFUNCTION("""COMPUTED_VALUE"""),"0d 00h 00m")</f>
        <v>0d 00h 00m</v>
      </c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13.2">
      <c r="A1453" s="1">
        <f ca="1">IFERROR(__xludf.DUMMYFUNCTION("""COMPUTED_VALUE"""),39)</f>
        <v>39</v>
      </c>
      <c r="B1453" s="1" t="str">
        <f ca="1">IFERROR(__xludf.DUMMYFUNCTION("""COMPUTED_VALUE"""),"S2_KA04D4104_Jetting")</f>
        <v>S2_KA04D4104_Jetting</v>
      </c>
      <c r="C1453" s="1" t="str">
        <f ca="1">IFERROR(__xludf.DUMMYFUNCTION("""COMPUTED_VALUE"""),"s2_ka04d4104_jetting")</f>
        <v>s2_ka04d4104_jetting</v>
      </c>
      <c r="D1453" s="2">
        <f ca="1">IFERROR(__xludf.DUMMYFUNCTION("""COMPUTED_VALUE"""),44561)</f>
        <v>44561</v>
      </c>
      <c r="E1453" s="3">
        <f ca="1">IFERROR(__xludf.DUMMYFUNCTION("""COMPUTED_VALUE"""),0.732824074075324)</f>
        <v>0.73282407407532402</v>
      </c>
      <c r="F1453" s="1">
        <f ca="1">IFERROR(__xludf.DUMMYFUNCTION("""COMPUTED_VALUE"""),21600)</f>
        <v>21600</v>
      </c>
      <c r="G1453" s="1" t="str">
        <f ca="1">IFERROR(__xludf.DUMMYFUNCTION("""COMPUTED_VALUE"""),"12.8735/77.5846")</f>
        <v>12.8735/77.5846</v>
      </c>
      <c r="H1453" s="1" t="str">
        <f ca="1">IFERROR(__xludf.DUMMYFUNCTION("""COMPUTED_VALUE"""),"Quality Inn Shravanthi")</f>
        <v>Quality Inn Shravanthi</v>
      </c>
      <c r="I1453" s="1"/>
      <c r="J1453" s="1" t="str">
        <f ca="1">IFERROR(__xludf.DUMMYFUNCTION("""COMPUTED_VALUE"""),"0d 00h 00m")</f>
        <v>0d 00h 00m</v>
      </c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13.2">
      <c r="A1454" s="1">
        <f ca="1">IFERROR(__xludf.DUMMYFUNCTION("""COMPUTED_VALUE"""),39)</f>
        <v>39</v>
      </c>
      <c r="B1454" s="1" t="str">
        <f ca="1">IFERROR(__xludf.DUMMYFUNCTION("""COMPUTED_VALUE"""),"S2_KA04D4104_Jetting")</f>
        <v>S2_KA04D4104_Jetting</v>
      </c>
      <c r="C1454" s="1" t="str">
        <f ca="1">IFERROR(__xludf.DUMMYFUNCTION("""COMPUTED_VALUE"""),"s2_ka04d4104_jetting")</f>
        <v>s2_ka04d4104_jetting</v>
      </c>
      <c r="D1454" s="2">
        <f ca="1">IFERROR(__xludf.DUMMYFUNCTION("""COMPUTED_VALUE"""),44561)</f>
        <v>44561</v>
      </c>
      <c r="E1454" s="3">
        <f ca="1">IFERROR(__xludf.DUMMYFUNCTION("""COMPUTED_VALUE"""),0.732824074075324)</f>
        <v>0.73282407407532402</v>
      </c>
      <c r="F1454" s="1">
        <f ca="1">IFERROR(__xludf.DUMMYFUNCTION("""COMPUTED_VALUE"""),21600)</f>
        <v>21600</v>
      </c>
      <c r="G1454" s="1" t="str">
        <f ca="1">IFERROR(__xludf.DUMMYFUNCTION("""COMPUTED_VALUE"""),"12.8735/77.5846")</f>
        <v>12.8735/77.5846</v>
      </c>
      <c r="H1454" s="1" t="str">
        <f ca="1">IFERROR(__xludf.DUMMYFUNCTION("""COMPUTED_VALUE"""),"Quality Inn Shravanthi")</f>
        <v>Quality Inn Shravanthi</v>
      </c>
      <c r="I1454" s="1"/>
      <c r="J1454" s="1" t="str">
        <f ca="1">IFERROR(__xludf.DUMMYFUNCTION("""COMPUTED_VALUE"""),"0d 00h 00m")</f>
        <v>0d 00h 00m</v>
      </c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13.2">
      <c r="A1455" s="1">
        <f ca="1">IFERROR(__xludf.DUMMYFUNCTION("""COMPUTED_VALUE"""),39)</f>
        <v>39</v>
      </c>
      <c r="B1455" s="1" t="str">
        <f ca="1">IFERROR(__xludf.DUMMYFUNCTION("""COMPUTED_VALUE"""),"S2_KA04D4104_Jetting")</f>
        <v>S2_KA04D4104_Jetting</v>
      </c>
      <c r="C1455" s="1" t="str">
        <f ca="1">IFERROR(__xludf.DUMMYFUNCTION("""COMPUTED_VALUE"""),"s2_ka04d4104_jetting")</f>
        <v>s2_ka04d4104_jetting</v>
      </c>
      <c r="D1455" s="2">
        <f ca="1">IFERROR(__xludf.DUMMYFUNCTION("""COMPUTED_VALUE"""),44561)</f>
        <v>44561</v>
      </c>
      <c r="E1455" s="3">
        <f ca="1">IFERROR(__xludf.DUMMYFUNCTION("""COMPUTED_VALUE"""),0.732824074075324)</f>
        <v>0.73282407407532402</v>
      </c>
      <c r="F1455" s="1">
        <f ca="1">IFERROR(__xludf.DUMMYFUNCTION("""COMPUTED_VALUE"""),21600)</f>
        <v>21600</v>
      </c>
      <c r="G1455" s="1" t="str">
        <f ca="1">IFERROR(__xludf.DUMMYFUNCTION("""COMPUTED_VALUE"""),"12.8735/77.5846")</f>
        <v>12.8735/77.5846</v>
      </c>
      <c r="H1455" s="1" t="str">
        <f ca="1">IFERROR(__xludf.DUMMYFUNCTION("""COMPUTED_VALUE"""),"Quality Inn Shravanthi")</f>
        <v>Quality Inn Shravanthi</v>
      </c>
      <c r="I1455" s="1"/>
      <c r="J1455" s="1" t="str">
        <f ca="1">IFERROR(__xludf.DUMMYFUNCTION("""COMPUTED_VALUE"""),"0d 00h 00m")</f>
        <v>0d 00h 00m</v>
      </c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13.2">
      <c r="A1456" s="1">
        <f ca="1">IFERROR(__xludf.DUMMYFUNCTION("""COMPUTED_VALUE"""),38)</f>
        <v>38</v>
      </c>
      <c r="B1456" s="1" t="str">
        <f ca="1">IFERROR(__xludf.DUMMYFUNCTION("""COMPUTED_VALUE"""),"S2_KA04D4104_Jetting")</f>
        <v>S2_KA04D4104_Jetting</v>
      </c>
      <c r="C1456" s="1" t="str">
        <f ca="1">IFERROR(__xludf.DUMMYFUNCTION("""COMPUTED_VALUE"""),"s2_ka04d4104_jetting")</f>
        <v>s2_ka04d4104_jetting</v>
      </c>
      <c r="D1456" s="2">
        <f ca="1">IFERROR(__xludf.DUMMYFUNCTION("""COMPUTED_VALUE"""),44561)</f>
        <v>44561</v>
      </c>
      <c r="E1456" s="3">
        <f ca="1">IFERROR(__xludf.DUMMYFUNCTION("""COMPUTED_VALUE"""),0.732824074075324)</f>
        <v>0.73282407407532402</v>
      </c>
      <c r="F1456" s="1">
        <f ca="1">IFERROR(__xludf.DUMMYFUNCTION("""COMPUTED_VALUE"""),21600)</f>
        <v>21600</v>
      </c>
      <c r="G1456" s="1" t="str">
        <f ca="1">IFERROR(__xludf.DUMMYFUNCTION("""COMPUTED_VALUE"""),"12.8735/77.5846")</f>
        <v>12.8735/77.5846</v>
      </c>
      <c r="H1456" s="1" t="str">
        <f ca="1">IFERROR(__xludf.DUMMYFUNCTION("""COMPUTED_VALUE"""),"Quality Inn Shravanthi")</f>
        <v>Quality Inn Shravanthi</v>
      </c>
      <c r="I1456" s="1"/>
      <c r="J1456" s="1" t="str">
        <f ca="1">IFERROR(__xludf.DUMMYFUNCTION("""COMPUTED_VALUE"""),"0d 00h 00m")</f>
        <v>0d 00h 00m</v>
      </c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13.2">
      <c r="A1457" s="1">
        <f ca="1">IFERROR(__xludf.DUMMYFUNCTION("""COMPUTED_VALUE"""),38)</f>
        <v>38</v>
      </c>
      <c r="B1457" s="1" t="str">
        <f ca="1">IFERROR(__xludf.DUMMYFUNCTION("""COMPUTED_VALUE"""),"S2_KA04D4104_Jetting")</f>
        <v>S2_KA04D4104_Jetting</v>
      </c>
      <c r="C1457" s="1" t="str">
        <f ca="1">IFERROR(__xludf.DUMMYFUNCTION("""COMPUTED_VALUE"""),"s2_ka04d4104_jetting")</f>
        <v>s2_ka04d4104_jetting</v>
      </c>
      <c r="D1457" s="2">
        <f ca="1">IFERROR(__xludf.DUMMYFUNCTION("""COMPUTED_VALUE"""),44561)</f>
        <v>44561</v>
      </c>
      <c r="E1457" s="3">
        <f ca="1">IFERROR(__xludf.DUMMYFUNCTION("""COMPUTED_VALUE"""),0.732824074075324)</f>
        <v>0.73282407407532402</v>
      </c>
      <c r="F1457" s="1">
        <f ca="1">IFERROR(__xludf.DUMMYFUNCTION("""COMPUTED_VALUE"""),21600)</f>
        <v>21600</v>
      </c>
      <c r="G1457" s="1" t="str">
        <f ca="1">IFERROR(__xludf.DUMMYFUNCTION("""COMPUTED_VALUE"""),"12.8735/77.5846")</f>
        <v>12.8735/77.5846</v>
      </c>
      <c r="H1457" s="1" t="str">
        <f ca="1">IFERROR(__xludf.DUMMYFUNCTION("""COMPUTED_VALUE"""),"Quality Inn Shravanthi")</f>
        <v>Quality Inn Shravanthi</v>
      </c>
      <c r="I1457" s="1"/>
      <c r="J1457" s="1" t="str">
        <f ca="1">IFERROR(__xludf.DUMMYFUNCTION("""COMPUTED_VALUE"""),"0d 00h 00m")</f>
        <v>0d 00h 00m</v>
      </c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13.2">
      <c r="A1458" s="1">
        <f ca="1">IFERROR(__xludf.DUMMYFUNCTION("""COMPUTED_VALUE"""),52)</f>
        <v>52</v>
      </c>
      <c r="B1458" s="1" t="str">
        <f ca="1">IFERROR(__xludf.DUMMYFUNCTION("""COMPUTED_VALUE"""),"S2_KA04D5124_Tanker")</f>
        <v>S2_KA04D5124_Tanker</v>
      </c>
      <c r="C1458" s="1" t="str">
        <f ca="1">IFERROR(__xludf.DUMMYFUNCTION("""COMPUTED_VALUE"""),"s2_ka04d5124_tanker")</f>
        <v>s2_ka04d5124_tanker</v>
      </c>
      <c r="D1458" s="2">
        <f ca="1">IFERROR(__xludf.DUMMYFUNCTION("""COMPUTED_VALUE"""),44620)</f>
        <v>44620</v>
      </c>
      <c r="E1458" s="3">
        <f ca="1">IFERROR(__xludf.DUMMYFUNCTION("""COMPUTED_VALUE"""),0.711423611111968)</f>
        <v>0.71142361111196795</v>
      </c>
      <c r="F1458" s="1">
        <f ca="1">IFERROR(__xludf.DUMMYFUNCTION("""COMPUTED_VALUE"""),40552)</f>
        <v>40552</v>
      </c>
      <c r="G1458" s="1" t="str">
        <f ca="1">IFERROR(__xludf.DUMMYFUNCTION("""COMPUTED_VALUE"""),"12.8541/77.5722")</f>
        <v>12.8541/77.5722</v>
      </c>
      <c r="H1458" s="1" t="str">
        <f ca="1">IFERROR(__xludf.DUMMYFUNCTION("""COMPUTED_VALUE"""),"Gottigere")</f>
        <v>Gottigere</v>
      </c>
      <c r="I1458" s="1"/>
      <c r="J1458" s="1" t="str">
        <f ca="1">IFERROR(__xludf.DUMMYFUNCTION("""COMPUTED_VALUE"""),"26d 17h 01m")</f>
        <v>26d 17h 01m</v>
      </c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13.2">
      <c r="A1459" s="1">
        <f ca="1">IFERROR(__xludf.DUMMYFUNCTION("""COMPUTED_VALUE"""),80)</f>
        <v>80</v>
      </c>
      <c r="B1459" s="1" t="str">
        <f ca="1">IFERROR(__xludf.DUMMYFUNCTION("""COMPUTED_VALUE"""),"S2_KA04D5124_Tanker")</f>
        <v>S2_KA04D5124_Tanker</v>
      </c>
      <c r="C1459" s="1" t="str">
        <f ca="1">IFERROR(__xludf.DUMMYFUNCTION("""COMPUTED_VALUE"""),"s2_ka04d5124_tanker")</f>
        <v>s2_ka04d5124_tanker</v>
      </c>
      <c r="D1459" s="2">
        <f ca="1">IFERROR(__xludf.DUMMYFUNCTION("""COMPUTED_VALUE"""),44725)</f>
        <v>44725</v>
      </c>
      <c r="E1459" s="3">
        <f ca="1">IFERROR(__xludf.DUMMYFUNCTION("""COMPUTED_VALUE"""),0.492743055554456)</f>
        <v>0.49274305555445602</v>
      </c>
      <c r="F1459" s="1">
        <f ca="1">IFERROR(__xludf.DUMMYFUNCTION("""COMPUTED_VALUE"""),40595)</f>
        <v>40595</v>
      </c>
      <c r="G1459" s="1" t="str">
        <f ca="1">IFERROR(__xludf.DUMMYFUNCTION("""COMPUTED_VALUE"""),"12.8736/77.5841")</f>
        <v>12.8736/77.5841</v>
      </c>
      <c r="H1459" s="1" t="str">
        <f ca="1">IFERROR(__xludf.DUMMYFUNCTION("""COMPUTED_VALUE"""),"Quality Inn Shravanthi")</f>
        <v>Quality Inn Shravanthi</v>
      </c>
      <c r="I1459" s="1"/>
      <c r="J1459" s="1" t="str">
        <f ca="1">IFERROR(__xludf.DUMMYFUNCTION("""COMPUTED_VALUE"""),"26d 17h 02m")</f>
        <v>26d 17h 02m</v>
      </c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13.2">
      <c r="A1460" s="1">
        <f ca="1">IFERROR(__xludf.DUMMYFUNCTION("""COMPUTED_VALUE"""),142)</f>
        <v>142</v>
      </c>
      <c r="B1460" s="1" t="str">
        <f ca="1">IFERROR(__xludf.DUMMYFUNCTION("""COMPUTED_VALUE"""),"S2_KA04D5124_Tanker")</f>
        <v>S2_KA04D5124_Tanker</v>
      </c>
      <c r="C1460" s="1" t="str">
        <f ca="1">IFERROR(__xludf.DUMMYFUNCTION("""COMPUTED_VALUE"""),"s2_ka04d5124_tanker")</f>
        <v>s2_ka04d5124_tanker</v>
      </c>
      <c r="D1460" s="2">
        <f ca="1">IFERROR(__xludf.DUMMYFUNCTION("""COMPUTED_VALUE"""),44768)</f>
        <v>44768</v>
      </c>
      <c r="E1460" s="3">
        <f ca="1">IFERROR(__xludf.DUMMYFUNCTION("""COMPUTED_VALUE"""),0.6775000000016)</f>
        <v>0.67750000000160004</v>
      </c>
      <c r="F1460" s="1">
        <f ca="1">IFERROR(__xludf.DUMMYFUNCTION("""COMPUTED_VALUE"""),40644)</f>
        <v>40644</v>
      </c>
      <c r="G1460" s="1" t="str">
        <f ca="1">IFERROR(__xludf.DUMMYFUNCTION("""COMPUTED_VALUE"""),"12.8581/77.5747")</f>
        <v>12.8581/77.5747</v>
      </c>
      <c r="H1460" s="1" t="str">
        <f ca="1">IFERROR(__xludf.DUMMYFUNCTION("""COMPUTED_VALUE"""),"Gottigere")</f>
        <v>Gottigere</v>
      </c>
      <c r="I1460" s="1"/>
      <c r="J1460" s="1" t="str">
        <f ca="1">IFERROR(__xludf.DUMMYFUNCTION("""COMPUTED_VALUE"""),"26d 17h 03m")</f>
        <v>26d 17h 03m</v>
      </c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13.2">
      <c r="A1461" s="1">
        <f ca="1">IFERROR(__xludf.DUMMYFUNCTION("""COMPUTED_VALUE"""),135)</f>
        <v>135</v>
      </c>
      <c r="B1461" s="1" t="str">
        <f ca="1">IFERROR(__xludf.DUMMYFUNCTION("""COMPUTED_VALUE"""),"S2_KA04D5124_Tanker")</f>
        <v>S2_KA04D5124_Tanker</v>
      </c>
      <c r="C1461" s="1" t="str">
        <f ca="1">IFERROR(__xludf.DUMMYFUNCTION("""COMPUTED_VALUE"""),"s2_ka04d5124_tanker")</f>
        <v>s2_ka04d5124_tanker</v>
      </c>
      <c r="D1461" s="2">
        <f ca="1">IFERROR(__xludf.DUMMYFUNCTION("""COMPUTED_VALUE"""),44796)</f>
        <v>44796</v>
      </c>
      <c r="E1461" s="3">
        <f ca="1">IFERROR(__xludf.DUMMYFUNCTION("""COMPUTED_VALUE"""),0.317118055554601)</f>
        <v>0.31711805555460099</v>
      </c>
      <c r="F1461" s="1">
        <f ca="1">IFERROR(__xludf.DUMMYFUNCTION("""COMPUTED_VALUE"""),40697)</f>
        <v>40697</v>
      </c>
      <c r="G1461" s="1" t="str">
        <f ca="1">IFERROR(__xludf.DUMMYFUNCTION("""COMPUTED_VALUE"""),"12.8558/77.5722")</f>
        <v>12.8558/77.5722</v>
      </c>
      <c r="H1461" s="1" t="str">
        <f ca="1">IFERROR(__xludf.DUMMYFUNCTION("""COMPUTED_VALUE"""),"Gottigere")</f>
        <v>Gottigere</v>
      </c>
      <c r="I1461" s="1"/>
      <c r="J1461" s="1" t="str">
        <f ca="1">IFERROR(__xludf.DUMMYFUNCTION("""COMPUTED_VALUE"""),"26d 17h 04m")</f>
        <v>26d 17h 04m</v>
      </c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13.2">
      <c r="A1462" s="1">
        <f ca="1">IFERROR(__xludf.DUMMYFUNCTION("""COMPUTED_VALUE"""),101)</f>
        <v>101</v>
      </c>
      <c r="B1462" s="1" t="str">
        <f ca="1">IFERROR(__xludf.DUMMYFUNCTION("""COMPUTED_VALUE"""),"S2_KA04D5124_Tanker")</f>
        <v>S2_KA04D5124_Tanker</v>
      </c>
      <c r="C1462" s="1" t="str">
        <f ca="1">IFERROR(__xludf.DUMMYFUNCTION("""COMPUTED_VALUE"""),"s2_ka04d5124_tanker")</f>
        <v>s2_ka04d5124_tanker</v>
      </c>
      <c r="D1462" s="2">
        <f ca="1">IFERROR(__xludf.DUMMYFUNCTION("""COMPUTED_VALUE"""),44819)</f>
        <v>44819</v>
      </c>
      <c r="E1462" s="3">
        <f ca="1">IFERROR(__xludf.DUMMYFUNCTION("""COMPUTED_VALUE"""),0.400289351851824)</f>
        <v>0.40028935185182402</v>
      </c>
      <c r="F1462" s="1">
        <f ca="1">IFERROR(__xludf.DUMMYFUNCTION("""COMPUTED_VALUE"""),40714)</f>
        <v>40714</v>
      </c>
      <c r="G1462" s="1" t="str">
        <f ca="1">IFERROR(__xludf.DUMMYFUNCTION("""COMPUTED_VALUE"""),"12.8704/77.5819")</f>
        <v>12.8704/77.5819</v>
      </c>
      <c r="H1462" s="1" t="str">
        <f ca="1">IFERROR(__xludf.DUMMYFUNCTION("""COMPUTED_VALUE"""),"Gottigere")</f>
        <v>Gottigere</v>
      </c>
      <c r="I1462" s="1"/>
      <c r="J1462" s="1" t="str">
        <f ca="1">IFERROR(__xludf.DUMMYFUNCTION("""COMPUTED_VALUE"""),"26d 17h 05m")</f>
        <v>26d 17h 05m</v>
      </c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13.2">
      <c r="A1463" s="1">
        <f ca="1">IFERROR(__xludf.DUMMYFUNCTION("""COMPUTED_VALUE"""),66)</f>
        <v>66</v>
      </c>
      <c r="B1463" s="1" t="str">
        <f ca="1">IFERROR(__xludf.DUMMYFUNCTION("""COMPUTED_VALUE"""),"S2_KA04D5124_Tanker")</f>
        <v>S2_KA04D5124_Tanker</v>
      </c>
      <c r="C1463" s="1" t="str">
        <f ca="1">IFERROR(__xludf.DUMMYFUNCTION("""COMPUTED_VALUE"""),"s2_ka04d5124_tanker")</f>
        <v>s2_ka04d5124_tanker</v>
      </c>
      <c r="D1463" s="2">
        <f ca="1">IFERROR(__xludf.DUMMYFUNCTION("""COMPUTED_VALUE"""),44819)</f>
        <v>44819</v>
      </c>
      <c r="E1463" s="3">
        <f ca="1">IFERROR(__xludf.DUMMYFUNCTION("""COMPUTED_VALUE"""),0.400289351851824)</f>
        <v>0.40028935185182402</v>
      </c>
      <c r="F1463" s="1">
        <f ca="1">IFERROR(__xludf.DUMMYFUNCTION("""COMPUTED_VALUE"""),40714)</f>
        <v>40714</v>
      </c>
      <c r="G1463" s="1" t="str">
        <f ca="1">IFERROR(__xludf.DUMMYFUNCTION("""COMPUTED_VALUE"""),"12.8704/77.5819")</f>
        <v>12.8704/77.5819</v>
      </c>
      <c r="H1463" s="1" t="str">
        <f ca="1">IFERROR(__xludf.DUMMYFUNCTION("""COMPUTED_VALUE"""),"Gottigere")</f>
        <v>Gottigere</v>
      </c>
      <c r="I1463" s="1"/>
      <c r="J1463" s="1" t="str">
        <f ca="1">IFERROR(__xludf.DUMMYFUNCTION("""COMPUTED_VALUE"""),"26d 17h 05m")</f>
        <v>26d 17h 05m</v>
      </c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13.2">
      <c r="A1464" s="1">
        <f ca="1">IFERROR(__xludf.DUMMYFUNCTION("""COMPUTED_VALUE"""),49)</f>
        <v>49</v>
      </c>
      <c r="B1464" s="1" t="str">
        <f ca="1">IFERROR(__xludf.DUMMYFUNCTION("""COMPUTED_VALUE"""),"S2_KA04D5161_Jetting")</f>
        <v>S2_KA04D5161_Jetting</v>
      </c>
      <c r="C1464" s="1" t="str">
        <f ca="1">IFERROR(__xludf.DUMMYFUNCTION("""COMPUTED_VALUE"""),"s2_ka04d5161_jetting")</f>
        <v>s2_ka04d5161_jetting</v>
      </c>
      <c r="D1464" s="2">
        <f ca="1">IFERROR(__xludf.DUMMYFUNCTION("""COMPUTED_VALUE"""),44607)</f>
        <v>44607</v>
      </c>
      <c r="E1464" s="3">
        <f ca="1">IFERROR(__xludf.DUMMYFUNCTION("""COMPUTED_VALUE"""),0.385173611110076)</f>
        <v>0.38517361111007598</v>
      </c>
      <c r="F1464" s="1">
        <f ca="1">IFERROR(__xludf.DUMMYFUNCTION("""COMPUTED_VALUE"""),20342)</f>
        <v>20342</v>
      </c>
      <c r="G1464" s="1" t="str">
        <f ca="1">IFERROR(__xludf.DUMMYFUNCTION("""COMPUTED_VALUE"""),"12.8739/77.5840")</f>
        <v>12.8739/77.5840</v>
      </c>
      <c r="H1464" s="1" t="str">
        <f ca="1">IFERROR(__xludf.DUMMYFUNCTION("""COMPUTED_VALUE"""),"Quality Inn Shravanthi")</f>
        <v>Quality Inn Shravanthi</v>
      </c>
      <c r="I1464" s="1"/>
      <c r="J1464" s="1" t="str">
        <f ca="1">IFERROR(__xludf.DUMMYFUNCTION("""COMPUTED_VALUE"""),"0d 00h 00m")</f>
        <v>0d 00h 00m</v>
      </c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13.2">
      <c r="A1465" s="1">
        <f ca="1">IFERROR(__xludf.DUMMYFUNCTION("""COMPUTED_VALUE"""),43)</f>
        <v>43</v>
      </c>
      <c r="B1465" s="1" t="str">
        <f ca="1">IFERROR(__xludf.DUMMYFUNCTION("""COMPUTED_VALUE"""),"S2_KA04D5161_Jetting")</f>
        <v>S2_KA04D5161_Jetting</v>
      </c>
      <c r="C1465" s="1" t="str">
        <f ca="1">IFERROR(__xludf.DUMMYFUNCTION("""COMPUTED_VALUE"""),"s2_ka04d5161_jetting")</f>
        <v>s2_ka04d5161_jetting</v>
      </c>
      <c r="D1465" s="2">
        <f ca="1">IFERROR(__xludf.DUMMYFUNCTION("""COMPUTED_VALUE"""),44607)</f>
        <v>44607</v>
      </c>
      <c r="E1465" s="3">
        <f ca="1">IFERROR(__xludf.DUMMYFUNCTION("""COMPUTED_VALUE"""),0.385173611110076)</f>
        <v>0.38517361111007598</v>
      </c>
      <c r="F1465" s="1">
        <f ca="1">IFERROR(__xludf.DUMMYFUNCTION("""COMPUTED_VALUE"""),20342)</f>
        <v>20342</v>
      </c>
      <c r="G1465" s="1" t="str">
        <f ca="1">IFERROR(__xludf.DUMMYFUNCTION("""COMPUTED_VALUE"""),"12.8739/77.5840")</f>
        <v>12.8739/77.5840</v>
      </c>
      <c r="H1465" s="1" t="str">
        <f ca="1">IFERROR(__xludf.DUMMYFUNCTION("""COMPUTED_VALUE"""),"Quality Inn Shravanthi")</f>
        <v>Quality Inn Shravanthi</v>
      </c>
      <c r="I1465" s="1"/>
      <c r="J1465" s="1" t="str">
        <f ca="1">IFERROR(__xludf.DUMMYFUNCTION("""COMPUTED_VALUE"""),"0d 00h 00m")</f>
        <v>0d 00h 00m</v>
      </c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13.2">
      <c r="A1466" s="1">
        <f ca="1">IFERROR(__xludf.DUMMYFUNCTION("""COMPUTED_VALUE"""),74)</f>
        <v>74</v>
      </c>
      <c r="B1466" s="1" t="str">
        <f ca="1">IFERROR(__xludf.DUMMYFUNCTION("""COMPUTED_VALUE"""),"S2_KA04D5161_Jetting")</f>
        <v>S2_KA04D5161_Jetting</v>
      </c>
      <c r="C1466" s="1" t="str">
        <f ca="1">IFERROR(__xludf.DUMMYFUNCTION("""COMPUTED_VALUE"""),"s2_ka04d5161_jetting")</f>
        <v>s2_ka04d5161_jetting</v>
      </c>
      <c r="D1466" s="2">
        <f ca="1">IFERROR(__xludf.DUMMYFUNCTION("""COMPUTED_VALUE"""),44740)</f>
        <v>44740</v>
      </c>
      <c r="E1466" s="3">
        <f ca="1">IFERROR(__xludf.DUMMYFUNCTION("""COMPUTED_VALUE"""),0.574918981481459)</f>
        <v>0.57491898148145903</v>
      </c>
      <c r="F1466" s="1">
        <f ca="1">IFERROR(__xludf.DUMMYFUNCTION("""COMPUTED_VALUE"""),20351)</f>
        <v>20351</v>
      </c>
      <c r="G1466" s="1" t="str">
        <f ca="1">IFERROR(__xludf.DUMMYFUNCTION("""COMPUTED_VALUE"""),"12.8929/77.5717")</f>
        <v>12.8929/77.5717</v>
      </c>
      <c r="H1466" s="1" t="str">
        <f ca="1">IFERROR(__xludf.DUMMYFUNCTION("""COMPUTED_VALUE"""),"Chunchgatta Main Rd")</f>
        <v>Chunchgatta Main Rd</v>
      </c>
      <c r="I1466" s="1"/>
      <c r="J1466" s="1" t="str">
        <f ca="1">IFERROR(__xludf.DUMMYFUNCTION("""COMPUTED_VALUE"""),"0d 00h 00m")</f>
        <v>0d 00h 00m</v>
      </c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13.2">
      <c r="A1467" s="1">
        <f ca="1">IFERROR(__xludf.DUMMYFUNCTION("""COMPUTED_VALUE"""),65)</f>
        <v>65</v>
      </c>
      <c r="B1467" s="1" t="str">
        <f ca="1">IFERROR(__xludf.DUMMYFUNCTION("""COMPUTED_VALUE"""),"S2_KA04D5161_Jetting")</f>
        <v>S2_KA04D5161_Jetting</v>
      </c>
      <c r="C1467" s="1" t="str">
        <f ca="1">IFERROR(__xludf.DUMMYFUNCTION("""COMPUTED_VALUE"""),"s2_ka04d5161_jetting")</f>
        <v>s2_ka04d5161_jetting</v>
      </c>
      <c r="D1467" s="2">
        <f ca="1">IFERROR(__xludf.DUMMYFUNCTION("""COMPUTED_VALUE"""),44740)</f>
        <v>44740</v>
      </c>
      <c r="E1467" s="3">
        <f ca="1">IFERROR(__xludf.DUMMYFUNCTION("""COMPUTED_VALUE"""),0.574918981481459)</f>
        <v>0.57491898148145903</v>
      </c>
      <c r="F1467" s="1">
        <f ca="1">IFERROR(__xludf.DUMMYFUNCTION("""COMPUTED_VALUE"""),20351)</f>
        <v>20351</v>
      </c>
      <c r="G1467" s="1" t="str">
        <f ca="1">IFERROR(__xludf.DUMMYFUNCTION("""COMPUTED_VALUE"""),"12.8929/77.5717")</f>
        <v>12.8929/77.5717</v>
      </c>
      <c r="H1467" s="1" t="str">
        <f ca="1">IFERROR(__xludf.DUMMYFUNCTION("""COMPUTED_VALUE"""),"Chunchgatta Main Rd")</f>
        <v>Chunchgatta Main Rd</v>
      </c>
      <c r="I1467" s="1"/>
      <c r="J1467" s="1" t="str">
        <f ca="1">IFERROR(__xludf.DUMMYFUNCTION("""COMPUTED_VALUE"""),"0d 00h 00m")</f>
        <v>0d 00h 00m</v>
      </c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13.2">
      <c r="A1468" s="1">
        <f ca="1">IFERROR(__xludf.DUMMYFUNCTION("""COMPUTED_VALUE"""),51)</f>
        <v>51</v>
      </c>
      <c r="B1468" s="1" t="str">
        <f ca="1">IFERROR(__xludf.DUMMYFUNCTION("""COMPUTED_VALUE"""),"S2_KA04D5161_Jetting")</f>
        <v>S2_KA04D5161_Jetting</v>
      </c>
      <c r="C1468" s="1" t="str">
        <f ca="1">IFERROR(__xludf.DUMMYFUNCTION("""COMPUTED_VALUE"""),"s2_ka04d5161_jetting")</f>
        <v>s2_ka04d5161_jetting</v>
      </c>
      <c r="D1468" s="2">
        <f ca="1">IFERROR(__xludf.DUMMYFUNCTION("""COMPUTED_VALUE"""),44740)</f>
        <v>44740</v>
      </c>
      <c r="E1468" s="3">
        <f ca="1">IFERROR(__xludf.DUMMYFUNCTION("""COMPUTED_VALUE"""),0.574918981481459)</f>
        <v>0.57491898148145903</v>
      </c>
      <c r="F1468" s="1">
        <f ca="1">IFERROR(__xludf.DUMMYFUNCTION("""COMPUTED_VALUE"""),20351)</f>
        <v>20351</v>
      </c>
      <c r="G1468" s="1" t="str">
        <f ca="1">IFERROR(__xludf.DUMMYFUNCTION("""COMPUTED_VALUE"""),"12.8929/77.5717")</f>
        <v>12.8929/77.5717</v>
      </c>
      <c r="H1468" s="1" t="str">
        <f ca="1">IFERROR(__xludf.DUMMYFUNCTION("""COMPUTED_VALUE"""),"Chunchgatta Main Rd")</f>
        <v>Chunchgatta Main Rd</v>
      </c>
      <c r="I1468" s="1"/>
      <c r="J1468" s="1" t="str">
        <f ca="1">IFERROR(__xludf.DUMMYFUNCTION("""COMPUTED_VALUE"""),"0d 00h 00m")</f>
        <v>0d 00h 00m</v>
      </c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13.2">
      <c r="A1469" s="1">
        <f ca="1">IFERROR(__xludf.DUMMYFUNCTION("""COMPUTED_VALUE"""),50)</f>
        <v>50</v>
      </c>
      <c r="B1469" s="1" t="str">
        <f ca="1">IFERROR(__xludf.DUMMYFUNCTION("""COMPUTED_VALUE"""),"S2_KA04D5161_Jetting")</f>
        <v>S2_KA04D5161_Jetting</v>
      </c>
      <c r="C1469" s="1" t="str">
        <f ca="1">IFERROR(__xludf.DUMMYFUNCTION("""COMPUTED_VALUE"""),"s2_ka04d5161_jetting")</f>
        <v>s2_ka04d5161_jetting</v>
      </c>
      <c r="D1469" s="2">
        <f ca="1">IFERROR(__xludf.DUMMYFUNCTION("""COMPUTED_VALUE"""),44740)</f>
        <v>44740</v>
      </c>
      <c r="E1469" s="3">
        <f ca="1">IFERROR(__xludf.DUMMYFUNCTION("""COMPUTED_VALUE"""),0.574918981481459)</f>
        <v>0.57491898148145903</v>
      </c>
      <c r="F1469" s="1">
        <f ca="1">IFERROR(__xludf.DUMMYFUNCTION("""COMPUTED_VALUE"""),20351)</f>
        <v>20351</v>
      </c>
      <c r="G1469" s="1" t="str">
        <f ca="1">IFERROR(__xludf.DUMMYFUNCTION("""COMPUTED_VALUE"""),"12.8929/77.5717")</f>
        <v>12.8929/77.5717</v>
      </c>
      <c r="H1469" s="1" t="str">
        <f ca="1">IFERROR(__xludf.DUMMYFUNCTION("""COMPUTED_VALUE"""),"Chunchgatta Main Rd")</f>
        <v>Chunchgatta Main Rd</v>
      </c>
      <c r="I1469" s="1"/>
      <c r="J1469" s="1" t="str">
        <f ca="1">IFERROR(__xludf.DUMMYFUNCTION("""COMPUTED_VALUE"""),"0d 00h 00m")</f>
        <v>0d 00h 00m</v>
      </c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13.2">
      <c r="A1470" s="1">
        <f ca="1">IFERROR(__xludf.DUMMYFUNCTION("""COMPUTED_VALUE"""),115)</f>
        <v>115</v>
      </c>
      <c r="B1470" s="1" t="str">
        <f ca="1">IFERROR(__xludf.DUMMYFUNCTION("""COMPUTED_VALUE"""),"S2_KA04D5296_Tanker")</f>
        <v>S2_KA04D5296_Tanker</v>
      </c>
      <c r="C1470" s="1" t="str">
        <f ca="1">IFERROR(__xludf.DUMMYFUNCTION("""COMPUTED_VALUE"""),"s2_ka04d5296_tanker")</f>
        <v>s2_ka04d5296_tanker</v>
      </c>
      <c r="D1470" s="2">
        <f ca="1">IFERROR(__xludf.DUMMYFUNCTION("""COMPUTED_VALUE"""),44706)</f>
        <v>44706</v>
      </c>
      <c r="E1470" s="3">
        <f ca="1">IFERROR(__xludf.DUMMYFUNCTION("""COMPUTED_VALUE"""),0.602002314815763)</f>
        <v>0.60200231481576305</v>
      </c>
      <c r="F1470" s="1">
        <f ca="1">IFERROR(__xludf.DUMMYFUNCTION("""COMPUTED_VALUE"""),47897)</f>
        <v>47897</v>
      </c>
      <c r="G1470" s="1" t="str">
        <f ca="1">IFERROR(__xludf.DUMMYFUNCTION("""COMPUTED_VALUE"""),"12.8986/77.5120")</f>
        <v>12.8986/77.5120</v>
      </c>
      <c r="H1470" s="1" t="str">
        <f ca="1">IFERROR(__xludf.DUMMYFUNCTION("""COMPUTED_VALUE"""),"Rajarajeshwari Nagar")</f>
        <v>Rajarajeshwari Nagar</v>
      </c>
      <c r="I1470" s="1"/>
      <c r="J1470" s="1" t="str">
        <f ca="1">IFERROR(__xludf.DUMMYFUNCTION("""COMPUTED_VALUE"""),"0d 00h 00m")</f>
        <v>0d 00h 00m</v>
      </c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13.2">
      <c r="A1471" s="1">
        <f ca="1">IFERROR(__xludf.DUMMYFUNCTION("""COMPUTED_VALUE"""),190)</f>
        <v>190</v>
      </c>
      <c r="B1471" s="1" t="str">
        <f ca="1">IFERROR(__xludf.DUMMYFUNCTION("""COMPUTED_VALUE"""),"S2_KA04D5296_Tanker")</f>
        <v>S2_KA04D5296_Tanker</v>
      </c>
      <c r="C1471" s="1" t="str">
        <f ca="1">IFERROR(__xludf.DUMMYFUNCTION("""COMPUTED_VALUE"""),"s2_ka04d5296_tanker")</f>
        <v>s2_ka04d5296_tanker</v>
      </c>
      <c r="D1471" s="2">
        <f ca="1">IFERROR(__xludf.DUMMYFUNCTION("""COMPUTED_VALUE"""),44738)</f>
        <v>44738</v>
      </c>
      <c r="E1471" s="3">
        <f ca="1">IFERROR(__xludf.DUMMYFUNCTION("""COMPUTED_VALUE"""),0.999120370372111)</f>
        <v>0.99912037037211099</v>
      </c>
      <c r="F1471" s="1">
        <f ca="1">IFERROR(__xludf.DUMMYFUNCTION("""COMPUTED_VALUE"""),48771)</f>
        <v>48771</v>
      </c>
      <c r="G1471" s="1" t="str">
        <f ca="1">IFERROR(__xludf.DUMMYFUNCTION("""COMPUTED_VALUE"""),"12.8739/77.5840")</f>
        <v>12.8739/77.5840</v>
      </c>
      <c r="H1471" s="1" t="str">
        <f ca="1">IFERROR(__xludf.DUMMYFUNCTION("""COMPUTED_VALUE"""),"Quality Inn Shravanthi")</f>
        <v>Quality Inn Shravanthi</v>
      </c>
      <c r="I1471" s="1"/>
      <c r="J1471" s="1" t="str">
        <f ca="1">IFERROR(__xludf.DUMMYFUNCTION("""COMPUTED_VALUE"""),"0d 00h 00m")</f>
        <v>0d 00h 00m</v>
      </c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13.2">
      <c r="A1472" s="1">
        <f ca="1">IFERROR(__xludf.DUMMYFUNCTION("""COMPUTED_VALUE"""),163)</f>
        <v>163</v>
      </c>
      <c r="B1472" s="1" t="str">
        <f ca="1">IFERROR(__xludf.DUMMYFUNCTION("""COMPUTED_VALUE"""),"S2_KA04D5296_Tanker")</f>
        <v>S2_KA04D5296_Tanker</v>
      </c>
      <c r="C1472" s="1" t="str">
        <f ca="1">IFERROR(__xludf.DUMMYFUNCTION("""COMPUTED_VALUE"""),"s2_ka04d5296_tanker")</f>
        <v>s2_ka04d5296_tanker</v>
      </c>
      <c r="D1472" s="2">
        <f ca="1">IFERROR(__xludf.DUMMYFUNCTION("""COMPUTED_VALUE"""),44768)</f>
        <v>44768</v>
      </c>
      <c r="E1472" s="3">
        <f ca="1">IFERROR(__xludf.DUMMYFUNCTION("""COMPUTED_VALUE"""),0.998969907406717)</f>
        <v>0.99896990740671698</v>
      </c>
      <c r="F1472" s="1">
        <f ca="1">IFERROR(__xludf.DUMMYFUNCTION("""COMPUTED_VALUE"""),50309)</f>
        <v>50309</v>
      </c>
      <c r="G1472" s="1" t="str">
        <f ca="1">IFERROR(__xludf.DUMMYFUNCTION("""COMPUTED_VALUE"""),"12.8738/77.5842")</f>
        <v>12.8738/77.5842</v>
      </c>
      <c r="H1472" s="1" t="str">
        <f ca="1">IFERROR(__xludf.DUMMYFUNCTION("""COMPUTED_VALUE"""),"Quality Inn Shravanthi")</f>
        <v>Quality Inn Shravanthi</v>
      </c>
      <c r="I1472" s="1"/>
      <c r="J1472" s="1" t="str">
        <f ca="1">IFERROR(__xludf.DUMMYFUNCTION("""COMPUTED_VALUE"""),"0d 00h 00m")</f>
        <v>0d 00h 00m</v>
      </c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13.2">
      <c r="A1473" s="1">
        <f ca="1">IFERROR(__xludf.DUMMYFUNCTION("""COMPUTED_VALUE"""),212)</f>
        <v>212</v>
      </c>
      <c r="B1473" s="1" t="str">
        <f ca="1">IFERROR(__xludf.DUMMYFUNCTION("""COMPUTED_VALUE"""),"S2_KA04D5296_Tanker")</f>
        <v>S2_KA04D5296_Tanker</v>
      </c>
      <c r="C1473" s="1" t="str">
        <f ca="1">IFERROR(__xludf.DUMMYFUNCTION("""COMPUTED_VALUE"""),"s2_ka04d5296_tanker")</f>
        <v>s2_ka04d5296_tanker</v>
      </c>
      <c r="D1473" s="2">
        <f ca="1">IFERROR(__xludf.DUMMYFUNCTION("""COMPUTED_VALUE"""),44799)</f>
        <v>44799</v>
      </c>
      <c r="E1473" s="3">
        <f ca="1">IFERROR(__xludf.DUMMYFUNCTION("""COMPUTED_VALUE"""),0.999178240741457)</f>
        <v>0.999178240741457</v>
      </c>
      <c r="F1473" s="1">
        <f ca="1">IFERROR(__xludf.DUMMYFUNCTION("""COMPUTED_VALUE"""),51994)</f>
        <v>51994</v>
      </c>
      <c r="G1473" s="1" t="str">
        <f ca="1">IFERROR(__xludf.DUMMYFUNCTION("""COMPUTED_VALUE"""),"12.8738/77.5842")</f>
        <v>12.8738/77.5842</v>
      </c>
      <c r="H1473" s="1" t="str">
        <f ca="1">IFERROR(__xludf.DUMMYFUNCTION("""COMPUTED_VALUE"""),"Quality Inn Shravanthi")</f>
        <v>Quality Inn Shravanthi</v>
      </c>
      <c r="I1473" s="1"/>
      <c r="J1473" s="1" t="str">
        <f ca="1">IFERROR(__xludf.DUMMYFUNCTION("""COMPUTED_VALUE"""),"0d 00h 00m")</f>
        <v>0d 00h 00m</v>
      </c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13.2">
      <c r="A1474" s="1">
        <f ca="1">IFERROR(__xludf.DUMMYFUNCTION("""COMPUTED_VALUE"""),224)</f>
        <v>224</v>
      </c>
      <c r="B1474" s="1" t="str">
        <f ca="1">IFERROR(__xludf.DUMMYFUNCTION("""COMPUTED_VALUE"""),"S2_KA04D5296_Tanker")</f>
        <v>S2_KA04D5296_Tanker</v>
      </c>
      <c r="C1474" s="1" t="str">
        <f ca="1">IFERROR(__xludf.DUMMYFUNCTION("""COMPUTED_VALUE"""),"s2_ka04d5296_tanker")</f>
        <v>s2_ka04d5296_tanker</v>
      </c>
      <c r="D1474" s="2">
        <f ca="1">IFERROR(__xludf.DUMMYFUNCTION("""COMPUTED_VALUE"""),44830)</f>
        <v>44830</v>
      </c>
      <c r="E1474" s="3">
        <f ca="1">IFERROR(__xludf.DUMMYFUNCTION("""COMPUTED_VALUE"""),0.999236111110803)</f>
        <v>0.99923611111080302</v>
      </c>
      <c r="F1474" s="1">
        <f ca="1">IFERROR(__xludf.DUMMYFUNCTION("""COMPUTED_VALUE"""),53286)</f>
        <v>53286</v>
      </c>
      <c r="G1474" s="1" t="str">
        <f ca="1">IFERROR(__xludf.DUMMYFUNCTION("""COMPUTED_VALUE"""),"12.8986/77.5117")</f>
        <v>12.8986/77.5117</v>
      </c>
      <c r="H1474" s="1" t="str">
        <f ca="1">IFERROR(__xludf.DUMMYFUNCTION("""COMPUTED_VALUE"""),"Not found!")</f>
        <v>Not found!</v>
      </c>
      <c r="I1474" s="1"/>
      <c r="J1474" s="1" t="str">
        <f ca="1">IFERROR(__xludf.DUMMYFUNCTION("""COMPUTED_VALUE"""),"0d 00h 00m")</f>
        <v>0d 00h 00m</v>
      </c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13.2">
      <c r="A1475" s="1">
        <f ca="1">IFERROR(__xludf.DUMMYFUNCTION("""COMPUTED_VALUE"""),236)</f>
        <v>236</v>
      </c>
      <c r="B1475" s="1" t="str">
        <f ca="1">IFERROR(__xludf.DUMMYFUNCTION("""COMPUTED_VALUE"""),"S2_KA04D5296_Tanker")</f>
        <v>S2_KA04D5296_Tanker</v>
      </c>
      <c r="C1475" s="1" t="str">
        <f ca="1">IFERROR(__xludf.DUMMYFUNCTION("""COMPUTED_VALUE"""),"s2_ka04d5296_tanker")</f>
        <v>s2_ka04d5296_tanker</v>
      </c>
      <c r="D1475" s="2">
        <f ca="1">IFERROR(__xludf.DUMMYFUNCTION("""COMPUTED_VALUE"""),44860)</f>
        <v>44860</v>
      </c>
      <c r="E1475" s="3">
        <f ca="1">IFERROR(__xludf.DUMMYFUNCTION("""COMPUTED_VALUE"""),0.999317129630071)</f>
        <v>0.99931712963007102</v>
      </c>
      <c r="F1475" s="1">
        <f ca="1">IFERROR(__xludf.DUMMYFUNCTION("""COMPUTED_VALUE"""),54700)</f>
        <v>54700</v>
      </c>
      <c r="G1475" s="1" t="str">
        <f ca="1">IFERROR(__xludf.DUMMYFUNCTION("""COMPUTED_VALUE"""),"12.8737/77.5842")</f>
        <v>12.8737/77.5842</v>
      </c>
      <c r="H1475" s="1" t="str">
        <f ca="1">IFERROR(__xludf.DUMMYFUNCTION("""COMPUTED_VALUE"""),"Quality Inn Shravanthi")</f>
        <v>Quality Inn Shravanthi</v>
      </c>
      <c r="I1475" s="1"/>
      <c r="J1475" s="1" t="str">
        <f ca="1">IFERROR(__xludf.DUMMYFUNCTION("""COMPUTED_VALUE"""),"0d 00h 00m")</f>
        <v>0d 00h 00m</v>
      </c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13.2">
      <c r="A1476" s="1">
        <f ca="1">IFERROR(__xludf.DUMMYFUNCTION("""COMPUTED_VALUE"""),33)</f>
        <v>33</v>
      </c>
      <c r="B1476" s="1" t="str">
        <f ca="1">IFERROR(__xludf.DUMMYFUNCTION("""COMPUTED_VALUE"""),"S2_KA04D5299_Tanker")</f>
        <v>S2_KA04D5299_Tanker</v>
      </c>
      <c r="C1476" s="1" t="str">
        <f ca="1">IFERROR(__xludf.DUMMYFUNCTION("""COMPUTED_VALUE"""),"s2_ka04d5299_tanker")</f>
        <v>s2_ka04d5299_tanker</v>
      </c>
      <c r="D1476" s="2">
        <f ca="1">IFERROR(__xludf.DUMMYFUNCTION("""COMPUTED_VALUE"""),44366)</f>
        <v>44366</v>
      </c>
      <c r="E1476" s="3">
        <f ca="1">IFERROR(__xludf.DUMMYFUNCTION("""COMPUTED_VALUE"""),0.646574074075033)</f>
        <v>0.64657407407503298</v>
      </c>
      <c r="F1476" s="1">
        <f ca="1">IFERROR(__xludf.DUMMYFUNCTION("""COMPUTED_VALUE"""),60465)</f>
        <v>60465</v>
      </c>
      <c r="G1476" s="1" t="str">
        <f ca="1">IFERROR(__xludf.DUMMYFUNCTION("""COMPUTED_VALUE"""),"12.8739/77.5842")</f>
        <v>12.8739/77.5842</v>
      </c>
      <c r="H1476" s="1" t="str">
        <f ca="1">IFERROR(__xludf.DUMMYFUNCTION("""COMPUTED_VALUE"""),"Quality Inn Shravanthi")</f>
        <v>Quality Inn Shravanthi</v>
      </c>
      <c r="I1476" s="1"/>
      <c r="J1476" s="1" t="str">
        <f ca="1">IFERROR(__xludf.DUMMYFUNCTION("""COMPUTED_VALUE"""),"550d 18h 58m")</f>
        <v>550d 18h 58m</v>
      </c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13.2">
      <c r="A1477" s="1">
        <f ca="1">IFERROR(__xludf.DUMMYFUNCTION("""COMPUTED_VALUE"""),32)</f>
        <v>32</v>
      </c>
      <c r="B1477" s="1" t="str">
        <f ca="1">IFERROR(__xludf.DUMMYFUNCTION("""COMPUTED_VALUE"""),"S2_KA04D5299_Tanker")</f>
        <v>S2_KA04D5299_Tanker</v>
      </c>
      <c r="C1477" s="1" t="str">
        <f ca="1">IFERROR(__xludf.DUMMYFUNCTION("""COMPUTED_VALUE"""),"s2_ka04d5299_tanker")</f>
        <v>s2_ka04d5299_tanker</v>
      </c>
      <c r="D1477" s="2">
        <f ca="1">IFERROR(__xludf.DUMMYFUNCTION("""COMPUTED_VALUE"""),44366)</f>
        <v>44366</v>
      </c>
      <c r="E1477" s="3">
        <f ca="1">IFERROR(__xludf.DUMMYFUNCTION("""COMPUTED_VALUE"""),0.646574074075033)</f>
        <v>0.64657407407503298</v>
      </c>
      <c r="F1477" s="1">
        <f ca="1">IFERROR(__xludf.DUMMYFUNCTION("""COMPUTED_VALUE"""),60465)</f>
        <v>60465</v>
      </c>
      <c r="G1477" s="1" t="str">
        <f ca="1">IFERROR(__xludf.DUMMYFUNCTION("""COMPUTED_VALUE"""),"12.8739/77.5842")</f>
        <v>12.8739/77.5842</v>
      </c>
      <c r="H1477" s="1" t="str">
        <f ca="1">IFERROR(__xludf.DUMMYFUNCTION("""COMPUTED_VALUE"""),"Quality Inn Shravanthi")</f>
        <v>Quality Inn Shravanthi</v>
      </c>
      <c r="I1477" s="1"/>
      <c r="J1477" s="1" t="str">
        <f ca="1">IFERROR(__xludf.DUMMYFUNCTION("""COMPUTED_VALUE"""),"550d 18h 59m")</f>
        <v>550d 18h 59m</v>
      </c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13.2">
      <c r="A1478" s="1">
        <f ca="1">IFERROR(__xludf.DUMMYFUNCTION("""COMPUTED_VALUE"""),32)</f>
        <v>32</v>
      </c>
      <c r="B1478" s="1" t="str">
        <f ca="1">IFERROR(__xludf.DUMMYFUNCTION("""COMPUTED_VALUE"""),"S2_KA04D5299_Tanker")</f>
        <v>S2_KA04D5299_Tanker</v>
      </c>
      <c r="C1478" s="1" t="str">
        <f ca="1">IFERROR(__xludf.DUMMYFUNCTION("""COMPUTED_VALUE"""),"s2_ka04d5299_tanker")</f>
        <v>s2_ka04d5299_tanker</v>
      </c>
      <c r="D1478" s="2">
        <f ca="1">IFERROR(__xludf.DUMMYFUNCTION("""COMPUTED_VALUE"""),44366)</f>
        <v>44366</v>
      </c>
      <c r="E1478" s="3">
        <f ca="1">IFERROR(__xludf.DUMMYFUNCTION("""COMPUTED_VALUE"""),0.646574074075033)</f>
        <v>0.64657407407503298</v>
      </c>
      <c r="F1478" s="1">
        <f ca="1">IFERROR(__xludf.DUMMYFUNCTION("""COMPUTED_VALUE"""),60465)</f>
        <v>60465</v>
      </c>
      <c r="G1478" s="1" t="str">
        <f ca="1">IFERROR(__xludf.DUMMYFUNCTION("""COMPUTED_VALUE"""),"12.8739/77.5842")</f>
        <v>12.8739/77.5842</v>
      </c>
      <c r="H1478" s="1" t="str">
        <f ca="1">IFERROR(__xludf.DUMMYFUNCTION("""COMPUTED_VALUE"""),"Quality Inn Shravanthi")</f>
        <v>Quality Inn Shravanthi</v>
      </c>
      <c r="I1478" s="1"/>
      <c r="J1478" s="1" t="str">
        <f ca="1">IFERROR(__xludf.DUMMYFUNCTION("""COMPUTED_VALUE"""),"550d 18h 59m")</f>
        <v>550d 18h 59m</v>
      </c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13.2">
      <c r="A1479" s="1">
        <f ca="1">IFERROR(__xludf.DUMMYFUNCTION("""COMPUTED_VALUE"""),32)</f>
        <v>32</v>
      </c>
      <c r="B1479" s="1" t="str">
        <f ca="1">IFERROR(__xludf.DUMMYFUNCTION("""COMPUTED_VALUE"""),"S2_KA04D5299_Tanker")</f>
        <v>S2_KA04D5299_Tanker</v>
      </c>
      <c r="C1479" s="1" t="str">
        <f ca="1">IFERROR(__xludf.DUMMYFUNCTION("""COMPUTED_VALUE"""),"s2_ka04d5299_tanker")</f>
        <v>s2_ka04d5299_tanker</v>
      </c>
      <c r="D1479" s="2">
        <f ca="1">IFERROR(__xludf.DUMMYFUNCTION("""COMPUTED_VALUE"""),44366)</f>
        <v>44366</v>
      </c>
      <c r="E1479" s="3">
        <f ca="1">IFERROR(__xludf.DUMMYFUNCTION("""COMPUTED_VALUE"""),0.646574074075033)</f>
        <v>0.64657407407503298</v>
      </c>
      <c r="F1479" s="1">
        <f ca="1">IFERROR(__xludf.DUMMYFUNCTION("""COMPUTED_VALUE"""),60465)</f>
        <v>60465</v>
      </c>
      <c r="G1479" s="1" t="str">
        <f ca="1">IFERROR(__xludf.DUMMYFUNCTION("""COMPUTED_VALUE"""),"12.8739/77.5842")</f>
        <v>12.8739/77.5842</v>
      </c>
      <c r="H1479" s="1" t="str">
        <f ca="1">IFERROR(__xludf.DUMMYFUNCTION("""COMPUTED_VALUE"""),"Quality Inn Shravanthi")</f>
        <v>Quality Inn Shravanthi</v>
      </c>
      <c r="I1479" s="1"/>
      <c r="J1479" s="1" t="str">
        <f ca="1">IFERROR(__xludf.DUMMYFUNCTION("""COMPUTED_VALUE"""),"550d 19h 00m")</f>
        <v>550d 19h 00m</v>
      </c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13.2">
      <c r="A1480" s="1">
        <f ca="1">IFERROR(__xludf.DUMMYFUNCTION("""COMPUTED_VALUE"""),32)</f>
        <v>32</v>
      </c>
      <c r="B1480" s="1" t="str">
        <f ca="1">IFERROR(__xludf.DUMMYFUNCTION("""COMPUTED_VALUE"""),"S2_KA04D5299_Tanker")</f>
        <v>S2_KA04D5299_Tanker</v>
      </c>
      <c r="C1480" s="1" t="str">
        <f ca="1">IFERROR(__xludf.DUMMYFUNCTION("""COMPUTED_VALUE"""),"s2_ka04d5299_tanker")</f>
        <v>s2_ka04d5299_tanker</v>
      </c>
      <c r="D1480" s="2">
        <f ca="1">IFERROR(__xludf.DUMMYFUNCTION("""COMPUTED_VALUE"""),44366)</f>
        <v>44366</v>
      </c>
      <c r="E1480" s="3">
        <f ca="1">IFERROR(__xludf.DUMMYFUNCTION("""COMPUTED_VALUE"""),0.646574074075033)</f>
        <v>0.64657407407503298</v>
      </c>
      <c r="F1480" s="1">
        <f ca="1">IFERROR(__xludf.DUMMYFUNCTION("""COMPUTED_VALUE"""),60465)</f>
        <v>60465</v>
      </c>
      <c r="G1480" s="1" t="str">
        <f ca="1">IFERROR(__xludf.DUMMYFUNCTION("""COMPUTED_VALUE"""),"12.8739/77.5842")</f>
        <v>12.8739/77.5842</v>
      </c>
      <c r="H1480" s="1" t="str">
        <f ca="1">IFERROR(__xludf.DUMMYFUNCTION("""COMPUTED_VALUE"""),"Quality Inn Shravanthi")</f>
        <v>Quality Inn Shravanthi</v>
      </c>
      <c r="I1480" s="1"/>
      <c r="J1480" s="1" t="str">
        <f ca="1">IFERROR(__xludf.DUMMYFUNCTION("""COMPUTED_VALUE"""),"550d 19h 01m")</f>
        <v>550d 19h 01m</v>
      </c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13.2">
      <c r="A1481" s="1">
        <f ca="1">IFERROR(__xludf.DUMMYFUNCTION("""COMPUTED_VALUE"""),32)</f>
        <v>32</v>
      </c>
      <c r="B1481" s="1" t="str">
        <f ca="1">IFERROR(__xludf.DUMMYFUNCTION("""COMPUTED_VALUE"""),"S2_KA04D5299_Tanker")</f>
        <v>S2_KA04D5299_Tanker</v>
      </c>
      <c r="C1481" s="1" t="str">
        <f ca="1">IFERROR(__xludf.DUMMYFUNCTION("""COMPUTED_VALUE"""),"s2_ka04d5299_tanker")</f>
        <v>s2_ka04d5299_tanker</v>
      </c>
      <c r="D1481" s="2">
        <f ca="1">IFERROR(__xludf.DUMMYFUNCTION("""COMPUTED_VALUE"""),44366)</f>
        <v>44366</v>
      </c>
      <c r="E1481" s="3">
        <f ca="1">IFERROR(__xludf.DUMMYFUNCTION("""COMPUTED_VALUE"""),0.646574074075033)</f>
        <v>0.64657407407503298</v>
      </c>
      <c r="F1481" s="1">
        <f ca="1">IFERROR(__xludf.DUMMYFUNCTION("""COMPUTED_VALUE"""),60465)</f>
        <v>60465</v>
      </c>
      <c r="G1481" s="1" t="str">
        <f ca="1">IFERROR(__xludf.DUMMYFUNCTION("""COMPUTED_VALUE"""),"12.8739/77.5842")</f>
        <v>12.8739/77.5842</v>
      </c>
      <c r="H1481" s="1" t="str">
        <f ca="1">IFERROR(__xludf.DUMMYFUNCTION("""COMPUTED_VALUE"""),"Quality Inn Shravanthi")</f>
        <v>Quality Inn Shravanthi</v>
      </c>
      <c r="I1481" s="1"/>
      <c r="J1481" s="1" t="str">
        <f ca="1">IFERROR(__xludf.DUMMYFUNCTION("""COMPUTED_VALUE"""),"550d 19h 02m")</f>
        <v>550d 19h 02m</v>
      </c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13.2">
      <c r="A1482" s="1">
        <f ca="1">IFERROR(__xludf.DUMMYFUNCTION("""COMPUTED_VALUE"""),220)</f>
        <v>220</v>
      </c>
      <c r="B1482" s="1" t="str">
        <f ca="1">IFERROR(__xludf.DUMMYFUNCTION("""COMPUTED_VALUE"""),"S3_KA04A9518_Jetting")</f>
        <v>S3_KA04A9518_Jetting</v>
      </c>
      <c r="C1482" s="1" t="str">
        <f ca="1">IFERROR(__xludf.DUMMYFUNCTION("""COMPUTED_VALUE"""),"s3_ka04a9518_jetting")</f>
        <v>s3_ka04a9518_jetting</v>
      </c>
      <c r="D1482" s="2">
        <f ca="1">IFERROR(__xludf.DUMMYFUNCTION("""COMPUTED_VALUE"""),44707)</f>
        <v>44707</v>
      </c>
      <c r="E1482" s="3">
        <f ca="1">IFERROR(__xludf.DUMMYFUNCTION("""COMPUTED_VALUE"""),0.999270833333866)</f>
        <v>0.99927083333386602</v>
      </c>
      <c r="F1482" s="1">
        <f ca="1">IFERROR(__xludf.DUMMYFUNCTION("""COMPUTED_VALUE"""),40789)</f>
        <v>40789</v>
      </c>
      <c r="G1482" s="1" t="str">
        <f ca="1">IFERROR(__xludf.DUMMYFUNCTION("""COMPUTED_VALUE"""),"12.9157/77.6013")</f>
        <v>12.9157/77.6013</v>
      </c>
      <c r="H1482" s="1" t="str">
        <f ca="1">IFERROR(__xludf.DUMMYFUNCTION("""COMPUTED_VALUE"""),"BTM Layout 1st Stage")</f>
        <v>BTM Layout 1st Stage</v>
      </c>
      <c r="I1482" s="1"/>
      <c r="J1482" s="1" t="str">
        <f ca="1">IFERROR(__xludf.DUMMYFUNCTION("""COMPUTED_VALUE"""),"0d 00h 00m")</f>
        <v>0d 00h 00m</v>
      </c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13.2">
      <c r="A1483" s="1">
        <f ca="1">IFERROR(__xludf.DUMMYFUNCTION("""COMPUTED_VALUE"""),164)</f>
        <v>164</v>
      </c>
      <c r="B1483" s="1" t="str">
        <f ca="1">IFERROR(__xludf.DUMMYFUNCTION("""COMPUTED_VALUE"""),"S3_KA04A9518_Jetting")</f>
        <v>S3_KA04A9518_Jetting</v>
      </c>
      <c r="C1483" s="1" t="str">
        <f ca="1">IFERROR(__xludf.DUMMYFUNCTION("""COMPUTED_VALUE"""),"s3_ka04a9518_jetting")</f>
        <v>s3_ka04a9518_jetting</v>
      </c>
      <c r="D1483" s="2">
        <f ca="1">IFERROR(__xludf.DUMMYFUNCTION("""COMPUTED_VALUE"""),44738)</f>
        <v>44738</v>
      </c>
      <c r="E1483" s="3">
        <f ca="1">IFERROR(__xludf.DUMMYFUNCTION("""COMPUTED_VALUE"""),0.99900462962978)</f>
        <v>0.99900462962977998</v>
      </c>
      <c r="F1483" s="1">
        <f ca="1">IFERROR(__xludf.DUMMYFUNCTION("""COMPUTED_VALUE"""),41186)</f>
        <v>41186</v>
      </c>
      <c r="G1483" s="1" t="str">
        <f ca="1">IFERROR(__xludf.DUMMYFUNCTION("""COMPUTED_VALUE"""),"12.9158/77.6013")</f>
        <v>12.9158/77.6013</v>
      </c>
      <c r="H1483" s="1" t="str">
        <f ca="1">IFERROR(__xludf.DUMMYFUNCTION("""COMPUTED_VALUE"""),"BTM Layout 1st Stage")</f>
        <v>BTM Layout 1st Stage</v>
      </c>
      <c r="I1483" s="1"/>
      <c r="J1483" s="1" t="str">
        <f ca="1">IFERROR(__xludf.DUMMYFUNCTION("""COMPUTED_VALUE"""),"0d 00h 00m")</f>
        <v>0d 00h 00m</v>
      </c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13.2">
      <c r="A1484" s="1">
        <f ca="1">IFERROR(__xludf.DUMMYFUNCTION("""COMPUTED_VALUE"""),235)</f>
        <v>235</v>
      </c>
      <c r="B1484" s="1" t="str">
        <f ca="1">IFERROR(__xludf.DUMMYFUNCTION("""COMPUTED_VALUE"""),"S3_KA04A9518_Jetting")</f>
        <v>S3_KA04A9518_Jetting</v>
      </c>
      <c r="C1484" s="1" t="str">
        <f ca="1">IFERROR(__xludf.DUMMYFUNCTION("""COMPUTED_VALUE"""),"s3_ka04a9518_jetting")</f>
        <v>s3_ka04a9518_jetting</v>
      </c>
      <c r="D1484" s="2">
        <f ca="1">IFERROR(__xludf.DUMMYFUNCTION("""COMPUTED_VALUE"""),44768)</f>
        <v>44768</v>
      </c>
      <c r="E1484" s="3">
        <f ca="1">IFERROR(__xludf.DUMMYFUNCTION("""COMPUTED_VALUE"""),0.999305555556929)</f>
        <v>0.99930555555692901</v>
      </c>
      <c r="F1484" s="1">
        <f ca="1">IFERROR(__xludf.DUMMYFUNCTION("""COMPUTED_VALUE"""),41522)</f>
        <v>41522</v>
      </c>
      <c r="G1484" s="1" t="str">
        <f ca="1">IFERROR(__xludf.DUMMYFUNCTION("""COMPUTED_VALUE"""),"12.9158/77.6014")</f>
        <v>12.9158/77.6014</v>
      </c>
      <c r="H1484" s="1" t="str">
        <f ca="1">IFERROR(__xludf.DUMMYFUNCTION("""COMPUTED_VALUE"""),"BTM Layout 1st Stage")</f>
        <v>BTM Layout 1st Stage</v>
      </c>
      <c r="I1484" s="1"/>
      <c r="J1484" s="1" t="str">
        <f ca="1">IFERROR(__xludf.DUMMYFUNCTION("""COMPUTED_VALUE"""),"0d 00h 00m")</f>
        <v>0d 00h 00m</v>
      </c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13.2">
      <c r="A1485" s="1">
        <f ca="1">IFERROR(__xludf.DUMMYFUNCTION("""COMPUTED_VALUE"""),218)</f>
        <v>218</v>
      </c>
      <c r="B1485" s="1" t="str">
        <f ca="1">IFERROR(__xludf.DUMMYFUNCTION("""COMPUTED_VALUE"""),"S3_KA04A9518_Jetting")</f>
        <v>S3_KA04A9518_Jetting</v>
      </c>
      <c r="C1485" s="1" t="str">
        <f ca="1">IFERROR(__xludf.DUMMYFUNCTION("""COMPUTED_VALUE"""),"s3_ka04a9518_jetting")</f>
        <v>s3_ka04a9518_jetting</v>
      </c>
      <c r="D1485" s="2">
        <f ca="1">IFERROR(__xludf.DUMMYFUNCTION("""COMPUTED_VALUE"""),44799)</f>
        <v>44799</v>
      </c>
      <c r="E1485" s="3">
        <f ca="1">IFERROR(__xludf.DUMMYFUNCTION("""COMPUTED_VALUE"""),0.99920138888774)</f>
        <v>0.99920138888774002</v>
      </c>
      <c r="F1485" s="1">
        <f ca="1">IFERROR(__xludf.DUMMYFUNCTION("""COMPUTED_VALUE"""),41952)</f>
        <v>41952</v>
      </c>
      <c r="G1485" s="1" t="str">
        <f ca="1">IFERROR(__xludf.DUMMYFUNCTION("""COMPUTED_VALUE"""),"12.9158/77.6013")</f>
        <v>12.9158/77.6013</v>
      </c>
      <c r="H1485" s="1" t="str">
        <f ca="1">IFERROR(__xludf.DUMMYFUNCTION("""COMPUTED_VALUE"""),"BTM Layout 1st Stage")</f>
        <v>BTM Layout 1st Stage</v>
      </c>
      <c r="I1485" s="1"/>
      <c r="J1485" s="1" t="str">
        <f ca="1">IFERROR(__xludf.DUMMYFUNCTION("""COMPUTED_VALUE"""),"0d 00h 00m")</f>
        <v>0d 00h 00m</v>
      </c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13.2">
      <c r="A1486" s="1">
        <f ca="1">IFERROR(__xludf.DUMMYFUNCTION("""COMPUTED_VALUE"""),96)</f>
        <v>96</v>
      </c>
      <c r="B1486" s="1" t="str">
        <f ca="1">IFERROR(__xludf.DUMMYFUNCTION("""COMPUTED_VALUE"""),"S3_KA04A9518_Jetting")</f>
        <v>S3_KA04A9518_Jetting</v>
      </c>
      <c r="C1486" s="1" t="str">
        <f ca="1">IFERROR(__xludf.DUMMYFUNCTION("""COMPUTED_VALUE"""),"s3_ka04a9518_jetting")</f>
        <v>s3_ka04a9518_jetting</v>
      </c>
      <c r="D1486" s="2">
        <f ca="1">IFERROR(__xludf.DUMMYFUNCTION("""COMPUTED_VALUE"""),44817)</f>
        <v>44817</v>
      </c>
      <c r="E1486" s="3">
        <f ca="1">IFERROR(__xludf.DUMMYFUNCTION("""COMPUTED_VALUE"""),0.927962962963647)</f>
        <v>0.927962962963647</v>
      </c>
      <c r="F1486" s="1">
        <f ca="1">IFERROR(__xludf.DUMMYFUNCTION("""COMPUTED_VALUE"""),42169)</f>
        <v>42169</v>
      </c>
      <c r="G1486" s="1" t="str">
        <f ca="1">IFERROR(__xludf.DUMMYFUNCTION("""COMPUTED_VALUE"""),"12.9157/77.6013")</f>
        <v>12.9157/77.6013</v>
      </c>
      <c r="H1486" s="1" t="str">
        <f ca="1">IFERROR(__xludf.DUMMYFUNCTION("""COMPUTED_VALUE"""),"BTM Layout 1st Stage")</f>
        <v>BTM Layout 1st Stage</v>
      </c>
      <c r="I1486" s="1"/>
      <c r="J1486" s="1" t="str">
        <f ca="1">IFERROR(__xludf.DUMMYFUNCTION("""COMPUTED_VALUE"""),"0d 00h 00m")</f>
        <v>0d 00h 00m</v>
      </c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13.2">
      <c r="A1487" s="1">
        <f ca="1">IFERROR(__xludf.DUMMYFUNCTION("""COMPUTED_VALUE"""),167)</f>
        <v>167</v>
      </c>
      <c r="B1487" s="1" t="str">
        <f ca="1">IFERROR(__xludf.DUMMYFUNCTION("""COMPUTED_VALUE"""),"S3_KA04A9518_Jetting")</f>
        <v>S3_KA04A9518_Jetting</v>
      </c>
      <c r="C1487" s="1" t="str">
        <f ca="1">IFERROR(__xludf.DUMMYFUNCTION("""COMPUTED_VALUE"""),"s3_ka04a9518_jetting")</f>
        <v>s3_ka04a9518_jetting</v>
      </c>
      <c r="D1487" s="2">
        <f ca="1">IFERROR(__xludf.DUMMYFUNCTION("""COMPUTED_VALUE"""),44860)</f>
        <v>44860</v>
      </c>
      <c r="E1487" s="3">
        <f ca="1">IFERROR(__xludf.DUMMYFUNCTION("""COMPUTED_VALUE"""),0.999016203702922)</f>
        <v>0.99901620370292199</v>
      </c>
      <c r="F1487" s="1">
        <f ca="1">IFERROR(__xludf.DUMMYFUNCTION("""COMPUTED_VALUE"""),42248)</f>
        <v>42248</v>
      </c>
      <c r="G1487" s="1" t="str">
        <f ca="1">IFERROR(__xludf.DUMMYFUNCTION("""COMPUTED_VALUE"""),"12.9157/77.6012")</f>
        <v>12.9157/77.6012</v>
      </c>
      <c r="H1487" s="1" t="str">
        <f ca="1">IFERROR(__xludf.DUMMYFUNCTION("""COMPUTED_VALUE"""),"BTM Layout 1st Stage")</f>
        <v>BTM Layout 1st Stage</v>
      </c>
      <c r="I1487" s="1"/>
      <c r="J1487" s="1" t="str">
        <f ca="1">IFERROR(__xludf.DUMMYFUNCTION("""COMPUTED_VALUE"""),"0d 00h 00m")</f>
        <v>0d 00h 00m</v>
      </c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13.2">
      <c r="A1488" s="1">
        <f ca="1">IFERROR(__xludf.DUMMYFUNCTION("""COMPUTED_VALUE"""),77)</f>
        <v>77</v>
      </c>
      <c r="B1488" s="1" t="str">
        <f ca="1">IFERROR(__xludf.DUMMYFUNCTION("""COMPUTED_VALUE"""),"S3_KA04AA9017_Desilting")</f>
        <v>S3_KA04AA9017_Desilting</v>
      </c>
      <c r="C1488" s="1" t="str">
        <f ca="1">IFERROR(__xludf.DUMMYFUNCTION("""COMPUTED_VALUE"""),"s3_ka04aa9017_desilting")</f>
        <v>s3_ka04aa9017_desilting</v>
      </c>
      <c r="D1488" s="2">
        <f ca="1">IFERROR(__xludf.DUMMYFUNCTION("""COMPUTED_VALUE"""),44695)</f>
        <v>44695</v>
      </c>
      <c r="E1488" s="3">
        <f ca="1">IFERROR(__xludf.DUMMYFUNCTION("""COMPUTED_VALUE"""),0.543912037035625)</f>
        <v>0.54391203703562496</v>
      </c>
      <c r="F1488" s="1">
        <f ca="1">IFERROR(__xludf.DUMMYFUNCTION("""COMPUTED_VALUE"""),17867)</f>
        <v>17867</v>
      </c>
      <c r="G1488" s="1" t="str">
        <f ca="1">IFERROR(__xludf.DUMMYFUNCTION("""COMPUTED_VALUE"""),"12.9158/77.6073")</f>
        <v>12.9158/77.6073</v>
      </c>
      <c r="H1488" s="1" t="str">
        <f ca="1">IFERROR(__xludf.DUMMYFUNCTION("""COMPUTED_VALUE"""),"Samrudhii Suites")</f>
        <v>Samrudhii Suites</v>
      </c>
      <c r="I1488" s="1"/>
      <c r="J1488" s="1" t="str">
        <f ca="1">IFERROR(__xludf.DUMMYFUNCTION("""COMPUTED_VALUE"""),"23d 00h 43m")</f>
        <v>23d 00h 43m</v>
      </c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13.2">
      <c r="A1489" s="1">
        <f ca="1">IFERROR(__xludf.DUMMYFUNCTION("""COMPUTED_VALUE"""),124)</f>
        <v>124</v>
      </c>
      <c r="B1489" s="1" t="str">
        <f ca="1">IFERROR(__xludf.DUMMYFUNCTION("""COMPUTED_VALUE"""),"S3_KA04AA9017_Desilting")</f>
        <v>S3_KA04AA9017_Desilting</v>
      </c>
      <c r="C1489" s="1" t="str">
        <f ca="1">IFERROR(__xludf.DUMMYFUNCTION("""COMPUTED_VALUE"""),"s3_ka04aa9017_desilting")</f>
        <v>s3_ka04aa9017_desilting</v>
      </c>
      <c r="D1489" s="2">
        <f ca="1">IFERROR(__xludf.DUMMYFUNCTION("""COMPUTED_VALUE"""),44737)</f>
        <v>44737</v>
      </c>
      <c r="E1489" s="3">
        <f ca="1">IFERROR(__xludf.DUMMYFUNCTION("""COMPUTED_VALUE"""),0.533240740740438)</f>
        <v>0.53324074074043804</v>
      </c>
      <c r="F1489" s="1">
        <f ca="1">IFERROR(__xludf.DUMMYFUNCTION("""COMPUTED_VALUE"""),17912)</f>
        <v>17912</v>
      </c>
      <c r="G1489" s="1" t="str">
        <f ca="1">IFERROR(__xludf.DUMMYFUNCTION("""COMPUTED_VALUE"""),"12.9158/77.6070")</f>
        <v>12.9158/77.6070</v>
      </c>
      <c r="H1489" s="1" t="str">
        <f ca="1">IFERROR(__xludf.DUMMYFUNCTION("""COMPUTED_VALUE"""),"Samrudhii Suites")</f>
        <v>Samrudhii Suites</v>
      </c>
      <c r="I1489" s="1"/>
      <c r="J1489" s="1" t="str">
        <f ca="1">IFERROR(__xludf.DUMMYFUNCTION("""COMPUTED_VALUE"""),"23d 00h 45m")</f>
        <v>23d 00h 45m</v>
      </c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13.2">
      <c r="A1490" s="1">
        <f ca="1">IFERROR(__xludf.DUMMYFUNCTION("""COMPUTED_VALUE"""),105)</f>
        <v>105</v>
      </c>
      <c r="B1490" s="1" t="str">
        <f ca="1">IFERROR(__xludf.DUMMYFUNCTION("""COMPUTED_VALUE"""),"S3_KA04AA9017_Desilting")</f>
        <v>S3_KA04AA9017_Desilting</v>
      </c>
      <c r="C1490" s="1" t="str">
        <f ca="1">IFERROR(__xludf.DUMMYFUNCTION("""COMPUTED_VALUE"""),"s3_ka04aa9017_desilting")</f>
        <v>s3_ka04aa9017_desilting</v>
      </c>
      <c r="D1490" s="2">
        <f ca="1">IFERROR(__xludf.DUMMYFUNCTION("""COMPUTED_VALUE"""),44761)</f>
        <v>44761</v>
      </c>
      <c r="E1490" s="3">
        <f ca="1">IFERROR(__xludf.DUMMYFUNCTION("""COMPUTED_VALUE"""),0.487847222222626)</f>
        <v>0.487847222222626</v>
      </c>
      <c r="F1490" s="1">
        <f ca="1">IFERROR(__xludf.DUMMYFUNCTION("""COMPUTED_VALUE"""),17933)</f>
        <v>17933</v>
      </c>
      <c r="G1490" s="1" t="str">
        <f ca="1">IFERROR(__xludf.DUMMYFUNCTION("""COMPUTED_VALUE"""),"12.9230/77.6146")</f>
        <v>12.9230/77.6146</v>
      </c>
      <c r="H1490" s="1" t="str">
        <f ca="1">IFERROR(__xludf.DUMMYFUNCTION("""COMPUTED_VALUE"""),"Siddaguntepalya")</f>
        <v>Siddaguntepalya</v>
      </c>
      <c r="I1490" s="1"/>
      <c r="J1490" s="1" t="str">
        <f ca="1">IFERROR(__xludf.DUMMYFUNCTION("""COMPUTED_VALUE"""),"23d 00h 45m")</f>
        <v>23d 00h 45m</v>
      </c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13.2">
      <c r="A1491" s="1">
        <f ca="1">IFERROR(__xludf.DUMMYFUNCTION("""COMPUTED_VALUE"""),79)</f>
        <v>79</v>
      </c>
      <c r="B1491" s="1" t="str">
        <f ca="1">IFERROR(__xludf.DUMMYFUNCTION("""COMPUTED_VALUE"""),"S3_KA04AA9017_Desilting")</f>
        <v>S3_KA04AA9017_Desilting</v>
      </c>
      <c r="C1491" s="1" t="str">
        <f ca="1">IFERROR(__xludf.DUMMYFUNCTION("""COMPUTED_VALUE"""),"s3_ka04aa9017_desilting")</f>
        <v>s3_ka04aa9017_desilting</v>
      </c>
      <c r="D1491" s="2">
        <f ca="1">IFERROR(__xludf.DUMMYFUNCTION("""COMPUTED_VALUE"""),44761)</f>
        <v>44761</v>
      </c>
      <c r="E1491" s="3">
        <f ca="1">IFERROR(__xludf.DUMMYFUNCTION("""COMPUTED_VALUE"""),0.487847222222626)</f>
        <v>0.487847222222626</v>
      </c>
      <c r="F1491" s="1">
        <f ca="1">IFERROR(__xludf.DUMMYFUNCTION("""COMPUTED_VALUE"""),17933)</f>
        <v>17933</v>
      </c>
      <c r="G1491" s="1" t="str">
        <f ca="1">IFERROR(__xludf.DUMMYFUNCTION("""COMPUTED_VALUE"""),"12.9230/77.6146")</f>
        <v>12.9230/77.6146</v>
      </c>
      <c r="H1491" s="1" t="str">
        <f ca="1">IFERROR(__xludf.DUMMYFUNCTION("""COMPUTED_VALUE"""),"Siddaguntepalya")</f>
        <v>Siddaguntepalya</v>
      </c>
      <c r="I1491" s="1"/>
      <c r="J1491" s="1" t="str">
        <f ca="1">IFERROR(__xludf.DUMMYFUNCTION("""COMPUTED_VALUE"""),"23d 00h 46m")</f>
        <v>23d 00h 46m</v>
      </c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13.2">
      <c r="A1492" s="1">
        <f ca="1">IFERROR(__xludf.DUMMYFUNCTION("""COMPUTED_VALUE"""),54)</f>
        <v>54</v>
      </c>
      <c r="B1492" s="1" t="str">
        <f ca="1">IFERROR(__xludf.DUMMYFUNCTION("""COMPUTED_VALUE"""),"S3_KA04AA9017_Desilting")</f>
        <v>S3_KA04AA9017_Desilting</v>
      </c>
      <c r="C1492" s="1" t="str">
        <f ca="1">IFERROR(__xludf.DUMMYFUNCTION("""COMPUTED_VALUE"""),"s3_ka04aa9017_desilting")</f>
        <v>s3_ka04aa9017_desilting</v>
      </c>
      <c r="D1492" s="2">
        <f ca="1">IFERROR(__xludf.DUMMYFUNCTION("""COMPUTED_VALUE"""),44761)</f>
        <v>44761</v>
      </c>
      <c r="E1492" s="3">
        <f ca="1">IFERROR(__xludf.DUMMYFUNCTION("""COMPUTED_VALUE"""),0.487847222222626)</f>
        <v>0.487847222222626</v>
      </c>
      <c r="F1492" s="1">
        <f ca="1">IFERROR(__xludf.DUMMYFUNCTION("""COMPUTED_VALUE"""),17933)</f>
        <v>17933</v>
      </c>
      <c r="G1492" s="1" t="str">
        <f ca="1">IFERROR(__xludf.DUMMYFUNCTION("""COMPUTED_VALUE"""),"12.9230/77.6146")</f>
        <v>12.9230/77.6146</v>
      </c>
      <c r="H1492" s="1" t="str">
        <f ca="1">IFERROR(__xludf.DUMMYFUNCTION("""COMPUTED_VALUE"""),"Siddaguntepalya")</f>
        <v>Siddaguntepalya</v>
      </c>
      <c r="I1492" s="1"/>
      <c r="J1492" s="1" t="str">
        <f ca="1">IFERROR(__xludf.DUMMYFUNCTION("""COMPUTED_VALUE"""),"23d 00h 47m")</f>
        <v>23d 00h 47m</v>
      </c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13.2">
      <c r="A1493" s="1">
        <f ca="1">IFERROR(__xludf.DUMMYFUNCTION("""COMPUTED_VALUE"""),125)</f>
        <v>125</v>
      </c>
      <c r="B1493" s="1" t="str">
        <f ca="1">IFERROR(__xludf.DUMMYFUNCTION("""COMPUTED_VALUE"""),"S3_KA04AA9017_Desilting")</f>
        <v>S3_KA04AA9017_Desilting</v>
      </c>
      <c r="C1493" s="1" t="str">
        <f ca="1">IFERROR(__xludf.DUMMYFUNCTION("""COMPUTED_VALUE"""),"s3_ka04aa9017_desilting")</f>
        <v>s3_ka04aa9017_desilting</v>
      </c>
      <c r="D1493" s="2">
        <f ca="1">IFERROR(__xludf.DUMMYFUNCTION("""COMPUTED_VALUE"""),44860)</f>
        <v>44860</v>
      </c>
      <c r="E1493" s="3">
        <f ca="1">IFERROR(__xludf.DUMMYFUNCTION("""COMPUTED_VALUE"""),0.455856481479713)</f>
        <v>0.45585648147971303</v>
      </c>
      <c r="F1493" s="1">
        <f ca="1">IFERROR(__xludf.DUMMYFUNCTION("""COMPUTED_VALUE"""),17968)</f>
        <v>17968</v>
      </c>
      <c r="G1493" s="1" t="str">
        <f ca="1">IFERROR(__xludf.DUMMYFUNCTION("""COMPUTED_VALUE"""),"12.9159/77.6072")</f>
        <v>12.9159/77.6072</v>
      </c>
      <c r="H1493" s="1" t="str">
        <f ca="1">IFERROR(__xludf.DUMMYFUNCTION("""COMPUTED_VALUE"""),"Samrudhii Suites")</f>
        <v>Samrudhii Suites</v>
      </c>
      <c r="I1493" s="1"/>
      <c r="J1493" s="1" t="str">
        <f ca="1">IFERROR(__xludf.DUMMYFUNCTION("""COMPUTED_VALUE"""),"23d 00h 48m")</f>
        <v>23d 00h 48m</v>
      </c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13.2">
      <c r="A1494" s="1">
        <f ca="1">IFERROR(__xludf.DUMMYFUNCTION("""COMPUTED_VALUE"""),168)</f>
        <v>168</v>
      </c>
      <c r="B1494" s="1" t="str">
        <f ca="1">IFERROR(__xludf.DUMMYFUNCTION("""COMPUTED_VALUE"""),"S3_KA04C5146_Jetting")</f>
        <v>S3_KA04C5146_Jetting</v>
      </c>
      <c r="C1494" s="1" t="str">
        <f ca="1">IFERROR(__xludf.DUMMYFUNCTION("""COMPUTED_VALUE"""),"s3_ka04c5146_jetting")</f>
        <v>s3_ka04c5146_jetting</v>
      </c>
      <c r="D1494" s="2">
        <f ca="1">IFERROR(__xludf.DUMMYFUNCTION("""COMPUTED_VALUE"""),44707)</f>
        <v>44707</v>
      </c>
      <c r="E1494" s="3">
        <f ca="1">IFERROR(__xludf.DUMMYFUNCTION("""COMPUTED_VALUE"""),0.999027777776063)</f>
        <v>0.999027777776063</v>
      </c>
      <c r="F1494" s="1">
        <f ca="1">IFERROR(__xludf.DUMMYFUNCTION("""COMPUTED_VALUE"""),18319)</f>
        <v>18319</v>
      </c>
      <c r="G1494" s="1" t="str">
        <f ca="1">IFERROR(__xludf.DUMMYFUNCTION("""COMPUTED_VALUE"""),"12.9160/77.6073")</f>
        <v>12.9160/77.6073</v>
      </c>
      <c r="H1494" s="1" t="str">
        <f ca="1">IFERROR(__xludf.DUMMYFUNCTION("""COMPUTED_VALUE"""),"Samrudhii Suites")</f>
        <v>Samrudhii Suites</v>
      </c>
      <c r="I1494" s="1"/>
      <c r="J1494" s="1" t="str">
        <f ca="1">IFERROR(__xludf.DUMMYFUNCTION("""COMPUTED_VALUE"""),"1d 18h 08m")</f>
        <v>1d 18h 08m</v>
      </c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13.2">
      <c r="A1495" s="1">
        <f ca="1">IFERROR(__xludf.DUMMYFUNCTION("""COMPUTED_VALUE"""),162)</f>
        <v>162</v>
      </c>
      <c r="B1495" s="1" t="str">
        <f ca="1">IFERROR(__xludf.DUMMYFUNCTION("""COMPUTED_VALUE"""),"S3_KA04C5146_Jetting")</f>
        <v>S3_KA04C5146_Jetting</v>
      </c>
      <c r="C1495" s="1" t="str">
        <f ca="1">IFERROR(__xludf.DUMMYFUNCTION("""COMPUTED_VALUE"""),"s3_ka04c5146_jetting")</f>
        <v>s3_ka04c5146_jetting</v>
      </c>
      <c r="D1495" s="2">
        <f ca="1">IFERROR(__xludf.DUMMYFUNCTION("""COMPUTED_VALUE"""),44738)</f>
        <v>44738</v>
      </c>
      <c r="E1495" s="3">
        <f ca="1">IFERROR(__xludf.DUMMYFUNCTION("""COMPUTED_VALUE"""),0.998993055556638)</f>
        <v>0.99899305555663798</v>
      </c>
      <c r="F1495" s="1">
        <f ca="1">IFERROR(__xludf.DUMMYFUNCTION("""COMPUTED_VALUE"""),18562)</f>
        <v>18562</v>
      </c>
      <c r="G1495" s="1" t="str">
        <f ca="1">IFERROR(__xludf.DUMMYFUNCTION("""COMPUTED_VALUE"""),"12.9159/77.6072")</f>
        <v>12.9159/77.6072</v>
      </c>
      <c r="H1495" s="1" t="str">
        <f ca="1">IFERROR(__xludf.DUMMYFUNCTION("""COMPUTED_VALUE"""),"Samrudhii Suites")</f>
        <v>Samrudhii Suites</v>
      </c>
      <c r="I1495" s="1"/>
      <c r="J1495" s="1" t="str">
        <f ca="1">IFERROR(__xludf.DUMMYFUNCTION("""COMPUTED_VALUE"""),"1d 18h 09m")</f>
        <v>1d 18h 09m</v>
      </c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13.2">
      <c r="A1496" s="1">
        <f ca="1">IFERROR(__xludf.DUMMYFUNCTION("""COMPUTED_VALUE"""),166)</f>
        <v>166</v>
      </c>
      <c r="B1496" s="1" t="str">
        <f ca="1">IFERROR(__xludf.DUMMYFUNCTION("""COMPUTED_VALUE"""),"S3_KA04C5146_Jetting")</f>
        <v>S3_KA04C5146_Jetting</v>
      </c>
      <c r="C1496" s="1" t="str">
        <f ca="1">IFERROR(__xludf.DUMMYFUNCTION("""COMPUTED_VALUE"""),"s3_ka04c5146_jetting")</f>
        <v>s3_ka04c5146_jetting</v>
      </c>
      <c r="D1496" s="2">
        <f ca="1">IFERROR(__xludf.DUMMYFUNCTION("""COMPUTED_VALUE"""),44768)</f>
        <v>44768</v>
      </c>
      <c r="E1496" s="3">
        <f ca="1">IFERROR(__xludf.DUMMYFUNCTION("""COMPUTED_VALUE"""),0.998981481479859)</f>
        <v>0.99898148147985899</v>
      </c>
      <c r="F1496" s="1">
        <f ca="1">IFERROR(__xludf.DUMMYFUNCTION("""COMPUTED_VALUE"""),18777)</f>
        <v>18777</v>
      </c>
      <c r="G1496" s="1" t="str">
        <f ca="1">IFERROR(__xludf.DUMMYFUNCTION("""COMPUTED_VALUE"""),"12.9159/77.6072")</f>
        <v>12.9159/77.6072</v>
      </c>
      <c r="H1496" s="1" t="str">
        <f ca="1">IFERROR(__xludf.DUMMYFUNCTION("""COMPUTED_VALUE"""),"Samrudhii Suites")</f>
        <v>Samrudhii Suites</v>
      </c>
      <c r="I1496" s="1"/>
      <c r="J1496" s="1" t="str">
        <f ca="1">IFERROR(__xludf.DUMMYFUNCTION("""COMPUTED_VALUE"""),"1d 18h 10m")</f>
        <v>1d 18h 10m</v>
      </c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13.2">
      <c r="A1497" s="1">
        <f ca="1">IFERROR(__xludf.DUMMYFUNCTION("""COMPUTED_VALUE"""),233)</f>
        <v>233</v>
      </c>
      <c r="B1497" s="1" t="str">
        <f ca="1">IFERROR(__xludf.DUMMYFUNCTION("""COMPUTED_VALUE"""),"S3_KA04C5146_Jetting")</f>
        <v>S3_KA04C5146_Jetting</v>
      </c>
      <c r="C1497" s="1" t="str">
        <f ca="1">IFERROR(__xludf.DUMMYFUNCTION("""COMPUTED_VALUE"""),"s3_ka04c5146_jetting")</f>
        <v>s3_ka04c5146_jetting</v>
      </c>
      <c r="D1497" s="2">
        <f ca="1">IFERROR(__xludf.DUMMYFUNCTION("""COMPUTED_VALUE"""),44799)</f>
        <v>44799</v>
      </c>
      <c r="E1497" s="3">
        <f ca="1">IFERROR(__xludf.DUMMYFUNCTION("""COMPUTED_VALUE"""),0.99929398148015)</f>
        <v>0.99929398148015003</v>
      </c>
      <c r="F1497" s="1">
        <f ca="1">IFERROR(__xludf.DUMMYFUNCTION("""COMPUTED_VALUE"""),18959)</f>
        <v>18959</v>
      </c>
      <c r="G1497" s="1" t="str">
        <f ca="1">IFERROR(__xludf.DUMMYFUNCTION("""COMPUTED_VALUE"""),"12.9160/77.6072")</f>
        <v>12.9160/77.6072</v>
      </c>
      <c r="H1497" s="1" t="str">
        <f ca="1">IFERROR(__xludf.DUMMYFUNCTION("""COMPUTED_VALUE"""),"Samrudhii Suites")</f>
        <v>Samrudhii Suites</v>
      </c>
      <c r="I1497" s="1"/>
      <c r="J1497" s="1" t="str">
        <f ca="1">IFERROR(__xludf.DUMMYFUNCTION("""COMPUTED_VALUE"""),"1d 18h 11m")</f>
        <v>1d 18h 11m</v>
      </c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13.2">
      <c r="A1498" s="1">
        <f ca="1">IFERROR(__xludf.DUMMYFUNCTION("""COMPUTED_VALUE"""),226)</f>
        <v>226</v>
      </c>
      <c r="B1498" s="1" t="str">
        <f ca="1">IFERROR(__xludf.DUMMYFUNCTION("""COMPUTED_VALUE"""),"S3_KA04C5146_Jetting")</f>
        <v>S3_KA04C5146_Jetting</v>
      </c>
      <c r="C1498" s="1" t="str">
        <f ca="1">IFERROR(__xludf.DUMMYFUNCTION("""COMPUTED_VALUE"""),"s3_ka04c5146_jetting")</f>
        <v>s3_ka04c5146_jetting</v>
      </c>
      <c r="D1498" s="2">
        <f ca="1">IFERROR(__xludf.DUMMYFUNCTION("""COMPUTED_VALUE"""),44830)</f>
        <v>44830</v>
      </c>
      <c r="E1498" s="3">
        <f ca="1">IFERROR(__xludf.DUMMYFUNCTION("""COMPUTED_VALUE"""),0.999247685183945)</f>
        <v>0.99924768518394502</v>
      </c>
      <c r="F1498" s="1">
        <f ca="1">IFERROR(__xludf.DUMMYFUNCTION("""COMPUTED_VALUE"""),19282)</f>
        <v>19282</v>
      </c>
      <c r="G1498" s="1" t="str">
        <f ca="1">IFERROR(__xludf.DUMMYFUNCTION("""COMPUTED_VALUE"""),"12.9160/77.6072")</f>
        <v>12.9160/77.6072</v>
      </c>
      <c r="H1498" s="1" t="str">
        <f ca="1">IFERROR(__xludf.DUMMYFUNCTION("""COMPUTED_VALUE"""),"Samrudhii Suites")</f>
        <v>Samrudhii Suites</v>
      </c>
      <c r="I1498" s="1"/>
      <c r="J1498" s="1" t="str">
        <f ca="1">IFERROR(__xludf.DUMMYFUNCTION("""COMPUTED_VALUE"""),"1d 18h 12m")</f>
        <v>1d 18h 12m</v>
      </c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13.2">
      <c r="A1499" s="1">
        <f ca="1">IFERROR(__xludf.DUMMYFUNCTION("""COMPUTED_VALUE"""),211)</f>
        <v>211</v>
      </c>
      <c r="B1499" s="1" t="str">
        <f ca="1">IFERROR(__xludf.DUMMYFUNCTION("""COMPUTED_VALUE"""),"S3_KA04C5146_Jetting")</f>
        <v>S3_KA04C5146_Jetting</v>
      </c>
      <c r="C1499" s="1" t="str">
        <f ca="1">IFERROR(__xludf.DUMMYFUNCTION("""COMPUTED_VALUE"""),"s3_ka04c5146_jetting")</f>
        <v>s3_ka04c5146_jetting</v>
      </c>
      <c r="D1499" s="2">
        <f ca="1">IFERROR(__xludf.DUMMYFUNCTION("""COMPUTED_VALUE"""),44860)</f>
        <v>44860</v>
      </c>
      <c r="E1499" s="3">
        <f ca="1">IFERROR(__xludf.DUMMYFUNCTION("""COMPUTED_VALUE"""),0.999189814814599)</f>
        <v>0.99918981481459901</v>
      </c>
      <c r="F1499" s="1">
        <f ca="1">IFERROR(__xludf.DUMMYFUNCTION("""COMPUTED_VALUE"""),19429)</f>
        <v>19429</v>
      </c>
      <c r="G1499" s="1" t="str">
        <f ca="1">IFERROR(__xludf.DUMMYFUNCTION("""COMPUTED_VALUE"""),"12.9160/77.6073")</f>
        <v>12.9160/77.6073</v>
      </c>
      <c r="H1499" s="1" t="str">
        <f ca="1">IFERROR(__xludf.DUMMYFUNCTION("""COMPUTED_VALUE"""),"Samrudhii Suites")</f>
        <v>Samrudhii Suites</v>
      </c>
      <c r="I1499" s="1"/>
      <c r="J1499" s="1" t="str">
        <f ca="1">IFERROR(__xludf.DUMMYFUNCTION("""COMPUTED_VALUE"""),"1d 18h 13m")</f>
        <v>1d 18h 13m</v>
      </c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13.2">
      <c r="A1500" s="1">
        <f ca="1">IFERROR(__xludf.DUMMYFUNCTION("""COMPUTED_VALUE"""),202)</f>
        <v>202</v>
      </c>
      <c r="B1500" s="1" t="str">
        <f ca="1">IFERROR(__xludf.DUMMYFUNCTION("""COMPUTED_VALUE"""),"S3_KA04D6654_Jetting")</f>
        <v>S3_KA04D6654_Jetting</v>
      </c>
      <c r="C1500" s="1" t="str">
        <f ca="1">IFERROR(__xludf.DUMMYFUNCTION("""COMPUTED_VALUE"""),"s3_ka04d6654_jetting")</f>
        <v>s3_ka04d6654_jetting</v>
      </c>
      <c r="D1500" s="2">
        <f ca="1">IFERROR(__xludf.DUMMYFUNCTION("""COMPUTED_VALUE"""),44707)</f>
        <v>44707</v>
      </c>
      <c r="E1500" s="3">
        <f ca="1">IFERROR(__xludf.DUMMYFUNCTION("""COMPUTED_VALUE"""),0.99920138888774)</f>
        <v>0.99920138888774002</v>
      </c>
      <c r="F1500" s="1">
        <f ca="1">IFERROR(__xludf.DUMMYFUNCTION("""COMPUTED_VALUE"""),20116)</f>
        <v>20116</v>
      </c>
      <c r="G1500" s="1" t="str">
        <f ca="1">IFERROR(__xludf.DUMMYFUNCTION("""COMPUTED_VALUE"""),"12.9158/77.6014")</f>
        <v>12.9158/77.6014</v>
      </c>
      <c r="H1500" s="1" t="str">
        <f ca="1">IFERROR(__xludf.DUMMYFUNCTION("""COMPUTED_VALUE"""),"BTM Layout")</f>
        <v>BTM Layout</v>
      </c>
      <c r="I1500" s="1"/>
      <c r="J1500" s="1" t="str">
        <f ca="1">IFERROR(__xludf.DUMMYFUNCTION("""COMPUTED_VALUE"""),"16d 09h 05m")</f>
        <v>16d 09h 05m</v>
      </c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13.2">
      <c r="A1501" s="1">
        <f ca="1">IFERROR(__xludf.DUMMYFUNCTION("""COMPUTED_VALUE"""),222)</f>
        <v>222</v>
      </c>
      <c r="B1501" s="1" t="str">
        <f ca="1">IFERROR(__xludf.DUMMYFUNCTION("""COMPUTED_VALUE"""),"S3_KA04D6654_Jetting")</f>
        <v>S3_KA04D6654_Jetting</v>
      </c>
      <c r="C1501" s="1" t="str">
        <f ca="1">IFERROR(__xludf.DUMMYFUNCTION("""COMPUTED_VALUE"""),"s3_ka04d6654_jetting")</f>
        <v>s3_ka04d6654_jetting</v>
      </c>
      <c r="D1501" s="2">
        <f ca="1">IFERROR(__xludf.DUMMYFUNCTION("""COMPUTED_VALUE"""),44738)</f>
        <v>44738</v>
      </c>
      <c r="E1501" s="3">
        <f ca="1">IFERROR(__xludf.DUMMYFUNCTION("""COMPUTED_VALUE"""),0.999247685183945)</f>
        <v>0.99924768518394502</v>
      </c>
      <c r="F1501" s="1">
        <f ca="1">IFERROR(__xludf.DUMMYFUNCTION("""COMPUTED_VALUE"""),20436)</f>
        <v>20436</v>
      </c>
      <c r="G1501" s="1" t="str">
        <f ca="1">IFERROR(__xludf.DUMMYFUNCTION("""COMPUTED_VALUE"""),"12.9159/77.6073")</f>
        <v>12.9159/77.6073</v>
      </c>
      <c r="H1501" s="1" t="str">
        <f ca="1">IFERROR(__xludf.DUMMYFUNCTION("""COMPUTED_VALUE"""),"Samrudhii Suites")</f>
        <v>Samrudhii Suites</v>
      </c>
      <c r="I1501" s="1"/>
      <c r="J1501" s="1" t="str">
        <f ca="1">IFERROR(__xludf.DUMMYFUNCTION("""COMPUTED_VALUE"""),"16d 09h 06m")</f>
        <v>16d 09h 06m</v>
      </c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13.2">
      <c r="A1502" s="1">
        <f ca="1">IFERROR(__xludf.DUMMYFUNCTION("""COMPUTED_VALUE"""),187)</f>
        <v>187</v>
      </c>
      <c r="B1502" s="1" t="str">
        <f ca="1">IFERROR(__xludf.DUMMYFUNCTION("""COMPUTED_VALUE"""),"S3_KA04D6654_Jetting")</f>
        <v>S3_KA04D6654_Jetting</v>
      </c>
      <c r="C1502" s="1" t="str">
        <f ca="1">IFERROR(__xludf.DUMMYFUNCTION("""COMPUTED_VALUE"""),"s3_ka04d6654_jetting")</f>
        <v>s3_ka04d6654_jetting</v>
      </c>
      <c r="D1502" s="2">
        <f ca="1">IFERROR(__xludf.DUMMYFUNCTION("""COMPUTED_VALUE"""),44768)</f>
        <v>44768</v>
      </c>
      <c r="E1502" s="3">
        <f ca="1">IFERROR(__xludf.DUMMYFUNCTION("""COMPUTED_VALUE"""),0.999050925925985)</f>
        <v>0.99905092592598499</v>
      </c>
      <c r="F1502" s="1">
        <f ca="1">IFERROR(__xludf.DUMMYFUNCTION("""COMPUTED_VALUE"""),20699)</f>
        <v>20699</v>
      </c>
      <c r="G1502" s="1" t="str">
        <f ca="1">IFERROR(__xludf.DUMMYFUNCTION("""COMPUTED_VALUE"""),"12.9158/77.6013")</f>
        <v>12.9158/77.6013</v>
      </c>
      <c r="H1502" s="1" t="str">
        <f ca="1">IFERROR(__xludf.DUMMYFUNCTION("""COMPUTED_VALUE"""),"BTM Layout 1st Stage")</f>
        <v>BTM Layout 1st Stage</v>
      </c>
      <c r="I1502" s="1"/>
      <c r="J1502" s="1" t="str">
        <f ca="1">IFERROR(__xludf.DUMMYFUNCTION("""COMPUTED_VALUE"""),"16d 09h 07m")</f>
        <v>16d 09h 07m</v>
      </c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13.2">
      <c r="A1503" s="1">
        <f ca="1">IFERROR(__xludf.DUMMYFUNCTION("""COMPUTED_VALUE"""),204)</f>
        <v>204</v>
      </c>
      <c r="B1503" s="1" t="str">
        <f ca="1">IFERROR(__xludf.DUMMYFUNCTION("""COMPUTED_VALUE"""),"S3_KA04D6654_Jetting")</f>
        <v>S3_KA04D6654_Jetting</v>
      </c>
      <c r="C1503" s="1" t="str">
        <f ca="1">IFERROR(__xludf.DUMMYFUNCTION("""COMPUTED_VALUE"""),"s3_ka04d6654_jetting")</f>
        <v>s3_ka04d6654_jetting</v>
      </c>
      <c r="D1503" s="2">
        <f ca="1">IFERROR(__xludf.DUMMYFUNCTION("""COMPUTED_VALUE"""),44799)</f>
        <v>44799</v>
      </c>
      <c r="E1503" s="3">
        <f ca="1">IFERROR(__xludf.DUMMYFUNCTION("""COMPUTED_VALUE"""),0.999131944445252)</f>
        <v>0.999131944445252</v>
      </c>
      <c r="F1503" s="1">
        <f ca="1">IFERROR(__xludf.DUMMYFUNCTION("""COMPUTED_VALUE"""),21026)</f>
        <v>21026</v>
      </c>
      <c r="G1503" s="1" t="str">
        <f ca="1">IFERROR(__xludf.DUMMYFUNCTION("""COMPUTED_VALUE"""),"12.9155/77.6013")</f>
        <v>12.9155/77.6013</v>
      </c>
      <c r="H1503" s="1" t="str">
        <f ca="1">IFERROR(__xludf.DUMMYFUNCTION("""COMPUTED_VALUE"""),"BTM Layout 1st Stage")</f>
        <v>BTM Layout 1st Stage</v>
      </c>
      <c r="I1503" s="1"/>
      <c r="J1503" s="1" t="str">
        <f ca="1">IFERROR(__xludf.DUMMYFUNCTION("""COMPUTED_VALUE"""),"16d 09h 08m")</f>
        <v>16d 09h 08m</v>
      </c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13.2">
      <c r="A1504" s="1">
        <f ca="1">IFERROR(__xludf.DUMMYFUNCTION("""COMPUTED_VALUE"""),171)</f>
        <v>171</v>
      </c>
      <c r="B1504" s="1" t="str">
        <f ca="1">IFERROR(__xludf.DUMMYFUNCTION("""COMPUTED_VALUE"""),"S3_KA04D6654_Jetting")</f>
        <v>S3_KA04D6654_Jetting</v>
      </c>
      <c r="C1504" s="1" t="str">
        <f ca="1">IFERROR(__xludf.DUMMYFUNCTION("""COMPUTED_VALUE"""),"s3_ka04d6654_jetting")</f>
        <v>s3_ka04d6654_jetting</v>
      </c>
      <c r="D1504" s="2">
        <f ca="1">IFERROR(__xludf.DUMMYFUNCTION("""COMPUTED_VALUE"""),44830)</f>
        <v>44830</v>
      </c>
      <c r="E1504" s="3">
        <f ca="1">IFERROR(__xludf.DUMMYFUNCTION("""COMPUTED_VALUE"""),0.99900462962978)</f>
        <v>0.99900462962977998</v>
      </c>
      <c r="F1504" s="1">
        <f ca="1">IFERROR(__xludf.DUMMYFUNCTION("""COMPUTED_VALUE"""),21365)</f>
        <v>21365</v>
      </c>
      <c r="G1504" s="1" t="str">
        <f ca="1">IFERROR(__xludf.DUMMYFUNCTION("""COMPUTED_VALUE"""),"12.9157/77.6013")</f>
        <v>12.9157/77.6013</v>
      </c>
      <c r="H1504" s="1" t="str">
        <f ca="1">IFERROR(__xludf.DUMMYFUNCTION("""COMPUTED_VALUE"""),"BTM Layout 1st Stage")</f>
        <v>BTM Layout 1st Stage</v>
      </c>
      <c r="I1504" s="1"/>
      <c r="J1504" s="1" t="str">
        <f ca="1">IFERROR(__xludf.DUMMYFUNCTION("""COMPUTED_VALUE"""),"16d 09h 09m")</f>
        <v>16d 09h 09m</v>
      </c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13.2">
      <c r="A1505" s="1">
        <f ca="1">IFERROR(__xludf.DUMMYFUNCTION("""COMPUTED_VALUE"""),228)</f>
        <v>228</v>
      </c>
      <c r="B1505" s="1" t="str">
        <f ca="1">IFERROR(__xludf.DUMMYFUNCTION("""COMPUTED_VALUE"""),"S3_KA04D6654_Jetting")</f>
        <v>S3_KA04D6654_Jetting</v>
      </c>
      <c r="C1505" s="1" t="str">
        <f ca="1">IFERROR(__xludf.DUMMYFUNCTION("""COMPUTED_VALUE"""),"s3_ka04d6654_jetting")</f>
        <v>s3_ka04d6654_jetting</v>
      </c>
      <c r="D1505" s="2">
        <f ca="1">IFERROR(__xludf.DUMMYFUNCTION("""COMPUTED_VALUE"""),44860)</f>
        <v>44860</v>
      </c>
      <c r="E1505" s="3">
        <f ca="1">IFERROR(__xludf.DUMMYFUNCTION("""COMPUTED_VALUE"""),0.999270833333866)</f>
        <v>0.99927083333386602</v>
      </c>
      <c r="F1505" s="1">
        <f ca="1">IFERROR(__xludf.DUMMYFUNCTION("""COMPUTED_VALUE"""),21639)</f>
        <v>21639</v>
      </c>
      <c r="G1505" s="1" t="str">
        <f ca="1">IFERROR(__xludf.DUMMYFUNCTION("""COMPUTED_VALUE"""),"12.9158/77.6014")</f>
        <v>12.9158/77.6014</v>
      </c>
      <c r="H1505" s="1" t="str">
        <f ca="1">IFERROR(__xludf.DUMMYFUNCTION("""COMPUTED_VALUE"""),"BTM Layout 1st Stage")</f>
        <v>BTM Layout 1st Stage</v>
      </c>
      <c r="I1505" s="1"/>
      <c r="J1505" s="1" t="str">
        <f ca="1">IFERROR(__xludf.DUMMYFUNCTION("""COMPUTED_VALUE"""),"16d 09h 09m")</f>
        <v>16d 09h 09m</v>
      </c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13.2">
      <c r="A1506" s="1">
        <f ca="1">IFERROR(__xludf.DUMMYFUNCTION("""COMPUTED_VALUE"""),204)</f>
        <v>204</v>
      </c>
      <c r="B1506" s="1" t="str">
        <f ca="1">IFERROR(__xludf.DUMMYFUNCTION("""COMPUTED_VALUE"""),"S3_KA04D8086_Tanker")</f>
        <v>S3_KA04D8086_Tanker</v>
      </c>
      <c r="C1506" s="1" t="str">
        <f ca="1">IFERROR(__xludf.DUMMYFUNCTION("""COMPUTED_VALUE"""),"s3_ka04d8086_tanker")</f>
        <v>s3_ka04d8086_tanker</v>
      </c>
      <c r="D1506" s="2">
        <f ca="1">IFERROR(__xludf.DUMMYFUNCTION("""COMPUTED_VALUE"""),44707)</f>
        <v>44707</v>
      </c>
      <c r="E1506" s="3">
        <f ca="1">IFERROR(__xludf.DUMMYFUNCTION("""COMPUTED_VALUE"""),0.99921296296452)</f>
        <v>0.99921296296452</v>
      </c>
      <c r="F1506" s="1">
        <f ca="1">IFERROR(__xludf.DUMMYFUNCTION("""COMPUTED_VALUE"""),57328)</f>
        <v>57328</v>
      </c>
      <c r="G1506" s="1" t="str">
        <f ca="1">IFERROR(__xludf.DUMMYFUNCTION("""COMPUTED_VALUE"""),"12.9160/77.6072")</f>
        <v>12.9160/77.6072</v>
      </c>
      <c r="H1506" s="1" t="str">
        <f ca="1">IFERROR(__xludf.DUMMYFUNCTION("""COMPUTED_VALUE"""),"Samrudhii Suites")</f>
        <v>Samrudhii Suites</v>
      </c>
      <c r="I1506" s="1"/>
      <c r="J1506" s="1" t="str">
        <f ca="1">IFERROR(__xludf.DUMMYFUNCTION("""COMPUTED_VALUE"""),"0d 00h 01m")</f>
        <v>0d 00h 01m</v>
      </c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13.2">
      <c r="A1507" s="1">
        <f ca="1">IFERROR(__xludf.DUMMYFUNCTION("""COMPUTED_VALUE"""),218)</f>
        <v>218</v>
      </c>
      <c r="B1507" s="1" t="str">
        <f ca="1">IFERROR(__xludf.DUMMYFUNCTION("""COMPUTED_VALUE"""),"S3_KA04D8086_Tanker")</f>
        <v>S3_KA04D8086_Tanker</v>
      </c>
      <c r="C1507" s="1" t="str">
        <f ca="1">IFERROR(__xludf.DUMMYFUNCTION("""COMPUTED_VALUE"""),"s3_ka04d8086_tanker")</f>
        <v>s3_ka04d8086_tanker</v>
      </c>
      <c r="D1507" s="2">
        <f ca="1">IFERROR(__xludf.DUMMYFUNCTION("""COMPUTED_VALUE"""),44738)</f>
        <v>44738</v>
      </c>
      <c r="E1507" s="3">
        <f ca="1">IFERROR(__xludf.DUMMYFUNCTION("""COMPUTED_VALUE"""),0.999224537037662)</f>
        <v>0.99922453703766201</v>
      </c>
      <c r="F1507" s="1">
        <f ca="1">IFERROR(__xludf.DUMMYFUNCTION("""COMPUTED_VALUE"""),60007)</f>
        <v>60007</v>
      </c>
      <c r="G1507" s="1" t="str">
        <f ca="1">IFERROR(__xludf.DUMMYFUNCTION("""COMPUTED_VALUE"""),"12.9161/77.6072")</f>
        <v>12.9161/77.6072</v>
      </c>
      <c r="H1507" s="1" t="str">
        <f ca="1">IFERROR(__xludf.DUMMYFUNCTION("""COMPUTED_VALUE"""),"Samrudhii Suites")</f>
        <v>Samrudhii Suites</v>
      </c>
      <c r="I1507" s="1"/>
      <c r="J1507" s="1" t="str">
        <f ca="1">IFERROR(__xludf.DUMMYFUNCTION("""COMPUTED_VALUE"""),"0d 00h 00m")</f>
        <v>0d 00h 00m</v>
      </c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13.2">
      <c r="A1508" s="1">
        <f ca="1">IFERROR(__xludf.DUMMYFUNCTION("""COMPUTED_VALUE"""),234)</f>
        <v>234</v>
      </c>
      <c r="B1508" s="1" t="str">
        <f ca="1">IFERROR(__xludf.DUMMYFUNCTION("""COMPUTED_VALUE"""),"S3_KA04D8086_Tanker")</f>
        <v>S3_KA04D8086_Tanker</v>
      </c>
      <c r="C1508" s="1" t="str">
        <f ca="1">IFERROR(__xludf.DUMMYFUNCTION("""COMPUTED_VALUE"""),"s3_ka04d8086_tanker")</f>
        <v>s3_ka04d8086_tanker</v>
      </c>
      <c r="D1508" s="2">
        <f ca="1">IFERROR(__xludf.DUMMYFUNCTION("""COMPUTED_VALUE"""),44768)</f>
        <v>44768</v>
      </c>
      <c r="E1508" s="3">
        <f ca="1">IFERROR(__xludf.DUMMYFUNCTION("""COMPUTED_VALUE"""),0.99929398148015)</f>
        <v>0.99929398148015003</v>
      </c>
      <c r="F1508" s="1">
        <f ca="1">IFERROR(__xludf.DUMMYFUNCTION("""COMPUTED_VALUE"""),60369)</f>
        <v>60369</v>
      </c>
      <c r="G1508" s="1" t="str">
        <f ca="1">IFERROR(__xludf.DUMMYFUNCTION("""COMPUTED_VALUE"""),"12.9159/77.6072")</f>
        <v>12.9159/77.6072</v>
      </c>
      <c r="H1508" s="1" t="str">
        <f ca="1">IFERROR(__xludf.DUMMYFUNCTION("""COMPUTED_VALUE"""),"Samrudhii Suites")</f>
        <v>Samrudhii Suites</v>
      </c>
      <c r="I1508" s="1"/>
      <c r="J1508" s="1" t="str">
        <f ca="1">IFERROR(__xludf.DUMMYFUNCTION("""COMPUTED_VALUE"""),"0d 00h 00m")</f>
        <v>0d 00h 00m</v>
      </c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13.2">
      <c r="A1509" s="1">
        <f ca="1">IFERROR(__xludf.DUMMYFUNCTION("""COMPUTED_VALUE"""),225)</f>
        <v>225</v>
      </c>
      <c r="B1509" s="1" t="str">
        <f ca="1">IFERROR(__xludf.DUMMYFUNCTION("""COMPUTED_VALUE"""),"S3_KA04D8086_Tanker")</f>
        <v>S3_KA04D8086_Tanker</v>
      </c>
      <c r="C1509" s="1" t="str">
        <f ca="1">IFERROR(__xludf.DUMMYFUNCTION("""COMPUTED_VALUE"""),"s3_ka04d8086_tanker")</f>
        <v>s3_ka04d8086_tanker</v>
      </c>
      <c r="D1509" s="2">
        <f ca="1">IFERROR(__xludf.DUMMYFUNCTION("""COMPUTED_VALUE"""),44799)</f>
        <v>44799</v>
      </c>
      <c r="E1509" s="3">
        <f ca="1">IFERROR(__xludf.DUMMYFUNCTION("""COMPUTED_VALUE"""),0.99921296296452)</f>
        <v>0.99921296296452</v>
      </c>
      <c r="F1509" s="1">
        <f ca="1">IFERROR(__xludf.DUMMYFUNCTION("""COMPUTED_VALUE"""),62061)</f>
        <v>62061</v>
      </c>
      <c r="G1509" s="1" t="str">
        <f ca="1">IFERROR(__xludf.DUMMYFUNCTION("""COMPUTED_VALUE"""),"12.9160/77.6072")</f>
        <v>12.9160/77.6072</v>
      </c>
      <c r="H1509" s="1" t="str">
        <f ca="1">IFERROR(__xludf.DUMMYFUNCTION("""COMPUTED_VALUE"""),"Samrudhii Suites")</f>
        <v>Samrudhii Suites</v>
      </c>
      <c r="I1509" s="1"/>
      <c r="J1509" s="1" t="str">
        <f ca="1">IFERROR(__xludf.DUMMYFUNCTION("""COMPUTED_VALUE"""),"0d 00h 00m")</f>
        <v>0d 00h 00m</v>
      </c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13.2">
      <c r="A1510" s="1">
        <f ca="1">IFERROR(__xludf.DUMMYFUNCTION("""COMPUTED_VALUE"""),225)</f>
        <v>225</v>
      </c>
      <c r="B1510" s="1" t="str">
        <f ca="1">IFERROR(__xludf.DUMMYFUNCTION("""COMPUTED_VALUE"""),"S3_KA04D8086_Tanker")</f>
        <v>S3_KA04D8086_Tanker</v>
      </c>
      <c r="C1510" s="1" t="str">
        <f ca="1">IFERROR(__xludf.DUMMYFUNCTION("""COMPUTED_VALUE"""),"s3_ka04d8086_tanker")</f>
        <v>s3_ka04d8086_tanker</v>
      </c>
      <c r="D1510" s="2">
        <f ca="1">IFERROR(__xludf.DUMMYFUNCTION("""COMPUTED_VALUE"""),44830)</f>
        <v>44830</v>
      </c>
      <c r="E1510" s="3">
        <f ca="1">IFERROR(__xludf.DUMMYFUNCTION("""COMPUTED_VALUE"""),0.999247685183945)</f>
        <v>0.99924768518394502</v>
      </c>
      <c r="F1510" s="1">
        <f ca="1">IFERROR(__xludf.DUMMYFUNCTION("""COMPUTED_VALUE"""),62543)</f>
        <v>62543</v>
      </c>
      <c r="G1510" s="1" t="str">
        <f ca="1">IFERROR(__xludf.DUMMYFUNCTION("""COMPUTED_VALUE"""),"12.9159/77.6072")</f>
        <v>12.9159/77.6072</v>
      </c>
      <c r="H1510" s="1" t="str">
        <f ca="1">IFERROR(__xludf.DUMMYFUNCTION("""COMPUTED_VALUE"""),"Samrudhii Suites")</f>
        <v>Samrudhii Suites</v>
      </c>
      <c r="I1510" s="1"/>
      <c r="J1510" s="1" t="str">
        <f ca="1">IFERROR(__xludf.DUMMYFUNCTION("""COMPUTED_VALUE"""),"0d 00h 00m")</f>
        <v>0d 00h 00m</v>
      </c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13.2">
      <c r="A1511" s="1">
        <f ca="1">IFERROR(__xludf.DUMMYFUNCTION("""COMPUTED_VALUE"""),179)</f>
        <v>179</v>
      </c>
      <c r="B1511" s="1" t="str">
        <f ca="1">IFERROR(__xludf.DUMMYFUNCTION("""COMPUTED_VALUE"""),"S3_KA04D8086_Tanker")</f>
        <v>S3_KA04D8086_Tanker</v>
      </c>
      <c r="C1511" s="1" t="str">
        <f ca="1">IFERROR(__xludf.DUMMYFUNCTION("""COMPUTED_VALUE"""),"s3_ka04d8086_tanker")</f>
        <v>s3_ka04d8086_tanker</v>
      </c>
      <c r="D1511" s="2">
        <f ca="1">IFERROR(__xludf.DUMMYFUNCTION("""COMPUTED_VALUE"""),44860)</f>
        <v>44860</v>
      </c>
      <c r="E1511" s="3">
        <f ca="1">IFERROR(__xludf.DUMMYFUNCTION("""COMPUTED_VALUE"""),0.999062499999126)</f>
        <v>0.999062499999126</v>
      </c>
      <c r="F1511" s="1">
        <f ca="1">IFERROR(__xludf.DUMMYFUNCTION("""COMPUTED_VALUE"""),68309)</f>
        <v>68309</v>
      </c>
      <c r="G1511" s="1" t="str">
        <f ca="1">IFERROR(__xludf.DUMMYFUNCTION("""COMPUTED_VALUE"""),"12.9159/77.6073")</f>
        <v>12.9159/77.6073</v>
      </c>
      <c r="H1511" s="1" t="str">
        <f ca="1">IFERROR(__xludf.DUMMYFUNCTION("""COMPUTED_VALUE"""),"Samrudhii Suites")</f>
        <v>Samrudhii Suites</v>
      </c>
      <c r="I1511" s="1"/>
      <c r="J1511" s="1" t="str">
        <f ca="1">IFERROR(__xludf.DUMMYFUNCTION("""COMPUTED_VALUE"""),"0d 00h 00m")</f>
        <v>0d 00h 00m</v>
      </c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13.2">
      <c r="A1512" s="1">
        <f ca="1">IFERROR(__xludf.DUMMYFUNCTION("""COMPUTED_VALUE"""),189)</f>
        <v>189</v>
      </c>
      <c r="B1512" s="1" t="str">
        <f ca="1">IFERROR(__xludf.DUMMYFUNCTION("""COMPUTED_VALUE"""),"S4_KA04AA7683_Desilting")</f>
        <v>S4_KA04AA7683_Desilting</v>
      </c>
      <c r="C1512" s="1" t="str">
        <f ca="1">IFERROR(__xludf.DUMMYFUNCTION("""COMPUTED_VALUE"""),"s4_ka04aa7683_desilting")</f>
        <v>s4_ka04aa7683_desilting</v>
      </c>
      <c r="D1512" s="2">
        <f ca="1">IFERROR(__xludf.DUMMYFUNCTION("""COMPUTED_VALUE"""),44707)</f>
        <v>44707</v>
      </c>
      <c r="E1512" s="3">
        <f ca="1">IFERROR(__xludf.DUMMYFUNCTION("""COMPUTED_VALUE"""),0.999108796295331)</f>
        <v>0.999108796295331</v>
      </c>
      <c r="F1512" s="1">
        <f ca="1">IFERROR(__xludf.DUMMYFUNCTION("""COMPUTED_VALUE"""),12976)</f>
        <v>12976</v>
      </c>
      <c r="G1512" s="1" t="str">
        <f ca="1">IFERROR(__xludf.DUMMYFUNCTION("""COMPUTED_VALUE"""),"12.8972/77.6202")</f>
        <v>12.8972/77.6202</v>
      </c>
      <c r="H1512" s="1" t="str">
        <f ca="1">IFERROR(__xludf.DUMMYFUNCTION("""COMPUTED_VALUE"""),"Hongasandra")</f>
        <v>Hongasandra</v>
      </c>
      <c r="I1512" s="1"/>
      <c r="J1512" s="1" t="str">
        <f ca="1">IFERROR(__xludf.DUMMYFUNCTION("""COMPUTED_VALUE"""),"74d 15h 08m")</f>
        <v>74d 15h 08m</v>
      </c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13.2">
      <c r="A1513" s="1">
        <f ca="1">IFERROR(__xludf.DUMMYFUNCTION("""COMPUTED_VALUE"""),100)</f>
        <v>100</v>
      </c>
      <c r="B1513" s="1" t="str">
        <f ca="1">IFERROR(__xludf.DUMMYFUNCTION("""COMPUTED_VALUE"""),"S4_KA04AA7683_Desilting")</f>
        <v>S4_KA04AA7683_Desilting</v>
      </c>
      <c r="C1513" s="1" t="str">
        <f ca="1">IFERROR(__xludf.DUMMYFUNCTION("""COMPUTED_VALUE"""),"s4_ka04aa7683_desilting")</f>
        <v>s4_ka04aa7683_desilting</v>
      </c>
      <c r="D1513" s="2">
        <f ca="1">IFERROR(__xludf.DUMMYFUNCTION("""COMPUTED_VALUE"""),44733)</f>
        <v>44733</v>
      </c>
      <c r="E1513" s="3">
        <f ca="1">IFERROR(__xludf.DUMMYFUNCTION("""COMPUTED_VALUE"""),0.637777777777955)</f>
        <v>0.63777777777795497</v>
      </c>
      <c r="F1513" s="1">
        <f ca="1">IFERROR(__xludf.DUMMYFUNCTION("""COMPUTED_VALUE"""),13808)</f>
        <v>13808</v>
      </c>
      <c r="G1513" s="1" t="str">
        <f ca="1">IFERROR(__xludf.DUMMYFUNCTION("""COMPUTED_VALUE"""),"13.0214/77.5369")</f>
        <v>13.0214/77.5369</v>
      </c>
      <c r="H1513" s="1" t="str">
        <f ca="1">IFERROR(__xludf.DUMMYFUNCTION("""COMPUTED_VALUE"""),"RajKumar Samidhi")</f>
        <v>RajKumar Samidhi</v>
      </c>
      <c r="I1513" s="1"/>
      <c r="J1513" s="1" t="str">
        <f ca="1">IFERROR(__xludf.DUMMYFUNCTION("""COMPUTED_VALUE"""),"74d 15h 09m")</f>
        <v>74d 15h 09m</v>
      </c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13.2">
      <c r="A1514" s="1">
        <f ca="1">IFERROR(__xludf.DUMMYFUNCTION("""COMPUTED_VALUE"""),182)</f>
        <v>182</v>
      </c>
      <c r="B1514" s="1" t="str">
        <f ca="1">IFERROR(__xludf.DUMMYFUNCTION("""COMPUTED_VALUE"""),"S4_KA04AA7683_Desilting")</f>
        <v>S4_KA04AA7683_Desilting</v>
      </c>
      <c r="C1514" s="1" t="str">
        <f ca="1">IFERROR(__xludf.DUMMYFUNCTION("""COMPUTED_VALUE"""),"s4_ka04aa7683_desilting")</f>
        <v>s4_ka04aa7683_desilting</v>
      </c>
      <c r="D1514" s="2">
        <f ca="1">IFERROR(__xludf.DUMMYFUNCTION("""COMPUTED_VALUE"""),44768)</f>
        <v>44768</v>
      </c>
      <c r="E1514" s="3">
        <f ca="1">IFERROR(__xludf.DUMMYFUNCTION("""COMPUTED_VALUE"""),0.999039351852843)</f>
        <v>0.99903935185284298</v>
      </c>
      <c r="F1514" s="1">
        <f ca="1">IFERROR(__xludf.DUMMYFUNCTION("""COMPUTED_VALUE"""),14494)</f>
        <v>14494</v>
      </c>
      <c r="G1514" s="1" t="str">
        <f ca="1">IFERROR(__xludf.DUMMYFUNCTION("""COMPUTED_VALUE"""),"12.8972/77.6202")</f>
        <v>12.8972/77.6202</v>
      </c>
      <c r="H1514" s="1" t="str">
        <f ca="1">IFERROR(__xludf.DUMMYFUNCTION("""COMPUTED_VALUE"""),"Hongasandra")</f>
        <v>Hongasandra</v>
      </c>
      <c r="I1514" s="1"/>
      <c r="J1514" s="1" t="str">
        <f ca="1">IFERROR(__xludf.DUMMYFUNCTION("""COMPUTED_VALUE"""),"74d 15h 10m")</f>
        <v>74d 15h 10m</v>
      </c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13.2">
      <c r="A1515" s="1">
        <f ca="1">IFERROR(__xludf.DUMMYFUNCTION("""COMPUTED_VALUE"""),203)</f>
        <v>203</v>
      </c>
      <c r="B1515" s="1" t="str">
        <f ca="1">IFERROR(__xludf.DUMMYFUNCTION("""COMPUTED_VALUE"""),"S4_KA04AA7683_Desilting")</f>
        <v>S4_KA04AA7683_Desilting</v>
      </c>
      <c r="C1515" s="1" t="str">
        <f ca="1">IFERROR(__xludf.DUMMYFUNCTION("""COMPUTED_VALUE"""),"s4_ka04aa7683_desilting")</f>
        <v>s4_ka04aa7683_desilting</v>
      </c>
      <c r="D1515" s="2">
        <f ca="1">IFERROR(__xludf.DUMMYFUNCTION("""COMPUTED_VALUE"""),44799)</f>
        <v>44799</v>
      </c>
      <c r="E1515" s="3">
        <f ca="1">IFERROR(__xludf.DUMMYFUNCTION("""COMPUTED_VALUE"""),0.999131944445252)</f>
        <v>0.999131944445252</v>
      </c>
      <c r="F1515" s="1">
        <f ca="1">IFERROR(__xludf.DUMMYFUNCTION("""COMPUTED_VALUE"""),15699)</f>
        <v>15699</v>
      </c>
      <c r="G1515" s="1" t="str">
        <f ca="1">IFERROR(__xludf.DUMMYFUNCTION("""COMPUTED_VALUE"""),"12.8971/77.6202")</f>
        <v>12.8971/77.6202</v>
      </c>
      <c r="H1515" s="1" t="str">
        <f ca="1">IFERROR(__xludf.DUMMYFUNCTION("""COMPUTED_VALUE"""),"Hongasandra")</f>
        <v>Hongasandra</v>
      </c>
      <c r="I1515" s="1"/>
      <c r="J1515" s="1" t="str">
        <f ca="1">IFERROR(__xludf.DUMMYFUNCTION("""COMPUTED_VALUE"""),"74d 15h 10m")</f>
        <v>74d 15h 10m</v>
      </c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13.2">
      <c r="A1516" s="1">
        <f ca="1">IFERROR(__xludf.DUMMYFUNCTION("""COMPUTED_VALUE"""),236)</f>
        <v>236</v>
      </c>
      <c r="B1516" s="1" t="str">
        <f ca="1">IFERROR(__xludf.DUMMYFUNCTION("""COMPUTED_VALUE"""),"S4_KA04AA7683_Desilting")</f>
        <v>S4_KA04AA7683_Desilting</v>
      </c>
      <c r="C1516" s="1" t="str">
        <f ca="1">IFERROR(__xludf.DUMMYFUNCTION("""COMPUTED_VALUE"""),"s4_ka04aa7683_desilting")</f>
        <v>s4_ka04aa7683_desilting</v>
      </c>
      <c r="D1516" s="2">
        <f ca="1">IFERROR(__xludf.DUMMYFUNCTION("""COMPUTED_VALUE"""),44830)</f>
        <v>44830</v>
      </c>
      <c r="E1516" s="3">
        <f ca="1">IFERROR(__xludf.DUMMYFUNCTION("""COMPUTED_VALUE"""),0.999305555556929)</f>
        <v>0.99930555555692901</v>
      </c>
      <c r="F1516" s="1">
        <f ca="1">IFERROR(__xludf.DUMMYFUNCTION("""COMPUTED_VALUE"""),16796)</f>
        <v>16796</v>
      </c>
      <c r="G1516" s="1" t="str">
        <f ca="1">IFERROR(__xludf.DUMMYFUNCTION("""COMPUTED_VALUE"""),"12.8973/77.6202")</f>
        <v>12.8973/77.6202</v>
      </c>
      <c r="H1516" s="1" t="str">
        <f ca="1">IFERROR(__xludf.DUMMYFUNCTION("""COMPUTED_VALUE"""),"Hongasandra")</f>
        <v>Hongasandra</v>
      </c>
      <c r="I1516" s="1"/>
      <c r="J1516" s="1" t="str">
        <f ca="1">IFERROR(__xludf.DUMMYFUNCTION("""COMPUTED_VALUE"""),"74d 15h 11m")</f>
        <v>74d 15h 11m</v>
      </c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13.2">
      <c r="A1517" s="1">
        <f ca="1">IFERROR(__xludf.DUMMYFUNCTION("""COMPUTED_VALUE"""),80)</f>
        <v>80</v>
      </c>
      <c r="B1517" s="1" t="str">
        <f ca="1">IFERROR(__xludf.DUMMYFUNCTION("""COMPUTED_VALUE"""),"S4_KA04AA7683_Desilting")</f>
        <v>S4_KA04AA7683_Desilting</v>
      </c>
      <c r="C1517" s="1" t="str">
        <f ca="1">IFERROR(__xludf.DUMMYFUNCTION("""COMPUTED_VALUE"""),"s4_ka04aa7683_desilting")</f>
        <v>s4_ka04aa7683_desilting</v>
      </c>
      <c r="D1517" s="2">
        <f ca="1">IFERROR(__xludf.DUMMYFUNCTION("""COMPUTED_VALUE"""),44842)</f>
        <v>44842</v>
      </c>
      <c r="E1517" s="3">
        <f ca="1">IFERROR(__xludf.DUMMYFUNCTION("""COMPUTED_VALUE"""),0.807743055556784)</f>
        <v>0.80774305555678405</v>
      </c>
      <c r="F1517" s="1">
        <f ca="1">IFERROR(__xludf.DUMMYFUNCTION("""COMPUTED_VALUE"""),17162)</f>
        <v>17162</v>
      </c>
      <c r="G1517" s="1" t="str">
        <f ca="1">IFERROR(__xludf.DUMMYFUNCTION("""COMPUTED_VALUE"""),"12.8972/77.6202")</f>
        <v>12.8972/77.6202</v>
      </c>
      <c r="H1517" s="1" t="str">
        <f ca="1">IFERROR(__xludf.DUMMYFUNCTION("""COMPUTED_VALUE"""),"Hongasandra")</f>
        <v>Hongasandra</v>
      </c>
      <c r="I1517" s="1"/>
      <c r="J1517" s="1" t="str">
        <f ca="1">IFERROR(__xludf.DUMMYFUNCTION("""COMPUTED_VALUE"""),"74d 15h 12m")</f>
        <v>74d 15h 12m</v>
      </c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13.2">
      <c r="A1518" s="1">
        <f ca="1">IFERROR(__xludf.DUMMYFUNCTION("""COMPUTED_VALUE"""),184)</f>
        <v>184</v>
      </c>
      <c r="B1518" s="1" t="str">
        <f ca="1">IFERROR(__xludf.DUMMYFUNCTION("""COMPUTED_VALUE"""),"S4_KA04AB5798_Jetting")</f>
        <v>S4_KA04AB5798_Jetting</v>
      </c>
      <c r="C1518" s="1" t="str">
        <f ca="1">IFERROR(__xludf.DUMMYFUNCTION("""COMPUTED_VALUE"""),"s4_ka04ab5798_jetting")</f>
        <v>s4_ka04ab5798_jetting</v>
      </c>
      <c r="D1518" s="2">
        <f ca="1">IFERROR(__xludf.DUMMYFUNCTION("""COMPUTED_VALUE"""),44707)</f>
        <v>44707</v>
      </c>
      <c r="E1518" s="3">
        <f ca="1">IFERROR(__xludf.DUMMYFUNCTION("""COMPUTED_VALUE"""),0.999097222222189)</f>
        <v>0.999097222222189</v>
      </c>
      <c r="F1518" s="1">
        <f ca="1">IFERROR(__xludf.DUMMYFUNCTION("""COMPUTED_VALUE"""),16728)</f>
        <v>16728</v>
      </c>
      <c r="G1518" s="1" t="str">
        <f ca="1">IFERROR(__xludf.DUMMYFUNCTION("""COMPUTED_VALUE"""),"12.9113/77.6467")</f>
        <v>12.9113/77.6467</v>
      </c>
      <c r="H1518" s="1" t="str">
        <f ca="1">IFERROR(__xludf.DUMMYFUNCTION("""COMPUTED_VALUE"""),"HSR Club")</f>
        <v>HSR Club</v>
      </c>
      <c r="I1518" s="1"/>
      <c r="J1518" s="1" t="str">
        <f ca="1">IFERROR(__xludf.DUMMYFUNCTION("""COMPUTED_VALUE"""),"0d 00h 00m")</f>
        <v>0d 00h 00m</v>
      </c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13.2">
      <c r="A1519" s="1">
        <f ca="1">IFERROR(__xludf.DUMMYFUNCTION("""COMPUTED_VALUE"""),187)</f>
        <v>187</v>
      </c>
      <c r="B1519" s="1" t="str">
        <f ca="1">IFERROR(__xludf.DUMMYFUNCTION("""COMPUTED_VALUE"""),"S4_KA04AB5798_Jetting")</f>
        <v>S4_KA04AB5798_Jetting</v>
      </c>
      <c r="C1519" s="1" t="str">
        <f ca="1">IFERROR(__xludf.DUMMYFUNCTION("""COMPUTED_VALUE"""),"s4_ka04ab5798_jetting")</f>
        <v>s4_ka04ab5798_jetting</v>
      </c>
      <c r="D1519" s="2">
        <f ca="1">IFERROR(__xludf.DUMMYFUNCTION("""COMPUTED_VALUE"""),44738)</f>
        <v>44738</v>
      </c>
      <c r="E1519" s="3">
        <f ca="1">IFERROR(__xludf.DUMMYFUNCTION("""COMPUTED_VALUE"""),0.999108796295331)</f>
        <v>0.999108796295331</v>
      </c>
      <c r="F1519" s="1">
        <f ca="1">IFERROR(__xludf.DUMMYFUNCTION("""COMPUTED_VALUE"""),17558)</f>
        <v>17558</v>
      </c>
      <c r="G1519" s="1" t="str">
        <f ca="1">IFERROR(__xludf.DUMMYFUNCTION("""COMPUTED_VALUE"""),"12.9114/77.6467")</f>
        <v>12.9114/77.6467</v>
      </c>
      <c r="H1519" s="1" t="str">
        <f ca="1">IFERROR(__xludf.DUMMYFUNCTION("""COMPUTED_VALUE"""),"HSR Club")</f>
        <v>HSR Club</v>
      </c>
      <c r="I1519" s="1"/>
      <c r="J1519" s="1" t="str">
        <f ca="1">IFERROR(__xludf.DUMMYFUNCTION("""COMPUTED_VALUE"""),"0d 00h 00m")</f>
        <v>0d 00h 00m</v>
      </c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13.2">
      <c r="A1520" s="1">
        <f ca="1">IFERROR(__xludf.DUMMYFUNCTION("""COMPUTED_VALUE"""),194)</f>
        <v>194</v>
      </c>
      <c r="B1520" s="1" t="str">
        <f ca="1">IFERROR(__xludf.DUMMYFUNCTION("""COMPUTED_VALUE"""),"S4_KA04AB5798_Jetting")</f>
        <v>S4_KA04AB5798_Jetting</v>
      </c>
      <c r="C1520" s="1" t="str">
        <f ca="1">IFERROR(__xludf.DUMMYFUNCTION("""COMPUTED_VALUE"""),"s4_ka04ab5798_jetting")</f>
        <v>s4_ka04ab5798_jetting</v>
      </c>
      <c r="D1520" s="2">
        <f ca="1">IFERROR(__xludf.DUMMYFUNCTION("""COMPUTED_VALUE"""),44768)</f>
        <v>44768</v>
      </c>
      <c r="E1520" s="3">
        <f ca="1">IFERROR(__xludf.DUMMYFUNCTION("""COMPUTED_VALUE"""),0.999108796295331)</f>
        <v>0.999108796295331</v>
      </c>
      <c r="F1520" s="1">
        <f ca="1">IFERROR(__xludf.DUMMYFUNCTION("""COMPUTED_VALUE"""),18411)</f>
        <v>18411</v>
      </c>
      <c r="G1520" s="1" t="str">
        <f ca="1">IFERROR(__xludf.DUMMYFUNCTION("""COMPUTED_VALUE"""),"12.9114/77.6467")</f>
        <v>12.9114/77.6467</v>
      </c>
      <c r="H1520" s="1" t="str">
        <f ca="1">IFERROR(__xludf.DUMMYFUNCTION("""COMPUTED_VALUE"""),"HSR Club")</f>
        <v>HSR Club</v>
      </c>
      <c r="I1520" s="1"/>
      <c r="J1520" s="1" t="str">
        <f ca="1">IFERROR(__xludf.DUMMYFUNCTION("""COMPUTED_VALUE"""),"0d 00h 00m")</f>
        <v>0d 00h 00m</v>
      </c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13.2">
      <c r="A1521" s="1">
        <f ca="1">IFERROR(__xludf.DUMMYFUNCTION("""COMPUTED_VALUE"""),222)</f>
        <v>222</v>
      </c>
      <c r="B1521" s="1" t="str">
        <f ca="1">IFERROR(__xludf.DUMMYFUNCTION("""COMPUTED_VALUE"""),"S4_KA04AB5798_Jetting")</f>
        <v>S4_KA04AB5798_Jetting</v>
      </c>
      <c r="C1521" s="1" t="str">
        <f ca="1">IFERROR(__xludf.DUMMYFUNCTION("""COMPUTED_VALUE"""),"s4_ka04ab5798_jetting")</f>
        <v>s4_ka04ab5798_jetting</v>
      </c>
      <c r="D1521" s="2">
        <f ca="1">IFERROR(__xludf.DUMMYFUNCTION("""COMPUTED_VALUE"""),44799)</f>
        <v>44799</v>
      </c>
      <c r="E1521" s="3">
        <f ca="1">IFERROR(__xludf.DUMMYFUNCTION("""COMPUTED_VALUE"""),0.99920138888774)</f>
        <v>0.99920138888774002</v>
      </c>
      <c r="F1521" s="1">
        <f ca="1">IFERROR(__xludf.DUMMYFUNCTION("""COMPUTED_VALUE"""),19206)</f>
        <v>19206</v>
      </c>
      <c r="G1521" s="1" t="str">
        <f ca="1">IFERROR(__xludf.DUMMYFUNCTION("""COMPUTED_VALUE"""),"12.9113/77.6467")</f>
        <v>12.9113/77.6467</v>
      </c>
      <c r="H1521" s="1" t="str">
        <f ca="1">IFERROR(__xludf.DUMMYFUNCTION("""COMPUTED_VALUE"""),"HSR Club")</f>
        <v>HSR Club</v>
      </c>
      <c r="I1521" s="1"/>
      <c r="J1521" s="1" t="str">
        <f ca="1">IFERROR(__xludf.DUMMYFUNCTION("""COMPUTED_VALUE"""),"0d 00h 00m")</f>
        <v>0d 00h 00m</v>
      </c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13.2">
      <c r="A1522" s="1">
        <f ca="1">IFERROR(__xludf.DUMMYFUNCTION("""COMPUTED_VALUE"""),218)</f>
        <v>218</v>
      </c>
      <c r="B1522" s="1" t="str">
        <f ca="1">IFERROR(__xludf.DUMMYFUNCTION("""COMPUTED_VALUE"""),"S4_KA04AB5798_Jetting")</f>
        <v>S4_KA04AB5798_Jetting</v>
      </c>
      <c r="C1522" s="1" t="str">
        <f ca="1">IFERROR(__xludf.DUMMYFUNCTION("""COMPUTED_VALUE"""),"s4_ka04ab5798_jetting")</f>
        <v>s4_ka04ab5798_jetting</v>
      </c>
      <c r="D1522" s="2">
        <f ca="1">IFERROR(__xludf.DUMMYFUNCTION("""COMPUTED_VALUE"""),44830)</f>
        <v>44830</v>
      </c>
      <c r="E1522" s="3">
        <f ca="1">IFERROR(__xludf.DUMMYFUNCTION("""COMPUTED_VALUE"""),0.999224537037662)</f>
        <v>0.99922453703766201</v>
      </c>
      <c r="F1522" s="1">
        <f ca="1">IFERROR(__xludf.DUMMYFUNCTION("""COMPUTED_VALUE"""),20029)</f>
        <v>20029</v>
      </c>
      <c r="G1522" s="1" t="str">
        <f ca="1">IFERROR(__xludf.DUMMYFUNCTION("""COMPUTED_VALUE"""),"12.9113/77.6467")</f>
        <v>12.9113/77.6467</v>
      </c>
      <c r="H1522" s="1" t="str">
        <f ca="1">IFERROR(__xludf.DUMMYFUNCTION("""COMPUTED_VALUE"""),"HSR Club")</f>
        <v>HSR Club</v>
      </c>
      <c r="I1522" s="1"/>
      <c r="J1522" s="1" t="str">
        <f ca="1">IFERROR(__xludf.DUMMYFUNCTION("""COMPUTED_VALUE"""),"0d 00h 00m")</f>
        <v>0d 00h 00m</v>
      </c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13.2">
      <c r="A1523" s="1">
        <f ca="1">IFERROR(__xludf.DUMMYFUNCTION("""COMPUTED_VALUE"""),182)</f>
        <v>182</v>
      </c>
      <c r="B1523" s="1" t="str">
        <f ca="1">IFERROR(__xludf.DUMMYFUNCTION("""COMPUTED_VALUE"""),"S4_KA04AB5798_Jetting")</f>
        <v>S4_KA04AB5798_Jetting</v>
      </c>
      <c r="C1523" s="1" t="str">
        <f ca="1">IFERROR(__xludf.DUMMYFUNCTION("""COMPUTED_VALUE"""),"s4_ka04ab5798_jetting")</f>
        <v>s4_ka04ab5798_jetting</v>
      </c>
      <c r="D1523" s="2">
        <f ca="1">IFERROR(__xludf.DUMMYFUNCTION("""COMPUTED_VALUE"""),44860)</f>
        <v>44860</v>
      </c>
      <c r="E1523" s="3">
        <f ca="1">IFERROR(__xludf.DUMMYFUNCTION("""COMPUTED_VALUE"""),0.999085648149048)</f>
        <v>0.99908564814904799</v>
      </c>
      <c r="F1523" s="1">
        <f ca="1">IFERROR(__xludf.DUMMYFUNCTION("""COMPUTED_VALUE"""),20793)</f>
        <v>20793</v>
      </c>
      <c r="G1523" s="1" t="str">
        <f ca="1">IFERROR(__xludf.DUMMYFUNCTION("""COMPUTED_VALUE"""),"12.9113/77.6467")</f>
        <v>12.9113/77.6467</v>
      </c>
      <c r="H1523" s="1" t="str">
        <f ca="1">IFERROR(__xludf.DUMMYFUNCTION("""COMPUTED_VALUE"""),"HSR Club")</f>
        <v>HSR Club</v>
      </c>
      <c r="I1523" s="1"/>
      <c r="J1523" s="1" t="str">
        <f ca="1">IFERROR(__xludf.DUMMYFUNCTION("""COMPUTED_VALUE"""),"0d 00h 00m")</f>
        <v>0d 00h 00m</v>
      </c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13.2">
      <c r="A1524" s="1">
        <f ca="1">IFERROR(__xludf.DUMMYFUNCTION("""COMPUTED_VALUE"""),177)</f>
        <v>177</v>
      </c>
      <c r="B1524" s="1" t="str">
        <f ca="1">IFERROR(__xludf.DUMMYFUNCTION("""COMPUTED_VALUE"""),"S4_KA04C4868_Jetting")</f>
        <v>S4_KA04C4868_Jetting</v>
      </c>
      <c r="C1524" s="1" t="str">
        <f ca="1">IFERROR(__xludf.DUMMYFUNCTION("""COMPUTED_VALUE"""),"s4_ka04c4868_jetting")</f>
        <v>s4_ka04c4868_jetting</v>
      </c>
      <c r="D1524" s="2">
        <f ca="1">IFERROR(__xludf.DUMMYFUNCTION("""COMPUTED_VALUE"""),44707)</f>
        <v>44707</v>
      </c>
      <c r="E1524" s="3">
        <f ca="1">IFERROR(__xludf.DUMMYFUNCTION("""COMPUTED_VALUE"""),0.999085648149048)</f>
        <v>0.99908564814904799</v>
      </c>
      <c r="F1524" s="1">
        <f ca="1">IFERROR(__xludf.DUMMYFUNCTION("""COMPUTED_VALUE"""),77933)</f>
        <v>77933</v>
      </c>
      <c r="G1524" s="1" t="str">
        <f ca="1">IFERROR(__xludf.DUMMYFUNCTION("""COMPUTED_VALUE"""),"12.9114/77.6467")</f>
        <v>12.9114/77.6467</v>
      </c>
      <c r="H1524" s="1" t="str">
        <f ca="1">IFERROR(__xludf.DUMMYFUNCTION("""COMPUTED_VALUE"""),"HSR Club")</f>
        <v>HSR Club</v>
      </c>
      <c r="I1524" s="1"/>
      <c r="J1524" s="1" t="str">
        <f ca="1">IFERROR(__xludf.DUMMYFUNCTION("""COMPUTED_VALUE"""),"0d 00h 00m")</f>
        <v>0d 00h 00m</v>
      </c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13.2">
      <c r="A1525" s="1">
        <f ca="1">IFERROR(__xludf.DUMMYFUNCTION("""COMPUTED_VALUE"""),195)</f>
        <v>195</v>
      </c>
      <c r="B1525" s="1" t="str">
        <f ca="1">IFERROR(__xludf.DUMMYFUNCTION("""COMPUTED_VALUE"""),"S4_KA04C4868_Jetting")</f>
        <v>S4_KA04C4868_Jetting</v>
      </c>
      <c r="C1525" s="1" t="str">
        <f ca="1">IFERROR(__xludf.DUMMYFUNCTION("""COMPUTED_VALUE"""),"s4_ka04c4868_jetting")</f>
        <v>s4_ka04c4868_jetting</v>
      </c>
      <c r="D1525" s="2">
        <f ca="1">IFERROR(__xludf.DUMMYFUNCTION("""COMPUTED_VALUE"""),44738)</f>
        <v>44738</v>
      </c>
      <c r="E1525" s="3">
        <f ca="1">IFERROR(__xludf.DUMMYFUNCTION("""COMPUTED_VALUE"""),0.999143518518394)</f>
        <v>0.999143518518394</v>
      </c>
      <c r="F1525" s="1">
        <f ca="1">IFERROR(__xludf.DUMMYFUNCTION("""COMPUTED_VALUE"""),79070)</f>
        <v>79070</v>
      </c>
      <c r="G1525" s="1" t="str">
        <f ca="1">IFERROR(__xludf.DUMMYFUNCTION("""COMPUTED_VALUE"""),"12.9113/77.6467")</f>
        <v>12.9113/77.6467</v>
      </c>
      <c r="H1525" s="1" t="str">
        <f ca="1">IFERROR(__xludf.DUMMYFUNCTION("""COMPUTED_VALUE"""),"HSR Club")</f>
        <v>HSR Club</v>
      </c>
      <c r="I1525" s="1"/>
      <c r="J1525" s="1" t="str">
        <f ca="1">IFERROR(__xludf.DUMMYFUNCTION("""COMPUTED_VALUE"""),"0d 00h 00m")</f>
        <v>0d 00h 00m</v>
      </c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13.2">
      <c r="A1526" s="1">
        <f ca="1">IFERROR(__xludf.DUMMYFUNCTION("""COMPUTED_VALUE"""),137)</f>
        <v>137</v>
      </c>
      <c r="B1526" s="1" t="str">
        <f ca="1">IFERROR(__xludf.DUMMYFUNCTION("""COMPUTED_VALUE"""),"S4_KA04C4868_Jetting")</f>
        <v>S4_KA04C4868_Jetting</v>
      </c>
      <c r="C1526" s="1" t="str">
        <f ca="1">IFERROR(__xludf.DUMMYFUNCTION("""COMPUTED_VALUE"""),"s4_ka04c4868_jetting")</f>
        <v>s4_ka04c4868_jetting</v>
      </c>
      <c r="D1526" s="2">
        <f ca="1">IFERROR(__xludf.DUMMYFUNCTION("""COMPUTED_VALUE"""),44768)</f>
        <v>44768</v>
      </c>
      <c r="E1526" s="3">
        <f ca="1">IFERROR(__xludf.DUMMYFUNCTION("""COMPUTED_VALUE"""),0.490717592590954)</f>
        <v>0.49071759259095399</v>
      </c>
      <c r="F1526" s="1">
        <f ca="1">IFERROR(__xludf.DUMMYFUNCTION("""COMPUTED_VALUE"""),79557)</f>
        <v>79557</v>
      </c>
      <c r="G1526" s="1" t="str">
        <f ca="1">IFERROR(__xludf.DUMMYFUNCTION("""COMPUTED_VALUE"""),"12.8131/77.6766")</f>
        <v>12.8131/77.6766</v>
      </c>
      <c r="H1526" s="1" t="str">
        <f ca="1">IFERROR(__xludf.DUMMYFUNCTION("""COMPUTED_VALUE"""),"Samruddhi Suites")</f>
        <v>Samruddhi Suites</v>
      </c>
      <c r="I1526" s="1"/>
      <c r="J1526" s="1" t="str">
        <f ca="1">IFERROR(__xludf.DUMMYFUNCTION("""COMPUTED_VALUE"""),"0d 00h 00m")</f>
        <v>0d 00h 00m</v>
      </c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13.2">
      <c r="A1527" s="1">
        <f ca="1">IFERROR(__xludf.DUMMYFUNCTION("""COMPUTED_VALUE"""),214)</f>
        <v>214</v>
      </c>
      <c r="B1527" s="1" t="str">
        <f ca="1">IFERROR(__xludf.DUMMYFUNCTION("""COMPUTED_VALUE"""),"S4_KA04C4868_Jetting")</f>
        <v>S4_KA04C4868_Jetting</v>
      </c>
      <c r="C1527" s="1" t="str">
        <f ca="1">IFERROR(__xludf.DUMMYFUNCTION("""COMPUTED_VALUE"""),"s4_ka04c4868_jetting")</f>
        <v>s4_ka04c4868_jetting</v>
      </c>
      <c r="D1527" s="2">
        <f ca="1">IFERROR(__xludf.DUMMYFUNCTION("""COMPUTED_VALUE"""),44799)</f>
        <v>44799</v>
      </c>
      <c r="E1527" s="3">
        <f ca="1">IFERROR(__xludf.DUMMYFUNCTION("""COMPUTED_VALUE"""),0.999189814814599)</f>
        <v>0.99918981481459901</v>
      </c>
      <c r="F1527" s="1">
        <f ca="1">IFERROR(__xludf.DUMMYFUNCTION("""COMPUTED_VALUE"""),80326)</f>
        <v>80326</v>
      </c>
      <c r="G1527" s="1" t="str">
        <f ca="1">IFERROR(__xludf.DUMMYFUNCTION("""COMPUTED_VALUE"""),"12.9113/77.6468")</f>
        <v>12.9113/77.6468</v>
      </c>
      <c r="H1527" s="1" t="str">
        <f ca="1">IFERROR(__xludf.DUMMYFUNCTION("""COMPUTED_VALUE"""),"HSR Club")</f>
        <v>HSR Club</v>
      </c>
      <c r="I1527" s="1"/>
      <c r="J1527" s="1" t="str">
        <f ca="1">IFERROR(__xludf.DUMMYFUNCTION("""COMPUTED_VALUE"""),"0d 00h 00m")</f>
        <v>0d 00h 00m</v>
      </c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13.2">
      <c r="A1528" s="1">
        <f ca="1">IFERROR(__xludf.DUMMYFUNCTION("""COMPUTED_VALUE"""),116)</f>
        <v>116</v>
      </c>
      <c r="B1528" s="1" t="str">
        <f ca="1">IFERROR(__xludf.DUMMYFUNCTION("""COMPUTED_VALUE"""),"S4_KA04C4868_Jetting")</f>
        <v>S4_KA04C4868_Jetting</v>
      </c>
      <c r="C1528" s="1" t="str">
        <f ca="1">IFERROR(__xludf.DUMMYFUNCTION("""COMPUTED_VALUE"""),"s4_ka04c4868_jetting")</f>
        <v>s4_ka04c4868_jetting</v>
      </c>
      <c r="D1528" s="2">
        <f ca="1">IFERROR(__xludf.DUMMYFUNCTION("""COMPUTED_VALUE"""),44825)</f>
        <v>44825</v>
      </c>
      <c r="E1528" s="3">
        <f ca="1">IFERROR(__xludf.DUMMYFUNCTION("""COMPUTED_VALUE"""),0.816585648146428)</f>
        <v>0.81658564814642798</v>
      </c>
      <c r="F1528" s="1">
        <f ca="1">IFERROR(__xludf.DUMMYFUNCTION("""COMPUTED_VALUE"""),81039)</f>
        <v>81039</v>
      </c>
      <c r="G1528" s="1" t="str">
        <f ca="1">IFERROR(__xludf.DUMMYFUNCTION("""COMPUTED_VALUE"""),"12.9113/77.6468")</f>
        <v>12.9113/77.6468</v>
      </c>
      <c r="H1528" s="1" t="str">
        <f ca="1">IFERROR(__xludf.DUMMYFUNCTION("""COMPUTED_VALUE"""),"HSR Club")</f>
        <v>HSR Club</v>
      </c>
      <c r="I1528" s="1"/>
      <c r="J1528" s="1" t="str">
        <f ca="1">IFERROR(__xludf.DUMMYFUNCTION("""COMPUTED_VALUE"""),"0d 00h 00m")</f>
        <v>0d 00h 00m</v>
      </c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13.2">
      <c r="A1529" s="1">
        <f ca="1">IFERROR(__xludf.DUMMYFUNCTION("""COMPUTED_VALUE"""),79)</f>
        <v>79</v>
      </c>
      <c r="B1529" s="1" t="str">
        <f ca="1">IFERROR(__xludf.DUMMYFUNCTION("""COMPUTED_VALUE"""),"S4_KA04C4868_Jetting")</f>
        <v>S4_KA04C4868_Jetting</v>
      </c>
      <c r="C1529" s="1" t="str">
        <f ca="1">IFERROR(__xludf.DUMMYFUNCTION("""COMPUTED_VALUE"""),"s4_ka04c4868_jetting")</f>
        <v>s4_ka04c4868_jetting</v>
      </c>
      <c r="D1529" s="2">
        <f ca="1">IFERROR(__xludf.DUMMYFUNCTION("""COMPUTED_VALUE"""),44841)</f>
        <v>44841</v>
      </c>
      <c r="E1529" s="3">
        <f ca="1">IFERROR(__xludf.DUMMYFUNCTION("""COMPUTED_VALUE"""),0.0745486111118225)</f>
        <v>7.4548611111822496E-2</v>
      </c>
      <c r="F1529" s="1">
        <f ca="1">IFERROR(__xludf.DUMMYFUNCTION("""COMPUTED_VALUE"""),81065)</f>
        <v>81065</v>
      </c>
      <c r="G1529" s="1" t="str">
        <f ca="1">IFERROR(__xludf.DUMMYFUNCTION("""COMPUTED_VALUE"""),"12.9113/77.6467")</f>
        <v>12.9113/77.6467</v>
      </c>
      <c r="H1529" s="1" t="str">
        <f ca="1">IFERROR(__xludf.DUMMYFUNCTION("""COMPUTED_VALUE"""),"HSR Club")</f>
        <v>HSR Club</v>
      </c>
      <c r="I1529" s="1"/>
      <c r="J1529" s="1" t="str">
        <f ca="1">IFERROR(__xludf.DUMMYFUNCTION("""COMPUTED_VALUE"""),"0d 00h 00m")</f>
        <v>0d 00h 00m</v>
      </c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13.2">
      <c r="A1530" s="1">
        <f ca="1">IFERROR(__xludf.DUMMYFUNCTION("""COMPUTED_VALUE"""),140)</f>
        <v>140</v>
      </c>
      <c r="B1530" s="1" t="str">
        <f ca="1">IFERROR(__xludf.DUMMYFUNCTION("""COMPUTED_VALUE"""),"S4_KA04C5145_Jetting")</f>
        <v>S4_KA04C5145_Jetting</v>
      </c>
      <c r="C1530" s="1" t="str">
        <f ca="1">IFERROR(__xludf.DUMMYFUNCTION("""COMPUTED_VALUE"""),"s4_ka04c5145_jetting")</f>
        <v>s4_ka04c5145_jetting</v>
      </c>
      <c r="D1530" s="2">
        <f ca="1">IFERROR(__xludf.DUMMYFUNCTION("""COMPUTED_VALUE"""),44707)</f>
        <v>44707</v>
      </c>
      <c r="E1530" s="3">
        <f ca="1">IFERROR(__xludf.DUMMYFUNCTION("""COMPUTED_VALUE"""),0.735381944443361)</f>
        <v>0.73538194444336102</v>
      </c>
      <c r="F1530" s="1">
        <f ca="1">IFERROR(__xludf.DUMMYFUNCTION("""COMPUTED_VALUE"""),25418)</f>
        <v>25418</v>
      </c>
      <c r="G1530" s="1" t="str">
        <f ca="1">IFERROR(__xludf.DUMMYFUNCTION("""COMPUTED_VALUE"""),"12.8973/77.6202")</f>
        <v>12.8973/77.6202</v>
      </c>
      <c r="H1530" s="1" t="str">
        <f ca="1">IFERROR(__xludf.DUMMYFUNCTION("""COMPUTED_VALUE"""),"Hongasandra")</f>
        <v>Hongasandra</v>
      </c>
      <c r="I1530" s="1"/>
      <c r="J1530" s="1" t="str">
        <f ca="1">IFERROR(__xludf.DUMMYFUNCTION("""COMPUTED_VALUE"""),"41d 00h 11m")</f>
        <v>41d 00h 11m</v>
      </c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13.2">
      <c r="A1531" s="1">
        <f ca="1">IFERROR(__xludf.DUMMYFUNCTION("""COMPUTED_VALUE"""),151)</f>
        <v>151</v>
      </c>
      <c r="B1531" s="1" t="str">
        <f ca="1">IFERROR(__xludf.DUMMYFUNCTION("""COMPUTED_VALUE"""),"S4_KA04C5145_Jetting")</f>
        <v>S4_KA04C5145_Jetting</v>
      </c>
      <c r="C1531" s="1" t="str">
        <f ca="1">IFERROR(__xludf.DUMMYFUNCTION("""COMPUTED_VALUE"""),"s4_ka04c5145_jetting")</f>
        <v>s4_ka04c5145_jetting</v>
      </c>
      <c r="D1531" s="2">
        <f ca="1">IFERROR(__xludf.DUMMYFUNCTION("""COMPUTED_VALUE"""),44738)</f>
        <v>44738</v>
      </c>
      <c r="E1531" s="3">
        <f ca="1">IFERROR(__xludf.DUMMYFUNCTION("""COMPUTED_VALUE"""),0.917106481480004)</f>
        <v>0.91710648148000395</v>
      </c>
      <c r="F1531" s="1">
        <f ca="1">IFERROR(__xludf.DUMMYFUNCTION("""COMPUTED_VALUE"""),25645)</f>
        <v>25645</v>
      </c>
      <c r="G1531" s="1" t="str">
        <f ca="1">IFERROR(__xludf.DUMMYFUNCTION("""COMPUTED_VALUE"""),"12.8979/77.6203")</f>
        <v>12.8979/77.6203</v>
      </c>
      <c r="H1531" s="1" t="str">
        <f ca="1">IFERROR(__xludf.DUMMYFUNCTION("""COMPUTED_VALUE"""),"Hongasandra")</f>
        <v>Hongasandra</v>
      </c>
      <c r="I1531" s="1"/>
      <c r="J1531" s="1" t="str">
        <f ca="1">IFERROR(__xludf.DUMMYFUNCTION("""COMPUTED_VALUE"""),"41d 00h 12m")</f>
        <v>41d 00h 12m</v>
      </c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13.2">
      <c r="A1532" s="1">
        <f ca="1">IFERROR(__xludf.DUMMYFUNCTION("""COMPUTED_VALUE"""),147)</f>
        <v>147</v>
      </c>
      <c r="B1532" s="1" t="str">
        <f ca="1">IFERROR(__xludf.DUMMYFUNCTION("""COMPUTED_VALUE"""),"S4_KA04C5145_Jetting")</f>
        <v>S4_KA04C5145_Jetting</v>
      </c>
      <c r="C1532" s="1" t="str">
        <f ca="1">IFERROR(__xludf.DUMMYFUNCTION("""COMPUTED_VALUE"""),"s4_ka04c5145_jetting")</f>
        <v>s4_ka04c5145_jetting</v>
      </c>
      <c r="D1532" s="2">
        <f ca="1">IFERROR(__xludf.DUMMYFUNCTION("""COMPUTED_VALUE"""),44768)</f>
        <v>44768</v>
      </c>
      <c r="E1532" s="3">
        <f ca="1">IFERROR(__xludf.DUMMYFUNCTION("""COMPUTED_VALUE"""),0.704004629627888)</f>
        <v>0.70400462962788801</v>
      </c>
      <c r="F1532" s="1">
        <f ca="1">IFERROR(__xludf.DUMMYFUNCTION("""COMPUTED_VALUE"""),25879)</f>
        <v>25879</v>
      </c>
      <c r="G1532" s="1" t="str">
        <f ca="1">IFERROR(__xludf.DUMMYFUNCTION("""COMPUTED_VALUE"""),"12.8898/77.6139")</f>
        <v>12.8898/77.6139</v>
      </c>
      <c r="H1532" s="1" t="str">
        <f ca="1">IFERROR(__xludf.DUMMYFUNCTION("""COMPUTED_VALUE"""),"Vijaya Bank Colony")</f>
        <v>Vijaya Bank Colony</v>
      </c>
      <c r="I1532" s="1"/>
      <c r="J1532" s="1" t="str">
        <f ca="1">IFERROR(__xludf.DUMMYFUNCTION("""COMPUTED_VALUE"""),"41d 00h 12m")</f>
        <v>41d 00h 12m</v>
      </c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13.2">
      <c r="A1533" s="1">
        <f ca="1">IFERROR(__xludf.DUMMYFUNCTION("""COMPUTED_VALUE"""),158)</f>
        <v>158</v>
      </c>
      <c r="B1533" s="1" t="str">
        <f ca="1">IFERROR(__xludf.DUMMYFUNCTION("""COMPUTED_VALUE"""),"S4_KA04C5145_Jetting")</f>
        <v>S4_KA04C5145_Jetting</v>
      </c>
      <c r="C1533" s="1" t="str">
        <f ca="1">IFERROR(__xludf.DUMMYFUNCTION("""COMPUTED_VALUE"""),"s4_ka04c5145_jetting")</f>
        <v>s4_ka04c5145_jetting</v>
      </c>
      <c r="D1533" s="2">
        <f ca="1">IFERROR(__xludf.DUMMYFUNCTION("""COMPUTED_VALUE"""),44799)</f>
        <v>44799</v>
      </c>
      <c r="E1533" s="3">
        <f ca="1">IFERROR(__xludf.DUMMYFUNCTION("""COMPUTED_VALUE"""),0.765543981480732)</f>
        <v>0.76554398148073199</v>
      </c>
      <c r="F1533" s="1">
        <f ca="1">IFERROR(__xludf.DUMMYFUNCTION("""COMPUTED_VALUE"""),26062)</f>
        <v>26062</v>
      </c>
      <c r="G1533" s="1" t="str">
        <f ca="1">IFERROR(__xludf.DUMMYFUNCTION("""COMPUTED_VALUE"""),"12.8973/77.6202")</f>
        <v>12.8973/77.6202</v>
      </c>
      <c r="H1533" s="1" t="str">
        <f ca="1">IFERROR(__xludf.DUMMYFUNCTION("""COMPUTED_VALUE"""),"Hongasandra")</f>
        <v>Hongasandra</v>
      </c>
      <c r="I1533" s="1"/>
      <c r="J1533" s="1" t="str">
        <f ca="1">IFERROR(__xludf.DUMMYFUNCTION("""COMPUTED_VALUE"""),"41d 00h 13m")</f>
        <v>41d 00h 13m</v>
      </c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13.2">
      <c r="A1534" s="1">
        <f ca="1">IFERROR(__xludf.DUMMYFUNCTION("""COMPUTED_VALUE"""),87)</f>
        <v>87</v>
      </c>
      <c r="B1534" s="1" t="str">
        <f ca="1">IFERROR(__xludf.DUMMYFUNCTION("""COMPUTED_VALUE"""),"S4_KA04C5145_Jetting")</f>
        <v>S4_KA04C5145_Jetting</v>
      </c>
      <c r="C1534" s="1" t="str">
        <f ca="1">IFERROR(__xludf.DUMMYFUNCTION("""COMPUTED_VALUE"""),"s4_ka04c5145_jetting")</f>
        <v>s4_ka04c5145_jetting</v>
      </c>
      <c r="D1534" s="2">
        <f ca="1">IFERROR(__xludf.DUMMYFUNCTION("""COMPUTED_VALUE"""),44807)</f>
        <v>44807</v>
      </c>
      <c r="E1534" s="3">
        <f ca="1">IFERROR(__xludf.DUMMYFUNCTION("""COMPUTED_VALUE"""),0.379131944442633)</f>
        <v>0.37913194444263298</v>
      </c>
      <c r="F1534" s="1">
        <f ca="1">IFERROR(__xludf.DUMMYFUNCTION("""COMPUTED_VALUE"""),26099)</f>
        <v>26099</v>
      </c>
      <c r="G1534" s="1" t="str">
        <f ca="1">IFERROR(__xludf.DUMMYFUNCTION("""COMPUTED_VALUE"""),"12.8972/77.6202")</f>
        <v>12.8972/77.6202</v>
      </c>
      <c r="H1534" s="1" t="str">
        <f ca="1">IFERROR(__xludf.DUMMYFUNCTION("""COMPUTED_VALUE"""),"Hongasandra")</f>
        <v>Hongasandra</v>
      </c>
      <c r="I1534" s="1"/>
      <c r="J1534" s="1" t="str">
        <f ca="1">IFERROR(__xludf.DUMMYFUNCTION("""COMPUTED_VALUE"""),"41d 00h 14m")</f>
        <v>41d 00h 14m</v>
      </c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13.2">
      <c r="A1535" s="1">
        <f ca="1">IFERROR(__xludf.DUMMYFUNCTION("""COMPUTED_VALUE"""),62)</f>
        <v>62</v>
      </c>
      <c r="B1535" s="1" t="str">
        <f ca="1">IFERROR(__xludf.DUMMYFUNCTION("""COMPUTED_VALUE"""),"S4_KA04C5145_Jetting")</f>
        <v>S4_KA04C5145_Jetting</v>
      </c>
      <c r="C1535" s="1" t="str">
        <f ca="1">IFERROR(__xludf.DUMMYFUNCTION("""COMPUTED_VALUE"""),"s4_ka04c5145_jetting")</f>
        <v>s4_ka04c5145_jetting</v>
      </c>
      <c r="D1535" s="2">
        <f ca="1">IFERROR(__xludf.DUMMYFUNCTION("""COMPUTED_VALUE"""),44807)</f>
        <v>44807</v>
      </c>
      <c r="E1535" s="3">
        <f ca="1">IFERROR(__xludf.DUMMYFUNCTION("""COMPUTED_VALUE"""),0.379131944442633)</f>
        <v>0.37913194444263298</v>
      </c>
      <c r="F1535" s="1">
        <f ca="1">IFERROR(__xludf.DUMMYFUNCTION("""COMPUTED_VALUE"""),26099)</f>
        <v>26099</v>
      </c>
      <c r="G1535" s="1" t="str">
        <f ca="1">IFERROR(__xludf.DUMMYFUNCTION("""COMPUTED_VALUE"""),"12.8972/77.6202")</f>
        <v>12.8972/77.6202</v>
      </c>
      <c r="H1535" s="1" t="str">
        <f ca="1">IFERROR(__xludf.DUMMYFUNCTION("""COMPUTED_VALUE"""),"Hongasandra")</f>
        <v>Hongasandra</v>
      </c>
      <c r="I1535" s="1"/>
      <c r="J1535" s="1" t="str">
        <f ca="1">IFERROR(__xludf.DUMMYFUNCTION("""COMPUTED_VALUE"""),"41d 00h 15m")</f>
        <v>41d 00h 15m</v>
      </c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13.2">
      <c r="A1536" s="1">
        <f ca="1">IFERROR(__xludf.DUMMYFUNCTION("""COMPUTED_VALUE"""),22)</f>
        <v>22</v>
      </c>
      <c r="B1536" s="1" t="str">
        <f ca="1">IFERROR(__xludf.DUMMYFUNCTION("""COMPUTED_VALUE"""),"S4_KA04C5152_Jetting")</f>
        <v>S4_KA04C5152_Jetting</v>
      </c>
      <c r="C1536" s="1" t="str">
        <f ca="1">IFERROR(__xludf.DUMMYFUNCTION("""COMPUTED_VALUE"""),"s4_ka04c5152_jetting")</f>
        <v>s4_ka04c5152_jetting</v>
      </c>
      <c r="D1536" s="2">
        <f ca="1">IFERROR(__xludf.DUMMYFUNCTION("""COMPUTED_VALUE"""),43998)</f>
        <v>43998</v>
      </c>
      <c r="E1536" s="3">
        <f ca="1">IFERROR(__xludf.DUMMYFUNCTION("""COMPUTED_VALUE"""),0.544837962963356)</f>
        <v>0.54483796296335596</v>
      </c>
      <c r="F1536" s="1">
        <f ca="1">IFERROR(__xludf.DUMMYFUNCTION("""COMPUTED_VALUE"""),18568)</f>
        <v>18568</v>
      </c>
      <c r="G1536" s="1" t="str">
        <f ca="1">IFERROR(__xludf.DUMMYFUNCTION("""COMPUTED_VALUE"""),"12.9771/77.4381")</f>
        <v>12.9771/77.4381</v>
      </c>
      <c r="H1536" s="1" t="str">
        <f ca="1">IFERROR(__xludf.DUMMYFUNCTION("""COMPUTED_VALUE"""),"Bayandhalli")</f>
        <v>Bayandhalli</v>
      </c>
      <c r="I1536" s="1"/>
      <c r="J1536" s="1" t="str">
        <f ca="1">IFERROR(__xludf.DUMMYFUNCTION("""COMPUTED_VALUE"""),"918d 21h 26m")</f>
        <v>918d 21h 26m</v>
      </c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13.2">
      <c r="A1537" s="1">
        <f ca="1">IFERROR(__xludf.DUMMYFUNCTION("""COMPUTED_VALUE"""),22)</f>
        <v>22</v>
      </c>
      <c r="B1537" s="1" t="str">
        <f ca="1">IFERROR(__xludf.DUMMYFUNCTION("""COMPUTED_VALUE"""),"S4_KA04C5152_Jetting")</f>
        <v>S4_KA04C5152_Jetting</v>
      </c>
      <c r="C1537" s="1" t="str">
        <f ca="1">IFERROR(__xludf.DUMMYFUNCTION("""COMPUTED_VALUE"""),"s4_ka04c5152_jetting")</f>
        <v>s4_ka04c5152_jetting</v>
      </c>
      <c r="D1537" s="2">
        <f ca="1">IFERROR(__xludf.DUMMYFUNCTION("""COMPUTED_VALUE"""),43998)</f>
        <v>43998</v>
      </c>
      <c r="E1537" s="3">
        <f ca="1">IFERROR(__xludf.DUMMYFUNCTION("""COMPUTED_VALUE"""),0.544837962963356)</f>
        <v>0.54483796296335596</v>
      </c>
      <c r="F1537" s="1">
        <f ca="1">IFERROR(__xludf.DUMMYFUNCTION("""COMPUTED_VALUE"""),18568)</f>
        <v>18568</v>
      </c>
      <c r="G1537" s="1" t="str">
        <f ca="1">IFERROR(__xludf.DUMMYFUNCTION("""COMPUTED_VALUE"""),"12.9771/77.4381")</f>
        <v>12.9771/77.4381</v>
      </c>
      <c r="H1537" s="1" t="str">
        <f ca="1">IFERROR(__xludf.DUMMYFUNCTION("""COMPUTED_VALUE"""),"Bayandhalli")</f>
        <v>Bayandhalli</v>
      </c>
      <c r="I1537" s="1"/>
      <c r="J1537" s="1" t="str">
        <f ca="1">IFERROR(__xludf.DUMMYFUNCTION("""COMPUTED_VALUE"""),"918d 21h 27m")</f>
        <v>918d 21h 27m</v>
      </c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13.2">
      <c r="A1538" s="1">
        <f ca="1">IFERROR(__xludf.DUMMYFUNCTION("""COMPUTED_VALUE"""),22)</f>
        <v>22</v>
      </c>
      <c r="B1538" s="1" t="str">
        <f ca="1">IFERROR(__xludf.DUMMYFUNCTION("""COMPUTED_VALUE"""),"S4_KA04C5152_Jetting")</f>
        <v>S4_KA04C5152_Jetting</v>
      </c>
      <c r="C1538" s="1" t="str">
        <f ca="1">IFERROR(__xludf.DUMMYFUNCTION("""COMPUTED_VALUE"""),"s4_ka04c5152_jetting")</f>
        <v>s4_ka04c5152_jetting</v>
      </c>
      <c r="D1538" s="2">
        <f ca="1">IFERROR(__xludf.DUMMYFUNCTION("""COMPUTED_VALUE"""),43998)</f>
        <v>43998</v>
      </c>
      <c r="E1538" s="3">
        <f ca="1">IFERROR(__xludf.DUMMYFUNCTION("""COMPUTED_VALUE"""),0.544837962963356)</f>
        <v>0.54483796296335596</v>
      </c>
      <c r="F1538" s="1">
        <f ca="1">IFERROR(__xludf.DUMMYFUNCTION("""COMPUTED_VALUE"""),18568)</f>
        <v>18568</v>
      </c>
      <c r="G1538" s="1" t="str">
        <f ca="1">IFERROR(__xludf.DUMMYFUNCTION("""COMPUTED_VALUE"""),"12.9771/77.4381")</f>
        <v>12.9771/77.4381</v>
      </c>
      <c r="H1538" s="1" t="str">
        <f ca="1">IFERROR(__xludf.DUMMYFUNCTION("""COMPUTED_VALUE"""),"Bayandhalli")</f>
        <v>Bayandhalli</v>
      </c>
      <c r="I1538" s="1"/>
      <c r="J1538" s="1" t="str">
        <f ca="1">IFERROR(__xludf.DUMMYFUNCTION("""COMPUTED_VALUE"""),"918d 21h 28m")</f>
        <v>918d 21h 28m</v>
      </c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13.2">
      <c r="A1539" s="1">
        <f ca="1">IFERROR(__xludf.DUMMYFUNCTION("""COMPUTED_VALUE"""),22)</f>
        <v>22</v>
      </c>
      <c r="B1539" s="1" t="str">
        <f ca="1">IFERROR(__xludf.DUMMYFUNCTION("""COMPUTED_VALUE"""),"S4_KA04C5152_Jetting")</f>
        <v>S4_KA04C5152_Jetting</v>
      </c>
      <c r="C1539" s="1" t="str">
        <f ca="1">IFERROR(__xludf.DUMMYFUNCTION("""COMPUTED_VALUE"""),"s4_ka04c5152_jetting")</f>
        <v>s4_ka04c5152_jetting</v>
      </c>
      <c r="D1539" s="2">
        <f ca="1">IFERROR(__xludf.DUMMYFUNCTION("""COMPUTED_VALUE"""),43998)</f>
        <v>43998</v>
      </c>
      <c r="E1539" s="3">
        <f ca="1">IFERROR(__xludf.DUMMYFUNCTION("""COMPUTED_VALUE"""),0.544837962963356)</f>
        <v>0.54483796296335596</v>
      </c>
      <c r="F1539" s="1">
        <f ca="1">IFERROR(__xludf.DUMMYFUNCTION("""COMPUTED_VALUE"""),18568)</f>
        <v>18568</v>
      </c>
      <c r="G1539" s="1" t="str">
        <f ca="1">IFERROR(__xludf.DUMMYFUNCTION("""COMPUTED_VALUE"""),"12.9771/77.4381")</f>
        <v>12.9771/77.4381</v>
      </c>
      <c r="H1539" s="1" t="str">
        <f ca="1">IFERROR(__xludf.DUMMYFUNCTION("""COMPUTED_VALUE"""),"Bayandhalli")</f>
        <v>Bayandhalli</v>
      </c>
      <c r="I1539" s="1"/>
      <c r="J1539" s="1" t="str">
        <f ca="1">IFERROR(__xludf.DUMMYFUNCTION("""COMPUTED_VALUE"""),"918d 21h 29m")</f>
        <v>918d 21h 29m</v>
      </c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13.2">
      <c r="A1540" s="1">
        <f ca="1">IFERROR(__xludf.DUMMYFUNCTION("""COMPUTED_VALUE"""),22)</f>
        <v>22</v>
      </c>
      <c r="B1540" s="1" t="str">
        <f ca="1">IFERROR(__xludf.DUMMYFUNCTION("""COMPUTED_VALUE"""),"S4_KA04C5152_Jetting")</f>
        <v>S4_KA04C5152_Jetting</v>
      </c>
      <c r="C1540" s="1" t="str">
        <f ca="1">IFERROR(__xludf.DUMMYFUNCTION("""COMPUTED_VALUE"""),"s4_ka04c5152_jetting")</f>
        <v>s4_ka04c5152_jetting</v>
      </c>
      <c r="D1540" s="2">
        <f ca="1">IFERROR(__xludf.DUMMYFUNCTION("""COMPUTED_VALUE"""),43998)</f>
        <v>43998</v>
      </c>
      <c r="E1540" s="3">
        <f ca="1">IFERROR(__xludf.DUMMYFUNCTION("""COMPUTED_VALUE"""),0.544837962963356)</f>
        <v>0.54483796296335596</v>
      </c>
      <c r="F1540" s="1">
        <f ca="1">IFERROR(__xludf.DUMMYFUNCTION("""COMPUTED_VALUE"""),18568)</f>
        <v>18568</v>
      </c>
      <c r="G1540" s="1" t="str">
        <f ca="1">IFERROR(__xludf.DUMMYFUNCTION("""COMPUTED_VALUE"""),"12.9771/77.4381")</f>
        <v>12.9771/77.4381</v>
      </c>
      <c r="H1540" s="1" t="str">
        <f ca="1">IFERROR(__xludf.DUMMYFUNCTION("""COMPUTED_VALUE"""),"Bayandhalli")</f>
        <v>Bayandhalli</v>
      </c>
      <c r="I1540" s="1"/>
      <c r="J1540" s="1" t="str">
        <f ca="1">IFERROR(__xludf.DUMMYFUNCTION("""COMPUTED_VALUE"""),"918d 21h 30m")</f>
        <v>918d 21h 30m</v>
      </c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13.2">
      <c r="A1541" s="1">
        <f ca="1">IFERROR(__xludf.DUMMYFUNCTION("""COMPUTED_VALUE"""),22)</f>
        <v>22</v>
      </c>
      <c r="B1541" s="1" t="str">
        <f ca="1">IFERROR(__xludf.DUMMYFUNCTION("""COMPUTED_VALUE"""),"S4_KA04C5152_Jetting")</f>
        <v>S4_KA04C5152_Jetting</v>
      </c>
      <c r="C1541" s="1" t="str">
        <f ca="1">IFERROR(__xludf.DUMMYFUNCTION("""COMPUTED_VALUE"""),"s4_ka04c5152_jetting")</f>
        <v>s4_ka04c5152_jetting</v>
      </c>
      <c r="D1541" s="2">
        <f ca="1">IFERROR(__xludf.DUMMYFUNCTION("""COMPUTED_VALUE"""),43998)</f>
        <v>43998</v>
      </c>
      <c r="E1541" s="3">
        <f ca="1">IFERROR(__xludf.DUMMYFUNCTION("""COMPUTED_VALUE"""),0.544837962963356)</f>
        <v>0.54483796296335596</v>
      </c>
      <c r="F1541" s="1">
        <f ca="1">IFERROR(__xludf.DUMMYFUNCTION("""COMPUTED_VALUE"""),18568)</f>
        <v>18568</v>
      </c>
      <c r="G1541" s="1" t="str">
        <f ca="1">IFERROR(__xludf.DUMMYFUNCTION("""COMPUTED_VALUE"""),"12.9771/77.4381")</f>
        <v>12.9771/77.4381</v>
      </c>
      <c r="H1541" s="1" t="str">
        <f ca="1">IFERROR(__xludf.DUMMYFUNCTION("""COMPUTED_VALUE"""),"Bayandhalli")</f>
        <v>Bayandhalli</v>
      </c>
      <c r="I1541" s="1"/>
      <c r="J1541" s="1" t="str">
        <f ca="1">IFERROR(__xludf.DUMMYFUNCTION("""COMPUTED_VALUE"""),"918d 21h 30m")</f>
        <v>918d 21h 30m</v>
      </c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13.2">
      <c r="A1542" s="1">
        <f ca="1">IFERROR(__xludf.DUMMYFUNCTION("""COMPUTED_VALUE"""),180)</f>
        <v>180</v>
      </c>
      <c r="B1542" s="1" t="str">
        <f ca="1">IFERROR(__xludf.DUMMYFUNCTION("""COMPUTED_VALUE"""),"S4_KA04D4603_Jetting")</f>
        <v>S4_KA04D4603_Jetting</v>
      </c>
      <c r="C1542" s="1" t="str">
        <f ca="1">IFERROR(__xludf.DUMMYFUNCTION("""COMPUTED_VALUE"""),"s4_ka04d4603_jetting")</f>
        <v>s4_ka04d4603_jetting</v>
      </c>
      <c r="D1542" s="2">
        <f ca="1">IFERROR(__xludf.DUMMYFUNCTION("""COMPUTED_VALUE"""),44707)</f>
        <v>44707</v>
      </c>
      <c r="E1542" s="3">
        <f ca="1">IFERROR(__xludf.DUMMYFUNCTION("""COMPUTED_VALUE"""),0.999085648149048)</f>
        <v>0.99908564814904799</v>
      </c>
      <c r="F1542" s="1">
        <f ca="1">IFERROR(__xludf.DUMMYFUNCTION("""COMPUTED_VALUE"""),70311)</f>
        <v>70311</v>
      </c>
      <c r="G1542" s="1" t="str">
        <f ca="1">IFERROR(__xludf.DUMMYFUNCTION("""COMPUTED_VALUE"""),"12.8975/77.6202")</f>
        <v>12.8975/77.6202</v>
      </c>
      <c r="H1542" s="1" t="str">
        <f ca="1">IFERROR(__xludf.DUMMYFUNCTION("""COMPUTED_VALUE"""),"Hongasandra")</f>
        <v>Hongasandra</v>
      </c>
      <c r="I1542" s="1"/>
      <c r="J1542" s="1" t="str">
        <f ca="1">IFERROR(__xludf.DUMMYFUNCTION("""COMPUTED_VALUE"""),"0d 00h 01m")</f>
        <v>0d 00h 01m</v>
      </c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13.2">
      <c r="A1543" s="1">
        <f ca="1">IFERROR(__xludf.DUMMYFUNCTION("""COMPUTED_VALUE"""),180)</f>
        <v>180</v>
      </c>
      <c r="B1543" s="1" t="str">
        <f ca="1">IFERROR(__xludf.DUMMYFUNCTION("""COMPUTED_VALUE"""),"S4_KA04D4603_Jetting")</f>
        <v>S4_KA04D4603_Jetting</v>
      </c>
      <c r="C1543" s="1" t="str">
        <f ca="1">IFERROR(__xludf.DUMMYFUNCTION("""COMPUTED_VALUE"""),"s4_ka04d4603_jetting")</f>
        <v>s4_ka04d4603_jetting</v>
      </c>
      <c r="D1543" s="2">
        <f ca="1">IFERROR(__xludf.DUMMYFUNCTION("""COMPUTED_VALUE"""),44738)</f>
        <v>44738</v>
      </c>
      <c r="E1543" s="3">
        <f ca="1">IFERROR(__xludf.DUMMYFUNCTION("""COMPUTED_VALUE"""),0.999074074072268)</f>
        <v>0.999074074072268</v>
      </c>
      <c r="F1543" s="1">
        <f ca="1">IFERROR(__xludf.DUMMYFUNCTION("""COMPUTED_VALUE"""),72626)</f>
        <v>72626</v>
      </c>
      <c r="G1543" s="1" t="str">
        <f ca="1">IFERROR(__xludf.DUMMYFUNCTION("""COMPUTED_VALUE"""),"12.8972/77.6202")</f>
        <v>12.8972/77.6202</v>
      </c>
      <c r="H1543" s="1" t="str">
        <f ca="1">IFERROR(__xludf.DUMMYFUNCTION("""COMPUTED_VALUE"""),"Hongasandra")</f>
        <v>Hongasandra</v>
      </c>
      <c r="I1543" s="1"/>
      <c r="J1543" s="1" t="str">
        <f ca="1">IFERROR(__xludf.DUMMYFUNCTION("""COMPUTED_VALUE"""),"0d 00h 02m")</f>
        <v>0d 00h 02m</v>
      </c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13.2">
      <c r="A1544" s="1">
        <f ca="1">IFERROR(__xludf.DUMMYFUNCTION("""COMPUTED_VALUE"""),236)</f>
        <v>236</v>
      </c>
      <c r="B1544" s="1" t="str">
        <f ca="1">IFERROR(__xludf.DUMMYFUNCTION("""COMPUTED_VALUE"""),"S4_KA04D4603_Jetting")</f>
        <v>S4_KA04D4603_Jetting</v>
      </c>
      <c r="C1544" s="1" t="str">
        <f ca="1">IFERROR(__xludf.DUMMYFUNCTION("""COMPUTED_VALUE"""),"s4_ka04d4603_jetting")</f>
        <v>s4_ka04d4603_jetting</v>
      </c>
      <c r="D1544" s="2">
        <f ca="1">IFERROR(__xludf.DUMMYFUNCTION("""COMPUTED_VALUE"""),44768)</f>
        <v>44768</v>
      </c>
      <c r="E1544" s="3">
        <f ca="1">IFERROR(__xludf.DUMMYFUNCTION("""COMPUTED_VALUE"""),0.999305555556929)</f>
        <v>0.99930555555692901</v>
      </c>
      <c r="F1544" s="1">
        <f ca="1">IFERROR(__xludf.DUMMYFUNCTION("""COMPUTED_VALUE"""),73576)</f>
        <v>73576</v>
      </c>
      <c r="G1544" s="1" t="str">
        <f ca="1">IFERROR(__xludf.DUMMYFUNCTION("""COMPUTED_VALUE"""),"12.8973/77.6200")</f>
        <v>12.8973/77.6200</v>
      </c>
      <c r="H1544" s="1" t="str">
        <f ca="1">IFERROR(__xludf.DUMMYFUNCTION("""COMPUTED_VALUE"""),"Hongasandra")</f>
        <v>Hongasandra</v>
      </c>
      <c r="I1544" s="1"/>
      <c r="J1544" s="1" t="str">
        <f ca="1">IFERROR(__xludf.DUMMYFUNCTION("""COMPUTED_VALUE"""),"0d 00h 03m")</f>
        <v>0d 00h 03m</v>
      </c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13.2">
      <c r="A1545" s="1">
        <f ca="1">IFERROR(__xludf.DUMMYFUNCTION("""COMPUTED_VALUE"""),168)</f>
        <v>168</v>
      </c>
      <c r="B1545" s="1" t="str">
        <f ca="1">IFERROR(__xludf.DUMMYFUNCTION("""COMPUTED_VALUE"""),"S4_KA04D4603_Jetting")</f>
        <v>S4_KA04D4603_Jetting</v>
      </c>
      <c r="C1545" s="1" t="str">
        <f ca="1">IFERROR(__xludf.DUMMYFUNCTION("""COMPUTED_VALUE"""),"s4_ka04d4603_jetting")</f>
        <v>s4_ka04d4603_jetting</v>
      </c>
      <c r="D1545" s="2">
        <f ca="1">IFERROR(__xludf.DUMMYFUNCTION("""COMPUTED_VALUE"""),44799)</f>
        <v>44799</v>
      </c>
      <c r="E1545" s="3">
        <f ca="1">IFERROR(__xludf.DUMMYFUNCTION("""COMPUTED_VALUE"""),0.998738425925694)</f>
        <v>0.99873842592569395</v>
      </c>
      <c r="F1545" s="1">
        <f ca="1">IFERROR(__xludf.DUMMYFUNCTION("""COMPUTED_VALUE"""),75270)</f>
        <v>75270</v>
      </c>
      <c r="G1545" s="1" t="str">
        <f ca="1">IFERROR(__xludf.DUMMYFUNCTION("""COMPUTED_VALUE"""),"12.8971/77.6203")</f>
        <v>12.8971/77.6203</v>
      </c>
      <c r="H1545" s="1" t="str">
        <f ca="1">IFERROR(__xludf.DUMMYFUNCTION("""COMPUTED_VALUE"""),"Hongasandra")</f>
        <v>Hongasandra</v>
      </c>
      <c r="I1545" s="1"/>
      <c r="J1545" s="1" t="str">
        <f ca="1">IFERROR(__xludf.DUMMYFUNCTION("""COMPUTED_VALUE"""),"0d 00h 04m")</f>
        <v>0d 00h 04m</v>
      </c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13.2">
      <c r="A1546" s="1">
        <f ca="1">IFERROR(__xludf.DUMMYFUNCTION("""COMPUTED_VALUE"""),150)</f>
        <v>150</v>
      </c>
      <c r="B1546" s="1" t="str">
        <f ca="1">IFERROR(__xludf.DUMMYFUNCTION("""COMPUTED_VALUE"""),"S4_KA04D4603_Jetting")</f>
        <v>S4_KA04D4603_Jetting</v>
      </c>
      <c r="C1546" s="1" t="str">
        <f ca="1">IFERROR(__xludf.DUMMYFUNCTION("""COMPUTED_VALUE"""),"s4_ka04d4603_jetting")</f>
        <v>s4_ka04d4603_jetting</v>
      </c>
      <c r="D1546" s="2">
        <f ca="1">IFERROR(__xludf.DUMMYFUNCTION("""COMPUTED_VALUE"""),44830)</f>
        <v>44830</v>
      </c>
      <c r="E1546" s="3">
        <f ca="1">IFERROR(__xludf.DUMMYFUNCTION("""COMPUTED_VALUE"""),0.684317129631381)</f>
        <v>0.68431712963138103</v>
      </c>
      <c r="F1546" s="1">
        <f ca="1">IFERROR(__xludf.DUMMYFUNCTION("""COMPUTED_VALUE"""),77384)</f>
        <v>77384</v>
      </c>
      <c r="G1546" s="1" t="str">
        <f ca="1">IFERROR(__xludf.DUMMYFUNCTION("""COMPUTED_VALUE"""),"12.8972/77.6202")</f>
        <v>12.8972/77.6202</v>
      </c>
      <c r="H1546" s="1" t="str">
        <f ca="1">IFERROR(__xludf.DUMMYFUNCTION("""COMPUTED_VALUE"""),"Hongasandra")</f>
        <v>Hongasandra</v>
      </c>
      <c r="I1546" s="1"/>
      <c r="J1546" s="1" t="str">
        <f ca="1">IFERROR(__xludf.DUMMYFUNCTION("""COMPUTED_VALUE"""),"0d 00h 04m")</f>
        <v>0d 00h 04m</v>
      </c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13.2">
      <c r="A1547" s="1">
        <f ca="1">IFERROR(__xludf.DUMMYFUNCTION("""COMPUTED_VALUE"""),151)</f>
        <v>151</v>
      </c>
      <c r="B1547" s="1" t="str">
        <f ca="1">IFERROR(__xludf.DUMMYFUNCTION("""COMPUTED_VALUE"""),"S4_KA04D4603_Jetting")</f>
        <v>S4_KA04D4603_Jetting</v>
      </c>
      <c r="C1547" s="1" t="str">
        <f ca="1">IFERROR(__xludf.DUMMYFUNCTION("""COMPUTED_VALUE"""),"s4_ka04d4603_jetting")</f>
        <v>s4_ka04d4603_jetting</v>
      </c>
      <c r="D1547" s="2">
        <f ca="1">IFERROR(__xludf.DUMMYFUNCTION("""COMPUTED_VALUE"""),44860)</f>
        <v>44860</v>
      </c>
      <c r="E1547" s="3">
        <f ca="1">IFERROR(__xludf.DUMMYFUNCTION("""COMPUTED_VALUE"""),0.994872685183509)</f>
        <v>0.99487268518350902</v>
      </c>
      <c r="F1547" s="1">
        <f ca="1">IFERROR(__xludf.DUMMYFUNCTION("""COMPUTED_VALUE"""),78110)</f>
        <v>78110</v>
      </c>
      <c r="G1547" s="1" t="str">
        <f ca="1">IFERROR(__xludf.DUMMYFUNCTION("""COMPUTED_VALUE"""),"12.8973/77.6202")</f>
        <v>12.8973/77.6202</v>
      </c>
      <c r="H1547" s="1" t="str">
        <f ca="1">IFERROR(__xludf.DUMMYFUNCTION("""COMPUTED_VALUE"""),"Hongasandra")</f>
        <v>Hongasandra</v>
      </c>
      <c r="I1547" s="1"/>
      <c r="J1547" s="1" t="str">
        <f ca="1">IFERROR(__xludf.DUMMYFUNCTION("""COMPUTED_VALUE"""),"0d 00h 00m")</f>
        <v>0d 00h 00m</v>
      </c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13.2">
      <c r="A1548" s="1">
        <f ca="1">IFERROR(__xludf.DUMMYFUNCTION("""COMPUTED_VALUE"""),128)</f>
        <v>128</v>
      </c>
      <c r="B1548" s="1" t="str">
        <f ca="1">IFERROR(__xludf.DUMMYFUNCTION("""COMPUTED_VALUE"""),"S4_KA05D8083_Tanker")</f>
        <v>S4_KA05D8083_Tanker</v>
      </c>
      <c r="C1548" s="1" t="str">
        <f ca="1">IFERROR(__xludf.DUMMYFUNCTION("""COMPUTED_VALUE"""),"s4_ka05d8083_tanker")</f>
        <v>s4_ka05d8083_tanker</v>
      </c>
      <c r="D1548" s="2">
        <f ca="1">IFERROR(__xludf.DUMMYFUNCTION("""COMPUTED_VALUE"""),44707)</f>
        <v>44707</v>
      </c>
      <c r="E1548" s="3">
        <f ca="1">IFERROR(__xludf.DUMMYFUNCTION("""COMPUTED_VALUE"""),0.591724537036498)</f>
        <v>0.59172453703649797</v>
      </c>
      <c r="F1548" s="1">
        <f ca="1">IFERROR(__xludf.DUMMYFUNCTION("""COMPUTED_VALUE"""),34933)</f>
        <v>34933</v>
      </c>
      <c r="G1548" s="1" t="str">
        <f ca="1">IFERROR(__xludf.DUMMYFUNCTION("""COMPUTED_VALUE"""),"12.9081/77.6395")</f>
        <v>12.9081/77.6395</v>
      </c>
      <c r="H1548" s="1" t="str">
        <f ca="1">IFERROR(__xludf.DUMMYFUNCTION("""COMPUTED_VALUE"""),"HSR Club")</f>
        <v>HSR Club</v>
      </c>
      <c r="I1548" s="1"/>
      <c r="J1548" s="1" t="str">
        <f ca="1">IFERROR(__xludf.DUMMYFUNCTION("""COMPUTED_VALUE"""),"0d 07h 24m")</f>
        <v>0d 07h 24m</v>
      </c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13.2">
      <c r="A1549" s="1">
        <f ca="1">IFERROR(__xludf.DUMMYFUNCTION("""COMPUTED_VALUE"""),148)</f>
        <v>148</v>
      </c>
      <c r="B1549" s="1" t="str">
        <f ca="1">IFERROR(__xludf.DUMMYFUNCTION("""COMPUTED_VALUE"""),"S4_KA05D8083_Tanker")</f>
        <v>S4_KA05D8083_Tanker</v>
      </c>
      <c r="C1549" s="1" t="str">
        <f ca="1">IFERROR(__xludf.DUMMYFUNCTION("""COMPUTED_VALUE"""),"s4_ka05d8083_tanker")</f>
        <v>s4_ka05d8083_tanker</v>
      </c>
      <c r="D1549" s="2">
        <f ca="1">IFERROR(__xludf.DUMMYFUNCTION("""COMPUTED_VALUE"""),44738)</f>
        <v>44738</v>
      </c>
      <c r="E1549" s="3">
        <f ca="1">IFERROR(__xludf.DUMMYFUNCTION("""COMPUTED_VALUE"""),0.800231481480295)</f>
        <v>0.80023148148029499</v>
      </c>
      <c r="F1549" s="1">
        <f ca="1">IFERROR(__xludf.DUMMYFUNCTION("""COMPUTED_VALUE"""),34984)</f>
        <v>34984</v>
      </c>
      <c r="G1549" s="1" t="str">
        <f ca="1">IFERROR(__xludf.DUMMYFUNCTION("""COMPUTED_VALUE"""),"12.9111/77.6441")</f>
        <v>12.9111/77.6441</v>
      </c>
      <c r="H1549" s="1" t="str">
        <f ca="1">IFERROR(__xludf.DUMMYFUNCTION("""COMPUTED_VALUE"""),"HSR Club")</f>
        <v>HSR Club</v>
      </c>
      <c r="I1549" s="1"/>
      <c r="J1549" s="1" t="str">
        <f ca="1">IFERROR(__xludf.DUMMYFUNCTION("""COMPUTED_VALUE"""),"0d 07h 25m")</f>
        <v>0d 07h 25m</v>
      </c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13.2">
      <c r="A1550" s="1">
        <f ca="1">IFERROR(__xludf.DUMMYFUNCTION("""COMPUTED_VALUE"""),149)</f>
        <v>149</v>
      </c>
      <c r="B1550" s="1" t="str">
        <f ca="1">IFERROR(__xludf.DUMMYFUNCTION("""COMPUTED_VALUE"""),"S4_KA05D8083_Tanker")</f>
        <v>S4_KA05D8083_Tanker</v>
      </c>
      <c r="C1550" s="1" t="str">
        <f ca="1">IFERROR(__xludf.DUMMYFUNCTION("""COMPUTED_VALUE"""),"s4_ka05d8083_tanker")</f>
        <v>s4_ka05d8083_tanker</v>
      </c>
      <c r="D1550" s="2">
        <f ca="1">IFERROR(__xludf.DUMMYFUNCTION("""COMPUTED_VALUE"""),44768)</f>
        <v>44768</v>
      </c>
      <c r="E1550" s="3">
        <f ca="1">IFERROR(__xludf.DUMMYFUNCTION("""COMPUTED_VALUE"""),0.734687500000291)</f>
        <v>0.73468750000029104</v>
      </c>
      <c r="F1550" s="1">
        <f ca="1">IFERROR(__xludf.DUMMYFUNCTION("""COMPUTED_VALUE"""),35061)</f>
        <v>35061</v>
      </c>
      <c r="G1550" s="1" t="str">
        <f ca="1">IFERROR(__xludf.DUMMYFUNCTION("""COMPUTED_VALUE"""),"12.8967/77.6410")</f>
        <v>12.8967/77.6410</v>
      </c>
      <c r="H1550" s="1" t="str">
        <f ca="1">IFERROR(__xludf.DUMMYFUNCTION("""COMPUTED_VALUE"""),"Garvi Bhavi Palya Hosur Road")</f>
        <v>Garvi Bhavi Palya Hosur Road</v>
      </c>
      <c r="I1550" s="1"/>
      <c r="J1550" s="1" t="str">
        <f ca="1">IFERROR(__xludf.DUMMYFUNCTION("""COMPUTED_VALUE"""),"0d 07h 25m")</f>
        <v>0d 07h 25m</v>
      </c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13.2">
      <c r="A1551" s="1">
        <f ca="1">IFERROR(__xludf.DUMMYFUNCTION("""COMPUTED_VALUE"""),162)</f>
        <v>162</v>
      </c>
      <c r="B1551" s="1" t="str">
        <f ca="1">IFERROR(__xludf.DUMMYFUNCTION("""COMPUTED_VALUE"""),"S4_KA05D8083_Tanker")</f>
        <v>S4_KA05D8083_Tanker</v>
      </c>
      <c r="C1551" s="1" t="str">
        <f ca="1">IFERROR(__xludf.DUMMYFUNCTION("""COMPUTED_VALUE"""),"s4_ka05d8083_tanker")</f>
        <v>s4_ka05d8083_tanker</v>
      </c>
      <c r="D1551" s="2">
        <f ca="1">IFERROR(__xludf.DUMMYFUNCTION("""COMPUTED_VALUE"""),44799)</f>
        <v>44799</v>
      </c>
      <c r="E1551" s="3">
        <f ca="1">IFERROR(__xludf.DUMMYFUNCTION("""COMPUTED_VALUE"""),0.960162037037662)</f>
        <v>0.96016203703766201</v>
      </c>
      <c r="F1551" s="1">
        <f ca="1">IFERROR(__xludf.DUMMYFUNCTION("""COMPUTED_VALUE"""),35186)</f>
        <v>35186</v>
      </c>
      <c r="G1551" s="1" t="str">
        <f ca="1">IFERROR(__xludf.DUMMYFUNCTION("""COMPUTED_VALUE"""),"12.8397/77.7161")</f>
        <v>12.8397/77.7161</v>
      </c>
      <c r="H1551" s="1" t="str">
        <f ca="1">IFERROR(__xludf.DUMMYFUNCTION("""COMPUTED_VALUE"""),"Mango Suites Brilliance")</f>
        <v>Mango Suites Brilliance</v>
      </c>
      <c r="I1551" s="1"/>
      <c r="J1551" s="1" t="str">
        <f ca="1">IFERROR(__xludf.DUMMYFUNCTION("""COMPUTED_VALUE"""),"0d 07h 26m")</f>
        <v>0d 07h 26m</v>
      </c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13.2">
      <c r="A1552" s="1">
        <f ca="1">IFERROR(__xludf.DUMMYFUNCTION("""COMPUTED_VALUE"""),140)</f>
        <v>140</v>
      </c>
      <c r="B1552" s="1" t="str">
        <f ca="1">IFERROR(__xludf.DUMMYFUNCTION("""COMPUTED_VALUE"""),"S4_KA05D8083_Tanker")</f>
        <v>S4_KA05D8083_Tanker</v>
      </c>
      <c r="C1552" s="1" t="str">
        <f ca="1">IFERROR(__xludf.DUMMYFUNCTION("""COMPUTED_VALUE"""),"s4_ka05d8083_tanker")</f>
        <v>s4_ka05d8083_tanker</v>
      </c>
      <c r="D1552" s="2">
        <f ca="1">IFERROR(__xludf.DUMMYFUNCTION("""COMPUTED_VALUE"""),44829)</f>
        <v>44829</v>
      </c>
      <c r="E1552" s="3">
        <f ca="1">IFERROR(__xludf.DUMMYFUNCTION("""COMPUTED_VALUE"""),0.886701388888468)</f>
        <v>0.88670138888846795</v>
      </c>
      <c r="F1552" s="1">
        <f ca="1">IFERROR(__xludf.DUMMYFUNCTION("""COMPUTED_VALUE"""),35243)</f>
        <v>35243</v>
      </c>
      <c r="G1552" s="1" t="str">
        <f ca="1">IFERROR(__xludf.DUMMYFUNCTION("""COMPUTED_VALUE"""),"12.9077/77.6471")</f>
        <v>12.9077/77.6471</v>
      </c>
      <c r="H1552" s="1" t="str">
        <f ca="1">IFERROR(__xludf.DUMMYFUNCTION("""COMPUTED_VALUE"""),"HSR Club")</f>
        <v>HSR Club</v>
      </c>
      <c r="I1552" s="1"/>
      <c r="J1552" s="1" t="str">
        <f ca="1">IFERROR(__xludf.DUMMYFUNCTION("""COMPUTED_VALUE"""),"0d 07h 27m")</f>
        <v>0d 07h 27m</v>
      </c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13.2">
      <c r="A1553" s="1">
        <f ca="1">IFERROR(__xludf.DUMMYFUNCTION("""COMPUTED_VALUE"""),120)</f>
        <v>120</v>
      </c>
      <c r="B1553" s="1" t="str">
        <f ca="1">IFERROR(__xludf.DUMMYFUNCTION("""COMPUTED_VALUE"""),"S4_KA05D8083_Tanker")</f>
        <v>S4_KA05D8083_Tanker</v>
      </c>
      <c r="C1553" s="1" t="str">
        <f ca="1">IFERROR(__xludf.DUMMYFUNCTION("""COMPUTED_VALUE"""),"s4_ka05d8083_tanker")</f>
        <v>s4_ka05d8083_tanker</v>
      </c>
      <c r="D1553" s="2">
        <f ca="1">IFERROR(__xludf.DUMMYFUNCTION("""COMPUTED_VALUE"""),44860)</f>
        <v>44860</v>
      </c>
      <c r="E1553" s="3">
        <f ca="1">IFERROR(__xludf.DUMMYFUNCTION("""COMPUTED_VALUE"""),0.312141203703504)</f>
        <v>0.31214120370350401</v>
      </c>
      <c r="F1553" s="1">
        <f ca="1">IFERROR(__xludf.DUMMYFUNCTION("""COMPUTED_VALUE"""),35332)</f>
        <v>35332</v>
      </c>
      <c r="G1553" s="1" t="str">
        <f ca="1">IFERROR(__xludf.DUMMYFUNCTION("""COMPUTED_VALUE"""),"12.9117/77.6470")</f>
        <v>12.9117/77.6470</v>
      </c>
      <c r="H1553" s="1" t="str">
        <f ca="1">IFERROR(__xludf.DUMMYFUNCTION("""COMPUTED_VALUE"""),"HSR Club")</f>
        <v>HSR Club</v>
      </c>
      <c r="I1553" s="1"/>
      <c r="J1553" s="1" t="str">
        <f ca="1">IFERROR(__xludf.DUMMYFUNCTION("""COMPUTED_VALUE"""),"0d 07h 28m")</f>
        <v>0d 07h 28m</v>
      </c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13.2">
      <c r="A1554" s="1">
        <f ca="1">IFERROR(__xludf.DUMMYFUNCTION("""COMPUTED_VALUE"""),3)</f>
        <v>3</v>
      </c>
      <c r="B1554" s="1" t="str">
        <f ca="1">IFERROR(__xludf.DUMMYFUNCTION("""COMPUTED_VALUE"""),"SE1_CAW210_Tanker")</f>
        <v>SE1_CAW210_Tanker</v>
      </c>
      <c r="C1554" s="1" t="str">
        <f ca="1">IFERROR(__xludf.DUMMYFUNCTION("""COMPUTED_VALUE"""),"SE1_CAW210_Tanker")</f>
        <v>SE1_CAW210_Tanker</v>
      </c>
      <c r="D1554" s="2">
        <f ca="1">IFERROR(__xludf.DUMMYFUNCTION("""COMPUTED_VALUE"""),42691)</f>
        <v>42691</v>
      </c>
      <c r="E1554" s="3">
        <f ca="1">IFERROR(__xludf.DUMMYFUNCTION("""COMPUTED_VALUE"""),0.660590277777373)</f>
        <v>0.660590277777373</v>
      </c>
      <c r="F1554" s="1">
        <f ca="1">IFERROR(__xludf.DUMMYFUNCTION("""COMPUTED_VALUE"""),58)</f>
        <v>58</v>
      </c>
      <c r="G1554" s="1" t="str">
        <f ca="1">IFERROR(__xludf.DUMMYFUNCTION("""COMPUTED_VALUE"""),"12.9817/77.6284")</f>
        <v>12.9817/77.6284</v>
      </c>
      <c r="H1554" s="1" t="str">
        <f ca="1">IFERROR(__xludf.DUMMYFUNCTION("""COMPUTED_VALUE"""),"Halsur")</f>
        <v>Halsur</v>
      </c>
      <c r="I1554" s="1"/>
      <c r="J1554" s="1" t="str">
        <f ca="1">IFERROR(__xludf.DUMMYFUNCTION("""COMPUTED_VALUE"""),"2276d 22h 57m")</f>
        <v>2276d 22h 57m</v>
      </c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13.2">
      <c r="A1555" s="1">
        <f ca="1">IFERROR(__xludf.DUMMYFUNCTION("""COMPUTED_VALUE"""),3)</f>
        <v>3</v>
      </c>
      <c r="B1555" s="1" t="str">
        <f ca="1">IFERROR(__xludf.DUMMYFUNCTION("""COMPUTED_VALUE"""),"SE1_CAW210_Tanker")</f>
        <v>SE1_CAW210_Tanker</v>
      </c>
      <c r="C1555" s="1" t="str">
        <f ca="1">IFERROR(__xludf.DUMMYFUNCTION("""COMPUTED_VALUE"""),"SE1_CAW210_Tanker")</f>
        <v>SE1_CAW210_Tanker</v>
      </c>
      <c r="D1555" s="2">
        <f ca="1">IFERROR(__xludf.DUMMYFUNCTION("""COMPUTED_VALUE"""),42691)</f>
        <v>42691</v>
      </c>
      <c r="E1555" s="3">
        <f ca="1">IFERROR(__xludf.DUMMYFUNCTION("""COMPUTED_VALUE"""),0.660590277777373)</f>
        <v>0.660590277777373</v>
      </c>
      <c r="F1555" s="1">
        <f ca="1">IFERROR(__xludf.DUMMYFUNCTION("""COMPUTED_VALUE"""),58)</f>
        <v>58</v>
      </c>
      <c r="G1555" s="1" t="str">
        <f ca="1">IFERROR(__xludf.DUMMYFUNCTION("""COMPUTED_VALUE"""),"12.9817/77.6284")</f>
        <v>12.9817/77.6284</v>
      </c>
      <c r="H1555" s="1" t="str">
        <f ca="1">IFERROR(__xludf.DUMMYFUNCTION("""COMPUTED_VALUE"""),"Halsur")</f>
        <v>Halsur</v>
      </c>
      <c r="I1555" s="1"/>
      <c r="J1555" s="1" t="str">
        <f ca="1">IFERROR(__xludf.DUMMYFUNCTION("""COMPUTED_VALUE"""),"2276d 22h 58m")</f>
        <v>2276d 22h 58m</v>
      </c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13.2">
      <c r="A1556" s="1">
        <f ca="1">IFERROR(__xludf.DUMMYFUNCTION("""COMPUTED_VALUE"""),3)</f>
        <v>3</v>
      </c>
      <c r="B1556" s="1" t="str">
        <f ca="1">IFERROR(__xludf.DUMMYFUNCTION("""COMPUTED_VALUE"""),"SE1_CAW210_Tanker")</f>
        <v>SE1_CAW210_Tanker</v>
      </c>
      <c r="C1556" s="1" t="str">
        <f ca="1">IFERROR(__xludf.DUMMYFUNCTION("""COMPUTED_VALUE"""),"SE1_CAW210_Tanker")</f>
        <v>SE1_CAW210_Tanker</v>
      </c>
      <c r="D1556" s="2">
        <f ca="1">IFERROR(__xludf.DUMMYFUNCTION("""COMPUTED_VALUE"""),42691)</f>
        <v>42691</v>
      </c>
      <c r="E1556" s="3">
        <f ca="1">IFERROR(__xludf.DUMMYFUNCTION("""COMPUTED_VALUE"""),0.660590277777373)</f>
        <v>0.660590277777373</v>
      </c>
      <c r="F1556" s="1">
        <f ca="1">IFERROR(__xludf.DUMMYFUNCTION("""COMPUTED_VALUE"""),58)</f>
        <v>58</v>
      </c>
      <c r="G1556" s="1" t="str">
        <f ca="1">IFERROR(__xludf.DUMMYFUNCTION("""COMPUTED_VALUE"""),"12.9817/77.6284")</f>
        <v>12.9817/77.6284</v>
      </c>
      <c r="H1556" s="1" t="str">
        <f ca="1">IFERROR(__xludf.DUMMYFUNCTION("""COMPUTED_VALUE"""),"Halsur")</f>
        <v>Halsur</v>
      </c>
      <c r="I1556" s="1"/>
      <c r="J1556" s="1" t="str">
        <f ca="1">IFERROR(__xludf.DUMMYFUNCTION("""COMPUTED_VALUE"""),"2276d 22h 59m")</f>
        <v>2276d 22h 59m</v>
      </c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13.2">
      <c r="A1557" s="1">
        <f ca="1">IFERROR(__xludf.DUMMYFUNCTION("""COMPUTED_VALUE"""),3)</f>
        <v>3</v>
      </c>
      <c r="B1557" s="1" t="str">
        <f ca="1">IFERROR(__xludf.DUMMYFUNCTION("""COMPUTED_VALUE"""),"SE1_CAW210_Tanker")</f>
        <v>SE1_CAW210_Tanker</v>
      </c>
      <c r="C1557" s="1" t="str">
        <f ca="1">IFERROR(__xludf.DUMMYFUNCTION("""COMPUTED_VALUE"""),"SE1_CAW210_Tanker")</f>
        <v>SE1_CAW210_Tanker</v>
      </c>
      <c r="D1557" s="2">
        <f ca="1">IFERROR(__xludf.DUMMYFUNCTION("""COMPUTED_VALUE"""),42691)</f>
        <v>42691</v>
      </c>
      <c r="E1557" s="3">
        <f ca="1">IFERROR(__xludf.DUMMYFUNCTION("""COMPUTED_VALUE"""),0.660590277777373)</f>
        <v>0.660590277777373</v>
      </c>
      <c r="F1557" s="1">
        <f ca="1">IFERROR(__xludf.DUMMYFUNCTION("""COMPUTED_VALUE"""),58)</f>
        <v>58</v>
      </c>
      <c r="G1557" s="1" t="str">
        <f ca="1">IFERROR(__xludf.DUMMYFUNCTION("""COMPUTED_VALUE"""),"12.9817/77.6284")</f>
        <v>12.9817/77.6284</v>
      </c>
      <c r="H1557" s="1" t="str">
        <f ca="1">IFERROR(__xludf.DUMMYFUNCTION("""COMPUTED_VALUE"""),"Halsur")</f>
        <v>Halsur</v>
      </c>
      <c r="I1557" s="1"/>
      <c r="J1557" s="1" t="str">
        <f ca="1">IFERROR(__xludf.DUMMYFUNCTION("""COMPUTED_VALUE"""),"2276d 23h 00m")</f>
        <v>2276d 23h 00m</v>
      </c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13.2">
      <c r="A1558" s="1">
        <f ca="1">IFERROR(__xludf.DUMMYFUNCTION("""COMPUTED_VALUE"""),3)</f>
        <v>3</v>
      </c>
      <c r="B1558" s="1" t="str">
        <f ca="1">IFERROR(__xludf.DUMMYFUNCTION("""COMPUTED_VALUE"""),"SE1_CAW210_Tanker")</f>
        <v>SE1_CAW210_Tanker</v>
      </c>
      <c r="C1558" s="1" t="str">
        <f ca="1">IFERROR(__xludf.DUMMYFUNCTION("""COMPUTED_VALUE"""),"SE1_CAW210_Tanker")</f>
        <v>SE1_CAW210_Tanker</v>
      </c>
      <c r="D1558" s="2">
        <f ca="1">IFERROR(__xludf.DUMMYFUNCTION("""COMPUTED_VALUE"""),42691)</f>
        <v>42691</v>
      </c>
      <c r="E1558" s="3">
        <f ca="1">IFERROR(__xludf.DUMMYFUNCTION("""COMPUTED_VALUE"""),0.660590277777373)</f>
        <v>0.660590277777373</v>
      </c>
      <c r="F1558" s="1">
        <f ca="1">IFERROR(__xludf.DUMMYFUNCTION("""COMPUTED_VALUE"""),58)</f>
        <v>58</v>
      </c>
      <c r="G1558" s="1" t="str">
        <f ca="1">IFERROR(__xludf.DUMMYFUNCTION("""COMPUTED_VALUE"""),"12.9817/77.6284")</f>
        <v>12.9817/77.6284</v>
      </c>
      <c r="H1558" s="1" t="str">
        <f ca="1">IFERROR(__xludf.DUMMYFUNCTION("""COMPUTED_VALUE"""),"Halsur")</f>
        <v>Halsur</v>
      </c>
      <c r="I1558" s="1"/>
      <c r="J1558" s="1" t="str">
        <f ca="1">IFERROR(__xludf.DUMMYFUNCTION("""COMPUTED_VALUE"""),"2276d 23h 01m")</f>
        <v>2276d 23h 01m</v>
      </c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13.2">
      <c r="A1559" s="1">
        <f ca="1">IFERROR(__xludf.DUMMYFUNCTION("""COMPUTED_VALUE"""),3)</f>
        <v>3</v>
      </c>
      <c r="B1559" s="1" t="str">
        <f ca="1">IFERROR(__xludf.DUMMYFUNCTION("""COMPUTED_VALUE"""),"SE1_CAW210_Tanker")</f>
        <v>SE1_CAW210_Tanker</v>
      </c>
      <c r="C1559" s="1" t="str">
        <f ca="1">IFERROR(__xludf.DUMMYFUNCTION("""COMPUTED_VALUE"""),"SE1_CAW210_Tanker")</f>
        <v>SE1_CAW210_Tanker</v>
      </c>
      <c r="D1559" s="2">
        <f ca="1">IFERROR(__xludf.DUMMYFUNCTION("""COMPUTED_VALUE"""),42691)</f>
        <v>42691</v>
      </c>
      <c r="E1559" s="3">
        <f ca="1">IFERROR(__xludf.DUMMYFUNCTION("""COMPUTED_VALUE"""),0.660590277777373)</f>
        <v>0.660590277777373</v>
      </c>
      <c r="F1559" s="1">
        <f ca="1">IFERROR(__xludf.DUMMYFUNCTION("""COMPUTED_VALUE"""),58)</f>
        <v>58</v>
      </c>
      <c r="G1559" s="1" t="str">
        <f ca="1">IFERROR(__xludf.DUMMYFUNCTION("""COMPUTED_VALUE"""),"12.9817/77.6284")</f>
        <v>12.9817/77.6284</v>
      </c>
      <c r="H1559" s="1" t="str">
        <f ca="1">IFERROR(__xludf.DUMMYFUNCTION("""COMPUTED_VALUE"""),"Halsur")</f>
        <v>Halsur</v>
      </c>
      <c r="I1559" s="1"/>
      <c r="J1559" s="1" t="str">
        <f ca="1">IFERROR(__xludf.DUMMYFUNCTION("""COMPUTED_VALUE"""),"2276d 23h 02m")</f>
        <v>2276d 23h 02m</v>
      </c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13.2">
      <c r="A1560" s="1">
        <f ca="1">IFERROR(__xludf.DUMMYFUNCTION("""COMPUTED_VALUE"""),97)</f>
        <v>97</v>
      </c>
      <c r="B1560" s="1" t="str">
        <f ca="1">IFERROR(__xludf.DUMMYFUNCTION("""COMPUTED_VALUE"""),"SE1_CAW210_TANKER")</f>
        <v>SE1_CAW210_TANKER</v>
      </c>
      <c r="C1560" s="1" t="str">
        <f ca="1">IFERROR(__xludf.DUMMYFUNCTION("""COMPUTED_VALUE"""),"SE1_CAW210_Tanker")</f>
        <v>SE1_CAW210_Tanker</v>
      </c>
      <c r="D1560" s="2">
        <f ca="1">IFERROR(__xludf.DUMMYFUNCTION("""COMPUTED_VALUE"""),42691)</f>
        <v>42691</v>
      </c>
      <c r="E1560" s="3">
        <f ca="1">IFERROR(__xludf.DUMMYFUNCTION("""COMPUTED_VALUE"""),0.660590277777373)</f>
        <v>0.660590277777373</v>
      </c>
      <c r="F1560" s="1">
        <f ca="1">IFERROR(__xludf.DUMMYFUNCTION("""COMPUTED_VALUE"""),58)</f>
        <v>58</v>
      </c>
      <c r="G1560" s="1" t="str">
        <f ca="1">IFERROR(__xludf.DUMMYFUNCTION("""COMPUTED_VALUE"""),"12.9817/77.6284")</f>
        <v>12.9817/77.6284</v>
      </c>
      <c r="H1560" s="1" t="str">
        <f ca="1">IFERROR(__xludf.DUMMYFUNCTION("""COMPUTED_VALUE"""),"Halsur")</f>
        <v>Halsur</v>
      </c>
      <c r="I1560" s="1"/>
      <c r="J1560" s="1" t="str">
        <f ca="1">IFERROR(__xludf.DUMMYFUNCTION("""COMPUTED_VALUE"""),"2730d 23h 51m")</f>
        <v>2730d 23h 51m</v>
      </c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13.2">
      <c r="A1561" s="1">
        <f ca="1">IFERROR(__xludf.DUMMYFUNCTION("""COMPUTED_VALUE"""),97)</f>
        <v>97</v>
      </c>
      <c r="B1561" s="1" t="str">
        <f ca="1">IFERROR(__xludf.DUMMYFUNCTION("""COMPUTED_VALUE"""),"SE1_CAW210_TANKER")</f>
        <v>SE1_CAW210_TANKER</v>
      </c>
      <c r="C1561" s="1" t="str">
        <f ca="1">IFERROR(__xludf.DUMMYFUNCTION("""COMPUTED_VALUE"""),"SE1_CAW210_Tanker")</f>
        <v>SE1_CAW210_Tanker</v>
      </c>
      <c r="D1561" s="2">
        <f ca="1">IFERROR(__xludf.DUMMYFUNCTION("""COMPUTED_VALUE"""),42691)</f>
        <v>42691</v>
      </c>
      <c r="E1561" s="3">
        <f ca="1">IFERROR(__xludf.DUMMYFUNCTION("""COMPUTED_VALUE"""),0.660590277777373)</f>
        <v>0.660590277777373</v>
      </c>
      <c r="F1561" s="1">
        <f ca="1">IFERROR(__xludf.DUMMYFUNCTION("""COMPUTED_VALUE"""),58)</f>
        <v>58</v>
      </c>
      <c r="G1561" s="1" t="str">
        <f ca="1">IFERROR(__xludf.DUMMYFUNCTION("""COMPUTED_VALUE"""),"12.9817/77.6284")</f>
        <v>12.9817/77.6284</v>
      </c>
      <c r="H1561" s="1" t="str">
        <f ca="1">IFERROR(__xludf.DUMMYFUNCTION("""COMPUTED_VALUE"""),"Halsur")</f>
        <v>Halsur</v>
      </c>
      <c r="I1561" s="1"/>
      <c r="J1561" s="1" t="str">
        <f ca="1">IFERROR(__xludf.DUMMYFUNCTION("""COMPUTED_VALUE"""),"2730d 23h 52m")</f>
        <v>2730d 23h 52m</v>
      </c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13.2">
      <c r="A1562" s="1">
        <f ca="1">IFERROR(__xludf.DUMMYFUNCTION("""COMPUTED_VALUE"""),94)</f>
        <v>94</v>
      </c>
      <c r="B1562" s="1" t="str">
        <f ca="1">IFERROR(__xludf.DUMMYFUNCTION("""COMPUTED_VALUE"""),"SE1_CAW210_TANKER")</f>
        <v>SE1_CAW210_TANKER</v>
      </c>
      <c r="C1562" s="1" t="str">
        <f ca="1">IFERROR(__xludf.DUMMYFUNCTION("""COMPUTED_VALUE"""),"SE1_CAW210_Tanker")</f>
        <v>SE1_CAW210_Tanker</v>
      </c>
      <c r="D1562" s="2">
        <f ca="1">IFERROR(__xludf.DUMMYFUNCTION("""COMPUTED_VALUE"""),42691)</f>
        <v>42691</v>
      </c>
      <c r="E1562" s="3">
        <f ca="1">IFERROR(__xludf.DUMMYFUNCTION("""COMPUTED_VALUE"""),0.660590277777373)</f>
        <v>0.660590277777373</v>
      </c>
      <c r="F1562" s="1">
        <f ca="1">IFERROR(__xludf.DUMMYFUNCTION("""COMPUTED_VALUE"""),58)</f>
        <v>58</v>
      </c>
      <c r="G1562" s="1" t="str">
        <f ca="1">IFERROR(__xludf.DUMMYFUNCTION("""COMPUTED_VALUE"""),"12.9817/77.6284")</f>
        <v>12.9817/77.6284</v>
      </c>
      <c r="H1562" s="1" t="str">
        <f ca="1">IFERROR(__xludf.DUMMYFUNCTION("""COMPUTED_VALUE"""),"Halsur")</f>
        <v>Halsur</v>
      </c>
      <c r="I1562" s="1"/>
      <c r="J1562" s="1" t="str">
        <f ca="1">IFERROR(__xludf.DUMMYFUNCTION("""COMPUTED_VALUE"""),"2730d 23h 55m")</f>
        <v>2730d 23h 55m</v>
      </c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13.2">
      <c r="A1563" s="1">
        <f ca="1">IFERROR(__xludf.DUMMYFUNCTION("""COMPUTED_VALUE"""),94)</f>
        <v>94</v>
      </c>
      <c r="B1563" s="1" t="str">
        <f ca="1">IFERROR(__xludf.DUMMYFUNCTION("""COMPUTED_VALUE"""),"SE1_CAW210_TANKER")</f>
        <v>SE1_CAW210_TANKER</v>
      </c>
      <c r="C1563" s="1" t="str">
        <f ca="1">IFERROR(__xludf.DUMMYFUNCTION("""COMPUTED_VALUE"""),"SE1_CAW210_Tanker")</f>
        <v>SE1_CAW210_Tanker</v>
      </c>
      <c r="D1563" s="2">
        <f ca="1">IFERROR(__xludf.DUMMYFUNCTION("""COMPUTED_VALUE"""),42691)</f>
        <v>42691</v>
      </c>
      <c r="E1563" s="3">
        <f ca="1">IFERROR(__xludf.DUMMYFUNCTION("""COMPUTED_VALUE"""),0.660590277777373)</f>
        <v>0.660590277777373</v>
      </c>
      <c r="F1563" s="1">
        <f ca="1">IFERROR(__xludf.DUMMYFUNCTION("""COMPUTED_VALUE"""),58)</f>
        <v>58</v>
      </c>
      <c r="G1563" s="1" t="str">
        <f ca="1">IFERROR(__xludf.DUMMYFUNCTION("""COMPUTED_VALUE"""),"12.9817/77.6284")</f>
        <v>12.9817/77.6284</v>
      </c>
      <c r="H1563" s="1" t="str">
        <f ca="1">IFERROR(__xludf.DUMMYFUNCTION("""COMPUTED_VALUE"""),"Halsur")</f>
        <v>Halsur</v>
      </c>
      <c r="I1563" s="1"/>
      <c r="J1563" s="1" t="str">
        <f ca="1">IFERROR(__xludf.DUMMYFUNCTION("""COMPUTED_VALUE"""),"2730d 23h 56m")</f>
        <v>2730d 23h 56m</v>
      </c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13.2">
      <c r="A1564" s="1">
        <f ca="1">IFERROR(__xludf.DUMMYFUNCTION("""COMPUTED_VALUE"""),94)</f>
        <v>94</v>
      </c>
      <c r="B1564" s="1" t="str">
        <f ca="1">IFERROR(__xludf.DUMMYFUNCTION("""COMPUTED_VALUE"""),"SE1_CAW210_TANKER")</f>
        <v>SE1_CAW210_TANKER</v>
      </c>
      <c r="C1564" s="1" t="str">
        <f ca="1">IFERROR(__xludf.DUMMYFUNCTION("""COMPUTED_VALUE"""),"SE1_CAW210_Tanker")</f>
        <v>SE1_CAW210_Tanker</v>
      </c>
      <c r="D1564" s="2">
        <f ca="1">IFERROR(__xludf.DUMMYFUNCTION("""COMPUTED_VALUE"""),42691)</f>
        <v>42691</v>
      </c>
      <c r="E1564" s="3">
        <f ca="1">IFERROR(__xludf.DUMMYFUNCTION("""COMPUTED_VALUE"""),0.660590277777373)</f>
        <v>0.660590277777373</v>
      </c>
      <c r="F1564" s="1">
        <f ca="1">IFERROR(__xludf.DUMMYFUNCTION("""COMPUTED_VALUE"""),58)</f>
        <v>58</v>
      </c>
      <c r="G1564" s="1" t="str">
        <f ca="1">IFERROR(__xludf.DUMMYFUNCTION("""COMPUTED_VALUE"""),"12.9817/77.6284")</f>
        <v>12.9817/77.6284</v>
      </c>
      <c r="H1564" s="1" t="str">
        <f ca="1">IFERROR(__xludf.DUMMYFUNCTION("""COMPUTED_VALUE"""),"Halsur")</f>
        <v>Halsur</v>
      </c>
      <c r="I1564" s="1"/>
      <c r="J1564" s="1" t="str">
        <f ca="1">IFERROR(__xludf.DUMMYFUNCTION("""COMPUTED_VALUE"""),"2730d 23h 57m")</f>
        <v>2730d 23h 57m</v>
      </c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13.2">
      <c r="A1565" s="1">
        <f ca="1">IFERROR(__xludf.DUMMYFUNCTION("""COMPUTED_VALUE"""),94)</f>
        <v>94</v>
      </c>
      <c r="B1565" s="1" t="str">
        <f ca="1">IFERROR(__xludf.DUMMYFUNCTION("""COMPUTED_VALUE"""),"SE1_CAW210_TANKER")</f>
        <v>SE1_CAW210_TANKER</v>
      </c>
      <c r="C1565" s="1" t="str">
        <f ca="1">IFERROR(__xludf.DUMMYFUNCTION("""COMPUTED_VALUE"""),"SE1_CAW210_Tanker")</f>
        <v>SE1_CAW210_Tanker</v>
      </c>
      <c r="D1565" s="2">
        <f ca="1">IFERROR(__xludf.DUMMYFUNCTION("""COMPUTED_VALUE"""),42691)</f>
        <v>42691</v>
      </c>
      <c r="E1565" s="3">
        <f ca="1">IFERROR(__xludf.DUMMYFUNCTION("""COMPUTED_VALUE"""),0.660590277777373)</f>
        <v>0.660590277777373</v>
      </c>
      <c r="F1565" s="1">
        <f ca="1">IFERROR(__xludf.DUMMYFUNCTION("""COMPUTED_VALUE"""),58)</f>
        <v>58</v>
      </c>
      <c r="G1565" s="1" t="str">
        <f ca="1">IFERROR(__xludf.DUMMYFUNCTION("""COMPUTED_VALUE"""),"12.9817/77.6284")</f>
        <v>12.9817/77.6284</v>
      </c>
      <c r="H1565" s="1" t="str">
        <f ca="1">IFERROR(__xludf.DUMMYFUNCTION("""COMPUTED_VALUE"""),"Halsur")</f>
        <v>Halsur</v>
      </c>
      <c r="I1565" s="1"/>
      <c r="J1565" s="1" t="str">
        <f ca="1">IFERROR(__xludf.DUMMYFUNCTION("""COMPUTED_VALUE"""),"2730d 23h 58m")</f>
        <v>2730d 23h 58m</v>
      </c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13.2">
      <c r="A1566" s="1">
        <f ca="1">IFERROR(__xludf.DUMMYFUNCTION("""COMPUTED_VALUE"""),94)</f>
        <v>94</v>
      </c>
      <c r="B1566" s="1" t="str">
        <f ca="1">IFERROR(__xludf.DUMMYFUNCTION("""COMPUTED_VALUE"""),"SE1_CAW210_TANKER")</f>
        <v>SE1_CAW210_TANKER</v>
      </c>
      <c r="C1566" s="1" t="str">
        <f ca="1">IFERROR(__xludf.DUMMYFUNCTION("""COMPUTED_VALUE"""),"SE1_CAW210_Tanker")</f>
        <v>SE1_CAW210_Tanker</v>
      </c>
      <c r="D1566" s="2">
        <f ca="1">IFERROR(__xludf.DUMMYFUNCTION("""COMPUTED_VALUE"""),42691)</f>
        <v>42691</v>
      </c>
      <c r="E1566" s="3">
        <f ca="1">IFERROR(__xludf.DUMMYFUNCTION("""COMPUTED_VALUE"""),0.660590277777373)</f>
        <v>0.660590277777373</v>
      </c>
      <c r="F1566" s="1">
        <f ca="1">IFERROR(__xludf.DUMMYFUNCTION("""COMPUTED_VALUE"""),58)</f>
        <v>58</v>
      </c>
      <c r="G1566" s="1" t="str">
        <f ca="1">IFERROR(__xludf.DUMMYFUNCTION("""COMPUTED_VALUE"""),"12.9817/77.6284")</f>
        <v>12.9817/77.6284</v>
      </c>
      <c r="H1566" s="1" t="str">
        <f ca="1">IFERROR(__xludf.DUMMYFUNCTION("""COMPUTED_VALUE"""),"Halsur")</f>
        <v>Halsur</v>
      </c>
      <c r="I1566" s="1"/>
      <c r="J1566" s="1" t="str">
        <f ca="1">IFERROR(__xludf.DUMMYFUNCTION("""COMPUTED_VALUE"""),"2730d 23h 59m")</f>
        <v>2730d 23h 59m</v>
      </c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13.2">
      <c r="A1567" s="1">
        <f ca="1">IFERROR(__xludf.DUMMYFUNCTION("""COMPUTED_VALUE"""),4)</f>
        <v>4</v>
      </c>
      <c r="B1567" s="1" t="str">
        <f ca="1">IFERROR(__xludf.DUMMYFUNCTION("""COMPUTED_VALUE"""),"SE1_CAW313_Tanker")</f>
        <v>SE1_CAW313_Tanker</v>
      </c>
      <c r="C1567" s="1" t="str">
        <f ca="1">IFERROR(__xludf.DUMMYFUNCTION("""COMPUTED_VALUE"""),"SE1_CAW313_Tanker")</f>
        <v>SE1_CAW313_Tanker</v>
      </c>
      <c r="D1567" s="2">
        <f ca="1">IFERROR(__xludf.DUMMYFUNCTION("""COMPUTED_VALUE"""),42697)</f>
        <v>42697</v>
      </c>
      <c r="E1567" s="3">
        <f ca="1">IFERROR(__xludf.DUMMYFUNCTION("""COMPUTED_VALUE"""),0.530150462964229)</f>
        <v>0.53015046296422896</v>
      </c>
      <c r="F1567" s="1">
        <f ca="1">IFERROR(__xludf.DUMMYFUNCTION("""COMPUTED_VALUE"""),772)</f>
        <v>772</v>
      </c>
      <c r="G1567" s="1" t="str">
        <f ca="1">IFERROR(__xludf.DUMMYFUNCTION("""COMPUTED_VALUE"""),"12.9817/77.6284")</f>
        <v>12.9817/77.6284</v>
      </c>
      <c r="H1567" s="1" t="str">
        <f ca="1">IFERROR(__xludf.DUMMYFUNCTION("""COMPUTED_VALUE"""),"Halsur")</f>
        <v>Halsur</v>
      </c>
      <c r="I1567" s="1"/>
      <c r="J1567" s="1" t="str">
        <f ca="1">IFERROR(__xludf.DUMMYFUNCTION("""COMPUTED_VALUE"""),"2255d 19h 00m")</f>
        <v>2255d 19h 00m</v>
      </c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13.2">
      <c r="A1568" s="1">
        <f ca="1">IFERROR(__xludf.DUMMYFUNCTION("""COMPUTED_VALUE"""),4)</f>
        <v>4</v>
      </c>
      <c r="B1568" s="1" t="str">
        <f ca="1">IFERROR(__xludf.DUMMYFUNCTION("""COMPUTED_VALUE"""),"SE1_CAW313_Tanker")</f>
        <v>SE1_CAW313_Tanker</v>
      </c>
      <c r="C1568" s="1" t="str">
        <f ca="1">IFERROR(__xludf.DUMMYFUNCTION("""COMPUTED_VALUE"""),"SE1_CAW313_Tanker")</f>
        <v>SE1_CAW313_Tanker</v>
      </c>
      <c r="D1568" s="2">
        <f ca="1">IFERROR(__xludf.DUMMYFUNCTION("""COMPUTED_VALUE"""),42697)</f>
        <v>42697</v>
      </c>
      <c r="E1568" s="3">
        <f ca="1">IFERROR(__xludf.DUMMYFUNCTION("""COMPUTED_VALUE"""),0.530150462964229)</f>
        <v>0.53015046296422896</v>
      </c>
      <c r="F1568" s="1">
        <f ca="1">IFERROR(__xludf.DUMMYFUNCTION("""COMPUTED_VALUE"""),772)</f>
        <v>772</v>
      </c>
      <c r="G1568" s="1" t="str">
        <f ca="1">IFERROR(__xludf.DUMMYFUNCTION("""COMPUTED_VALUE"""),"12.9817/77.6284")</f>
        <v>12.9817/77.6284</v>
      </c>
      <c r="H1568" s="1" t="str">
        <f ca="1">IFERROR(__xludf.DUMMYFUNCTION("""COMPUTED_VALUE"""),"Halsur")</f>
        <v>Halsur</v>
      </c>
      <c r="I1568" s="1"/>
      <c r="J1568" s="1" t="str">
        <f ca="1">IFERROR(__xludf.DUMMYFUNCTION("""COMPUTED_VALUE"""),"2255d 19h 01m")</f>
        <v>2255d 19h 01m</v>
      </c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13.2">
      <c r="A1569" s="1">
        <f ca="1">IFERROR(__xludf.DUMMYFUNCTION("""COMPUTED_VALUE"""),4)</f>
        <v>4</v>
      </c>
      <c r="B1569" s="1" t="str">
        <f ca="1">IFERROR(__xludf.DUMMYFUNCTION("""COMPUTED_VALUE"""),"SE1_CAW313_Tanker")</f>
        <v>SE1_CAW313_Tanker</v>
      </c>
      <c r="C1569" s="1" t="str">
        <f ca="1">IFERROR(__xludf.DUMMYFUNCTION("""COMPUTED_VALUE"""),"SE1_CAW313_Tanker")</f>
        <v>SE1_CAW313_Tanker</v>
      </c>
      <c r="D1569" s="2">
        <f ca="1">IFERROR(__xludf.DUMMYFUNCTION("""COMPUTED_VALUE"""),42697)</f>
        <v>42697</v>
      </c>
      <c r="E1569" s="3">
        <f ca="1">IFERROR(__xludf.DUMMYFUNCTION("""COMPUTED_VALUE"""),0.530150462964229)</f>
        <v>0.53015046296422896</v>
      </c>
      <c r="F1569" s="1">
        <f ca="1">IFERROR(__xludf.DUMMYFUNCTION("""COMPUTED_VALUE"""),772)</f>
        <v>772</v>
      </c>
      <c r="G1569" s="1" t="str">
        <f ca="1">IFERROR(__xludf.DUMMYFUNCTION("""COMPUTED_VALUE"""),"12.9817/77.6284")</f>
        <v>12.9817/77.6284</v>
      </c>
      <c r="H1569" s="1" t="str">
        <f ca="1">IFERROR(__xludf.DUMMYFUNCTION("""COMPUTED_VALUE"""),"Halsur")</f>
        <v>Halsur</v>
      </c>
      <c r="I1569" s="1"/>
      <c r="J1569" s="1" t="str">
        <f ca="1">IFERROR(__xludf.DUMMYFUNCTION("""COMPUTED_VALUE"""),"2255d 19h 02m")</f>
        <v>2255d 19h 02m</v>
      </c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13.2">
      <c r="A1570" s="1">
        <f ca="1">IFERROR(__xludf.DUMMYFUNCTION("""COMPUTED_VALUE"""),4)</f>
        <v>4</v>
      </c>
      <c r="B1570" s="1" t="str">
        <f ca="1">IFERROR(__xludf.DUMMYFUNCTION("""COMPUTED_VALUE"""),"SE1_CAW313_Tanker")</f>
        <v>SE1_CAW313_Tanker</v>
      </c>
      <c r="C1570" s="1" t="str">
        <f ca="1">IFERROR(__xludf.DUMMYFUNCTION("""COMPUTED_VALUE"""),"SE1_CAW313_Tanker")</f>
        <v>SE1_CAW313_Tanker</v>
      </c>
      <c r="D1570" s="2">
        <f ca="1">IFERROR(__xludf.DUMMYFUNCTION("""COMPUTED_VALUE"""),42697)</f>
        <v>42697</v>
      </c>
      <c r="E1570" s="3">
        <f ca="1">IFERROR(__xludf.DUMMYFUNCTION("""COMPUTED_VALUE"""),0.530150462964229)</f>
        <v>0.53015046296422896</v>
      </c>
      <c r="F1570" s="1">
        <f ca="1">IFERROR(__xludf.DUMMYFUNCTION("""COMPUTED_VALUE"""),772)</f>
        <v>772</v>
      </c>
      <c r="G1570" s="1" t="str">
        <f ca="1">IFERROR(__xludf.DUMMYFUNCTION("""COMPUTED_VALUE"""),"12.9817/77.6284")</f>
        <v>12.9817/77.6284</v>
      </c>
      <c r="H1570" s="1" t="str">
        <f ca="1">IFERROR(__xludf.DUMMYFUNCTION("""COMPUTED_VALUE"""),"Halsur")</f>
        <v>Halsur</v>
      </c>
      <c r="I1570" s="1"/>
      <c r="J1570" s="1" t="str">
        <f ca="1">IFERROR(__xludf.DUMMYFUNCTION("""COMPUTED_VALUE"""),"2255d 19h 03m")</f>
        <v>2255d 19h 03m</v>
      </c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13.2">
      <c r="A1571" s="1">
        <f ca="1">IFERROR(__xludf.DUMMYFUNCTION("""COMPUTED_VALUE"""),4)</f>
        <v>4</v>
      </c>
      <c r="B1571" s="1" t="str">
        <f ca="1">IFERROR(__xludf.DUMMYFUNCTION("""COMPUTED_VALUE"""),"SE1_CAW313_Tanker")</f>
        <v>SE1_CAW313_Tanker</v>
      </c>
      <c r="C1571" s="1" t="str">
        <f ca="1">IFERROR(__xludf.DUMMYFUNCTION("""COMPUTED_VALUE"""),"SE1_CAW313_Tanker")</f>
        <v>SE1_CAW313_Tanker</v>
      </c>
      <c r="D1571" s="2">
        <f ca="1">IFERROR(__xludf.DUMMYFUNCTION("""COMPUTED_VALUE"""),42697)</f>
        <v>42697</v>
      </c>
      <c r="E1571" s="3">
        <f ca="1">IFERROR(__xludf.DUMMYFUNCTION("""COMPUTED_VALUE"""),0.530150462964229)</f>
        <v>0.53015046296422896</v>
      </c>
      <c r="F1571" s="1">
        <f ca="1">IFERROR(__xludf.DUMMYFUNCTION("""COMPUTED_VALUE"""),772)</f>
        <v>772</v>
      </c>
      <c r="G1571" s="1" t="str">
        <f ca="1">IFERROR(__xludf.DUMMYFUNCTION("""COMPUTED_VALUE"""),"12.9817/77.6284")</f>
        <v>12.9817/77.6284</v>
      </c>
      <c r="H1571" s="1" t="str">
        <f ca="1">IFERROR(__xludf.DUMMYFUNCTION("""COMPUTED_VALUE"""),"Halsur")</f>
        <v>Halsur</v>
      </c>
      <c r="I1571" s="1"/>
      <c r="J1571" s="1" t="str">
        <f ca="1">IFERROR(__xludf.DUMMYFUNCTION("""COMPUTED_VALUE"""),"2255d 19h 04m")</f>
        <v>2255d 19h 04m</v>
      </c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13.2">
      <c r="A1572" s="1">
        <f ca="1">IFERROR(__xludf.DUMMYFUNCTION("""COMPUTED_VALUE"""),4)</f>
        <v>4</v>
      </c>
      <c r="B1572" s="1" t="str">
        <f ca="1">IFERROR(__xludf.DUMMYFUNCTION("""COMPUTED_VALUE"""),"SE1_CAW313_Tanker")</f>
        <v>SE1_CAW313_Tanker</v>
      </c>
      <c r="C1572" s="1" t="str">
        <f ca="1">IFERROR(__xludf.DUMMYFUNCTION("""COMPUTED_VALUE"""),"SE1_CAW313_Tanker")</f>
        <v>SE1_CAW313_Tanker</v>
      </c>
      <c r="D1572" s="2">
        <f ca="1">IFERROR(__xludf.DUMMYFUNCTION("""COMPUTED_VALUE"""),42697)</f>
        <v>42697</v>
      </c>
      <c r="E1572" s="3">
        <f ca="1">IFERROR(__xludf.DUMMYFUNCTION("""COMPUTED_VALUE"""),0.530150462964229)</f>
        <v>0.53015046296422896</v>
      </c>
      <c r="F1572" s="1">
        <f ca="1">IFERROR(__xludf.DUMMYFUNCTION("""COMPUTED_VALUE"""),772)</f>
        <v>772</v>
      </c>
      <c r="G1572" s="1" t="str">
        <f ca="1">IFERROR(__xludf.DUMMYFUNCTION("""COMPUTED_VALUE"""),"12.9817/77.6284")</f>
        <v>12.9817/77.6284</v>
      </c>
      <c r="H1572" s="1" t="str">
        <f ca="1">IFERROR(__xludf.DUMMYFUNCTION("""COMPUTED_VALUE"""),"Halsur")</f>
        <v>Halsur</v>
      </c>
      <c r="I1572" s="1"/>
      <c r="J1572" s="1" t="str">
        <f ca="1">IFERROR(__xludf.DUMMYFUNCTION("""COMPUTED_VALUE"""),"2255d 19h 05m")</f>
        <v>2255d 19h 05m</v>
      </c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13.2">
      <c r="A1573" s="1">
        <f ca="1">IFERROR(__xludf.DUMMYFUNCTION("""COMPUTED_VALUE"""),98)</f>
        <v>98</v>
      </c>
      <c r="B1573" s="1" t="str">
        <f ca="1">IFERROR(__xludf.DUMMYFUNCTION("""COMPUTED_VALUE"""),"SE1_CAW313_TANKER")</f>
        <v>SE1_CAW313_TANKER</v>
      </c>
      <c r="C1573" s="1" t="str">
        <f ca="1">IFERROR(__xludf.DUMMYFUNCTION("""COMPUTED_VALUE"""),"SE1_CAW313_Tanker")</f>
        <v>SE1_CAW313_Tanker</v>
      </c>
      <c r="D1573" s="2">
        <f ca="1">IFERROR(__xludf.DUMMYFUNCTION("""COMPUTED_VALUE"""),42697)</f>
        <v>42697</v>
      </c>
      <c r="E1573" s="3">
        <f ca="1">IFERROR(__xludf.DUMMYFUNCTION("""COMPUTED_VALUE"""),0.530150462964229)</f>
        <v>0.53015046296422896</v>
      </c>
      <c r="F1573" s="1">
        <f ca="1">IFERROR(__xludf.DUMMYFUNCTION("""COMPUTED_VALUE"""),772)</f>
        <v>772</v>
      </c>
      <c r="G1573" s="1" t="str">
        <f ca="1">IFERROR(__xludf.DUMMYFUNCTION("""COMPUTED_VALUE"""),"12.9817/77.6284")</f>
        <v>12.9817/77.6284</v>
      </c>
      <c r="H1573" s="1" t="str">
        <f ca="1">IFERROR(__xludf.DUMMYFUNCTION("""COMPUTED_VALUE"""),"Halsur")</f>
        <v>Halsur</v>
      </c>
      <c r="I1573" s="1"/>
      <c r="J1573" s="1" t="str">
        <f ca="1">IFERROR(__xludf.DUMMYFUNCTION("""COMPUTED_VALUE"""),"2709d 19h 54m")</f>
        <v>2709d 19h 54m</v>
      </c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13.2">
      <c r="A1574" s="1">
        <f ca="1">IFERROR(__xludf.DUMMYFUNCTION("""COMPUTED_VALUE"""),98)</f>
        <v>98</v>
      </c>
      <c r="B1574" s="1" t="str">
        <f ca="1">IFERROR(__xludf.DUMMYFUNCTION("""COMPUTED_VALUE"""),"SE1_CAW313_TANKER")</f>
        <v>SE1_CAW313_TANKER</v>
      </c>
      <c r="C1574" s="1" t="str">
        <f ca="1">IFERROR(__xludf.DUMMYFUNCTION("""COMPUTED_VALUE"""),"SE1_CAW313_Tanker")</f>
        <v>SE1_CAW313_Tanker</v>
      </c>
      <c r="D1574" s="2">
        <f ca="1">IFERROR(__xludf.DUMMYFUNCTION("""COMPUTED_VALUE"""),42697)</f>
        <v>42697</v>
      </c>
      <c r="E1574" s="3">
        <f ca="1">IFERROR(__xludf.DUMMYFUNCTION("""COMPUTED_VALUE"""),0.530150462964229)</f>
        <v>0.53015046296422896</v>
      </c>
      <c r="F1574" s="1">
        <f ca="1">IFERROR(__xludf.DUMMYFUNCTION("""COMPUTED_VALUE"""),772)</f>
        <v>772</v>
      </c>
      <c r="G1574" s="1" t="str">
        <f ca="1">IFERROR(__xludf.DUMMYFUNCTION("""COMPUTED_VALUE"""),"12.9817/77.6284")</f>
        <v>12.9817/77.6284</v>
      </c>
      <c r="H1574" s="1" t="str">
        <f ca="1">IFERROR(__xludf.DUMMYFUNCTION("""COMPUTED_VALUE"""),"Halsur")</f>
        <v>Halsur</v>
      </c>
      <c r="I1574" s="1"/>
      <c r="J1574" s="1" t="str">
        <f ca="1">IFERROR(__xludf.DUMMYFUNCTION("""COMPUTED_VALUE"""),"2709d 19h 55m")</f>
        <v>2709d 19h 55m</v>
      </c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13.2">
      <c r="A1575" s="1">
        <f ca="1">IFERROR(__xludf.DUMMYFUNCTION("""COMPUTED_VALUE"""),95)</f>
        <v>95</v>
      </c>
      <c r="B1575" s="1" t="str">
        <f ca="1">IFERROR(__xludf.DUMMYFUNCTION("""COMPUTED_VALUE"""),"SE1_CAW313_TANKER")</f>
        <v>SE1_CAW313_TANKER</v>
      </c>
      <c r="C1575" s="1" t="str">
        <f ca="1">IFERROR(__xludf.DUMMYFUNCTION("""COMPUTED_VALUE"""),"SE1_CAW313_Tanker")</f>
        <v>SE1_CAW313_Tanker</v>
      </c>
      <c r="D1575" s="2">
        <f ca="1">IFERROR(__xludf.DUMMYFUNCTION("""COMPUTED_VALUE"""),42697)</f>
        <v>42697</v>
      </c>
      <c r="E1575" s="3">
        <f ca="1">IFERROR(__xludf.DUMMYFUNCTION("""COMPUTED_VALUE"""),0.530150462964229)</f>
        <v>0.53015046296422896</v>
      </c>
      <c r="F1575" s="1">
        <f ca="1">IFERROR(__xludf.DUMMYFUNCTION("""COMPUTED_VALUE"""),772)</f>
        <v>772</v>
      </c>
      <c r="G1575" s="1" t="str">
        <f ca="1">IFERROR(__xludf.DUMMYFUNCTION("""COMPUTED_VALUE"""),"12.9817/77.6284")</f>
        <v>12.9817/77.6284</v>
      </c>
      <c r="H1575" s="1" t="str">
        <f ca="1">IFERROR(__xludf.DUMMYFUNCTION("""COMPUTED_VALUE"""),"Halsur")</f>
        <v>Halsur</v>
      </c>
      <c r="I1575" s="1"/>
      <c r="J1575" s="1" t="str">
        <f ca="1">IFERROR(__xludf.DUMMYFUNCTION("""COMPUTED_VALUE"""),"2709d 19h 58m")</f>
        <v>2709d 19h 58m</v>
      </c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13.2">
      <c r="A1576" s="1">
        <f ca="1">IFERROR(__xludf.DUMMYFUNCTION("""COMPUTED_VALUE"""),95)</f>
        <v>95</v>
      </c>
      <c r="B1576" s="1" t="str">
        <f ca="1">IFERROR(__xludf.DUMMYFUNCTION("""COMPUTED_VALUE"""),"SE1_CAW313_TANKER")</f>
        <v>SE1_CAW313_TANKER</v>
      </c>
      <c r="C1576" s="1" t="str">
        <f ca="1">IFERROR(__xludf.DUMMYFUNCTION("""COMPUTED_VALUE"""),"SE1_CAW313_Tanker")</f>
        <v>SE1_CAW313_Tanker</v>
      </c>
      <c r="D1576" s="2">
        <f ca="1">IFERROR(__xludf.DUMMYFUNCTION("""COMPUTED_VALUE"""),42697)</f>
        <v>42697</v>
      </c>
      <c r="E1576" s="3">
        <f ca="1">IFERROR(__xludf.DUMMYFUNCTION("""COMPUTED_VALUE"""),0.530150462964229)</f>
        <v>0.53015046296422896</v>
      </c>
      <c r="F1576" s="1">
        <f ca="1">IFERROR(__xludf.DUMMYFUNCTION("""COMPUTED_VALUE"""),772)</f>
        <v>772</v>
      </c>
      <c r="G1576" s="1" t="str">
        <f ca="1">IFERROR(__xludf.DUMMYFUNCTION("""COMPUTED_VALUE"""),"12.9817/77.6284")</f>
        <v>12.9817/77.6284</v>
      </c>
      <c r="H1576" s="1" t="str">
        <f ca="1">IFERROR(__xludf.DUMMYFUNCTION("""COMPUTED_VALUE"""),"Halsur")</f>
        <v>Halsur</v>
      </c>
      <c r="I1576" s="1"/>
      <c r="J1576" s="1" t="str">
        <f ca="1">IFERROR(__xludf.DUMMYFUNCTION("""COMPUTED_VALUE"""),"2709d 19h 59m")</f>
        <v>2709d 19h 59m</v>
      </c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13.2">
      <c r="A1577" s="1">
        <f ca="1">IFERROR(__xludf.DUMMYFUNCTION("""COMPUTED_VALUE"""),95)</f>
        <v>95</v>
      </c>
      <c r="B1577" s="1" t="str">
        <f ca="1">IFERROR(__xludf.DUMMYFUNCTION("""COMPUTED_VALUE"""),"SE1_CAW313_TANKER")</f>
        <v>SE1_CAW313_TANKER</v>
      </c>
      <c r="C1577" s="1" t="str">
        <f ca="1">IFERROR(__xludf.DUMMYFUNCTION("""COMPUTED_VALUE"""),"SE1_CAW313_Tanker")</f>
        <v>SE1_CAW313_Tanker</v>
      </c>
      <c r="D1577" s="2">
        <f ca="1">IFERROR(__xludf.DUMMYFUNCTION("""COMPUTED_VALUE"""),42697)</f>
        <v>42697</v>
      </c>
      <c r="E1577" s="3">
        <f ca="1">IFERROR(__xludf.DUMMYFUNCTION("""COMPUTED_VALUE"""),0.530150462964229)</f>
        <v>0.53015046296422896</v>
      </c>
      <c r="F1577" s="1">
        <f ca="1">IFERROR(__xludf.DUMMYFUNCTION("""COMPUTED_VALUE"""),772)</f>
        <v>772</v>
      </c>
      <c r="G1577" s="1" t="str">
        <f ca="1">IFERROR(__xludf.DUMMYFUNCTION("""COMPUTED_VALUE"""),"12.9817/77.6284")</f>
        <v>12.9817/77.6284</v>
      </c>
      <c r="H1577" s="1" t="str">
        <f ca="1">IFERROR(__xludf.DUMMYFUNCTION("""COMPUTED_VALUE"""),"Halsur")</f>
        <v>Halsur</v>
      </c>
      <c r="I1577" s="1"/>
      <c r="J1577" s="1" t="str">
        <f ca="1">IFERROR(__xludf.DUMMYFUNCTION("""COMPUTED_VALUE"""),"2709d 20h 00m")</f>
        <v>2709d 20h 00m</v>
      </c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13.2">
      <c r="A1578" s="1">
        <f ca="1">IFERROR(__xludf.DUMMYFUNCTION("""COMPUTED_VALUE"""),95)</f>
        <v>95</v>
      </c>
      <c r="B1578" s="1" t="str">
        <f ca="1">IFERROR(__xludf.DUMMYFUNCTION("""COMPUTED_VALUE"""),"SE1_CAW313_TANKER")</f>
        <v>SE1_CAW313_TANKER</v>
      </c>
      <c r="C1578" s="1" t="str">
        <f ca="1">IFERROR(__xludf.DUMMYFUNCTION("""COMPUTED_VALUE"""),"SE1_CAW313_Tanker")</f>
        <v>SE1_CAW313_Tanker</v>
      </c>
      <c r="D1578" s="2">
        <f ca="1">IFERROR(__xludf.DUMMYFUNCTION("""COMPUTED_VALUE"""),42697)</f>
        <v>42697</v>
      </c>
      <c r="E1578" s="3">
        <f ca="1">IFERROR(__xludf.DUMMYFUNCTION("""COMPUTED_VALUE"""),0.530150462964229)</f>
        <v>0.53015046296422896</v>
      </c>
      <c r="F1578" s="1">
        <f ca="1">IFERROR(__xludf.DUMMYFUNCTION("""COMPUTED_VALUE"""),772)</f>
        <v>772</v>
      </c>
      <c r="G1578" s="1" t="str">
        <f ca="1">IFERROR(__xludf.DUMMYFUNCTION("""COMPUTED_VALUE"""),"12.9817/77.6284")</f>
        <v>12.9817/77.6284</v>
      </c>
      <c r="H1578" s="1" t="str">
        <f ca="1">IFERROR(__xludf.DUMMYFUNCTION("""COMPUTED_VALUE"""),"Halsur")</f>
        <v>Halsur</v>
      </c>
      <c r="I1578" s="1"/>
      <c r="J1578" s="1" t="str">
        <f ca="1">IFERROR(__xludf.DUMMYFUNCTION("""COMPUTED_VALUE"""),"2709d 20h 01m")</f>
        <v>2709d 20h 01m</v>
      </c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13.2">
      <c r="A1579" s="1">
        <f ca="1">IFERROR(__xludf.DUMMYFUNCTION("""COMPUTED_VALUE"""),95)</f>
        <v>95</v>
      </c>
      <c r="B1579" s="1" t="str">
        <f ca="1">IFERROR(__xludf.DUMMYFUNCTION("""COMPUTED_VALUE"""),"SE1_CAW313_TANKER")</f>
        <v>SE1_CAW313_TANKER</v>
      </c>
      <c r="C1579" s="1" t="str">
        <f ca="1">IFERROR(__xludf.DUMMYFUNCTION("""COMPUTED_VALUE"""),"SE1_CAW313_Tanker")</f>
        <v>SE1_CAW313_Tanker</v>
      </c>
      <c r="D1579" s="2">
        <f ca="1">IFERROR(__xludf.DUMMYFUNCTION("""COMPUTED_VALUE"""),42697)</f>
        <v>42697</v>
      </c>
      <c r="E1579" s="3">
        <f ca="1">IFERROR(__xludf.DUMMYFUNCTION("""COMPUTED_VALUE"""),0.530150462964229)</f>
        <v>0.53015046296422896</v>
      </c>
      <c r="F1579" s="1">
        <f ca="1">IFERROR(__xludf.DUMMYFUNCTION("""COMPUTED_VALUE"""),772)</f>
        <v>772</v>
      </c>
      <c r="G1579" s="1" t="str">
        <f ca="1">IFERROR(__xludf.DUMMYFUNCTION("""COMPUTED_VALUE"""),"12.9817/77.6284")</f>
        <v>12.9817/77.6284</v>
      </c>
      <c r="H1579" s="1" t="str">
        <f ca="1">IFERROR(__xludf.DUMMYFUNCTION("""COMPUTED_VALUE"""),"Halsur")</f>
        <v>Halsur</v>
      </c>
      <c r="I1579" s="1"/>
      <c r="J1579" s="1" t="str">
        <f ca="1">IFERROR(__xludf.DUMMYFUNCTION("""COMPUTED_VALUE"""),"2709d 20h 02m")</f>
        <v>2709d 20h 02m</v>
      </c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13.2">
      <c r="A1580" s="1">
        <f ca="1">IFERROR(__xludf.DUMMYFUNCTION("""COMPUTED_VALUE"""),17)</f>
        <v>17</v>
      </c>
      <c r="B1580" s="1" t="str">
        <f ca="1">IFERROR(__xludf.DUMMYFUNCTION("""COMPUTED_VALUE"""),"SE1_KA03B964_Jetting")</f>
        <v>SE1_KA03B964_Jetting</v>
      </c>
      <c r="C1580" s="1" t="str">
        <f ca="1">IFERROR(__xludf.DUMMYFUNCTION("""COMPUTED_VALUE"""),"se1_ka03b964_jetting")</f>
        <v>se1_ka03b964_jetting</v>
      </c>
      <c r="D1580" s="2">
        <f ca="1">IFERROR(__xludf.DUMMYFUNCTION("""COMPUTED_VALUE"""),43844)</f>
        <v>43844</v>
      </c>
      <c r="E1580" s="3">
        <f ca="1">IFERROR(__xludf.DUMMYFUNCTION("""COMPUTED_VALUE"""),0.758958333331975)</f>
        <v>0.75895833333197504</v>
      </c>
      <c r="F1580" s="1">
        <f ca="1">IFERROR(__xludf.DUMMYFUNCTION("""COMPUTED_VALUE"""),769415)</f>
        <v>769415</v>
      </c>
      <c r="G1580" s="1" t="str">
        <f ca="1">IFERROR(__xludf.DUMMYFUNCTION("""COMPUTED_VALUE"""),"12.8804/77.5464")</f>
        <v>12.8804/77.5464</v>
      </c>
      <c r="H1580" s="1" t="str">
        <f ca="1">IFERROR(__xludf.DUMMYFUNCTION("""COMPUTED_VALUE"""),"Vasantpura")</f>
        <v>Vasantpura</v>
      </c>
      <c r="I1580" s="1"/>
      <c r="J1580" s="1" t="str">
        <f ca="1">IFERROR(__xludf.DUMMYFUNCTION("""COMPUTED_VALUE"""),"1072d 16h 11m")</f>
        <v>1072d 16h 11m</v>
      </c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13.2">
      <c r="A1581" s="1">
        <f ca="1">IFERROR(__xludf.DUMMYFUNCTION("""COMPUTED_VALUE"""),17)</f>
        <v>17</v>
      </c>
      <c r="B1581" s="1" t="str">
        <f ca="1">IFERROR(__xludf.DUMMYFUNCTION("""COMPUTED_VALUE"""),"SE1_KA03B964_Jetting")</f>
        <v>SE1_KA03B964_Jetting</v>
      </c>
      <c r="C1581" s="1" t="str">
        <f ca="1">IFERROR(__xludf.DUMMYFUNCTION("""COMPUTED_VALUE"""),"se1_ka03b964_jetting")</f>
        <v>se1_ka03b964_jetting</v>
      </c>
      <c r="D1581" s="2">
        <f ca="1">IFERROR(__xludf.DUMMYFUNCTION("""COMPUTED_VALUE"""),43844)</f>
        <v>43844</v>
      </c>
      <c r="E1581" s="3">
        <f ca="1">IFERROR(__xludf.DUMMYFUNCTION("""COMPUTED_VALUE"""),0.758958333331975)</f>
        <v>0.75895833333197504</v>
      </c>
      <c r="F1581" s="1">
        <f ca="1">IFERROR(__xludf.DUMMYFUNCTION("""COMPUTED_VALUE"""),769415)</f>
        <v>769415</v>
      </c>
      <c r="G1581" s="1" t="str">
        <f ca="1">IFERROR(__xludf.DUMMYFUNCTION("""COMPUTED_VALUE"""),"12.8804/77.5464")</f>
        <v>12.8804/77.5464</v>
      </c>
      <c r="H1581" s="1" t="str">
        <f ca="1">IFERROR(__xludf.DUMMYFUNCTION("""COMPUTED_VALUE"""),"Vasantpura")</f>
        <v>Vasantpura</v>
      </c>
      <c r="I1581" s="1"/>
      <c r="J1581" s="1" t="str">
        <f ca="1">IFERROR(__xludf.DUMMYFUNCTION("""COMPUTED_VALUE"""),"1072d 16h 13m")</f>
        <v>1072d 16h 13m</v>
      </c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13.2">
      <c r="A1582" s="1">
        <f ca="1">IFERROR(__xludf.DUMMYFUNCTION("""COMPUTED_VALUE"""),17)</f>
        <v>17</v>
      </c>
      <c r="B1582" s="1" t="str">
        <f ca="1">IFERROR(__xludf.DUMMYFUNCTION("""COMPUTED_VALUE"""),"SE1_KA03B964_Jetting")</f>
        <v>SE1_KA03B964_Jetting</v>
      </c>
      <c r="C1582" s="1" t="str">
        <f ca="1">IFERROR(__xludf.DUMMYFUNCTION("""COMPUTED_VALUE"""),"se1_ka03b964_jetting")</f>
        <v>se1_ka03b964_jetting</v>
      </c>
      <c r="D1582" s="2">
        <f ca="1">IFERROR(__xludf.DUMMYFUNCTION("""COMPUTED_VALUE"""),43844)</f>
        <v>43844</v>
      </c>
      <c r="E1582" s="3">
        <f ca="1">IFERROR(__xludf.DUMMYFUNCTION("""COMPUTED_VALUE"""),0.758958333331975)</f>
        <v>0.75895833333197504</v>
      </c>
      <c r="F1582" s="1">
        <f ca="1">IFERROR(__xludf.DUMMYFUNCTION("""COMPUTED_VALUE"""),769415)</f>
        <v>769415</v>
      </c>
      <c r="G1582" s="1" t="str">
        <f ca="1">IFERROR(__xludf.DUMMYFUNCTION("""COMPUTED_VALUE"""),"12.8804/77.5464")</f>
        <v>12.8804/77.5464</v>
      </c>
      <c r="H1582" s="1" t="str">
        <f ca="1">IFERROR(__xludf.DUMMYFUNCTION("""COMPUTED_VALUE"""),"Vasantpura")</f>
        <v>Vasantpura</v>
      </c>
      <c r="I1582" s="1"/>
      <c r="J1582" s="1" t="str">
        <f ca="1">IFERROR(__xludf.DUMMYFUNCTION("""COMPUTED_VALUE"""),"1072d 16h 13m")</f>
        <v>1072d 16h 13m</v>
      </c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13.2">
      <c r="A1583" s="1">
        <f ca="1">IFERROR(__xludf.DUMMYFUNCTION("""COMPUTED_VALUE"""),17)</f>
        <v>17</v>
      </c>
      <c r="B1583" s="1" t="str">
        <f ca="1">IFERROR(__xludf.DUMMYFUNCTION("""COMPUTED_VALUE"""),"SE1_KA03B964_Jetting")</f>
        <v>SE1_KA03B964_Jetting</v>
      </c>
      <c r="C1583" s="1" t="str">
        <f ca="1">IFERROR(__xludf.DUMMYFUNCTION("""COMPUTED_VALUE"""),"se1_ka03b964_jetting")</f>
        <v>se1_ka03b964_jetting</v>
      </c>
      <c r="D1583" s="2">
        <f ca="1">IFERROR(__xludf.DUMMYFUNCTION("""COMPUTED_VALUE"""),43844)</f>
        <v>43844</v>
      </c>
      <c r="E1583" s="3">
        <f ca="1">IFERROR(__xludf.DUMMYFUNCTION("""COMPUTED_VALUE"""),0.758958333331975)</f>
        <v>0.75895833333197504</v>
      </c>
      <c r="F1583" s="1">
        <f ca="1">IFERROR(__xludf.DUMMYFUNCTION("""COMPUTED_VALUE"""),769415)</f>
        <v>769415</v>
      </c>
      <c r="G1583" s="1" t="str">
        <f ca="1">IFERROR(__xludf.DUMMYFUNCTION("""COMPUTED_VALUE"""),"12.8804/77.5464")</f>
        <v>12.8804/77.5464</v>
      </c>
      <c r="H1583" s="1" t="str">
        <f ca="1">IFERROR(__xludf.DUMMYFUNCTION("""COMPUTED_VALUE"""),"Vasantpura")</f>
        <v>Vasantpura</v>
      </c>
      <c r="I1583" s="1"/>
      <c r="J1583" s="1" t="str">
        <f ca="1">IFERROR(__xludf.DUMMYFUNCTION("""COMPUTED_VALUE"""),"1072d 16h 14m")</f>
        <v>1072d 16h 14m</v>
      </c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13.2">
      <c r="A1584" s="1">
        <f ca="1">IFERROR(__xludf.DUMMYFUNCTION("""COMPUTED_VALUE"""),17)</f>
        <v>17</v>
      </c>
      <c r="B1584" s="1" t="str">
        <f ca="1">IFERROR(__xludf.DUMMYFUNCTION("""COMPUTED_VALUE"""),"SE1_KA03B964_Jetting")</f>
        <v>SE1_KA03B964_Jetting</v>
      </c>
      <c r="C1584" s="1" t="str">
        <f ca="1">IFERROR(__xludf.DUMMYFUNCTION("""COMPUTED_VALUE"""),"se1_ka03b964_jetting")</f>
        <v>se1_ka03b964_jetting</v>
      </c>
      <c r="D1584" s="2">
        <f ca="1">IFERROR(__xludf.DUMMYFUNCTION("""COMPUTED_VALUE"""),43844)</f>
        <v>43844</v>
      </c>
      <c r="E1584" s="3">
        <f ca="1">IFERROR(__xludf.DUMMYFUNCTION("""COMPUTED_VALUE"""),0.758958333331975)</f>
        <v>0.75895833333197504</v>
      </c>
      <c r="F1584" s="1">
        <f ca="1">IFERROR(__xludf.DUMMYFUNCTION("""COMPUTED_VALUE"""),769415)</f>
        <v>769415</v>
      </c>
      <c r="G1584" s="1" t="str">
        <f ca="1">IFERROR(__xludf.DUMMYFUNCTION("""COMPUTED_VALUE"""),"12.8804/77.5464")</f>
        <v>12.8804/77.5464</v>
      </c>
      <c r="H1584" s="1" t="str">
        <f ca="1">IFERROR(__xludf.DUMMYFUNCTION("""COMPUTED_VALUE"""),"Vasantpura")</f>
        <v>Vasantpura</v>
      </c>
      <c r="I1584" s="1"/>
      <c r="J1584" s="1" t="str">
        <f ca="1">IFERROR(__xludf.DUMMYFUNCTION("""COMPUTED_VALUE"""),"1072d 16h 15m")</f>
        <v>1072d 16h 15m</v>
      </c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13.2">
      <c r="A1585" s="1">
        <f ca="1">IFERROR(__xludf.DUMMYFUNCTION("""COMPUTED_VALUE"""),17)</f>
        <v>17</v>
      </c>
      <c r="B1585" s="1" t="str">
        <f ca="1">IFERROR(__xludf.DUMMYFUNCTION("""COMPUTED_VALUE"""),"SE1_KA03B964_Jetting")</f>
        <v>SE1_KA03B964_Jetting</v>
      </c>
      <c r="C1585" s="1" t="str">
        <f ca="1">IFERROR(__xludf.DUMMYFUNCTION("""COMPUTED_VALUE"""),"se1_ka03b964_jetting")</f>
        <v>se1_ka03b964_jetting</v>
      </c>
      <c r="D1585" s="2">
        <f ca="1">IFERROR(__xludf.DUMMYFUNCTION("""COMPUTED_VALUE"""),43844)</f>
        <v>43844</v>
      </c>
      <c r="E1585" s="3">
        <f ca="1">IFERROR(__xludf.DUMMYFUNCTION("""COMPUTED_VALUE"""),0.758958333331975)</f>
        <v>0.75895833333197504</v>
      </c>
      <c r="F1585" s="1">
        <f ca="1">IFERROR(__xludf.DUMMYFUNCTION("""COMPUTED_VALUE"""),769415)</f>
        <v>769415</v>
      </c>
      <c r="G1585" s="1" t="str">
        <f ca="1">IFERROR(__xludf.DUMMYFUNCTION("""COMPUTED_VALUE"""),"12.8804/77.5464")</f>
        <v>12.8804/77.5464</v>
      </c>
      <c r="H1585" s="1" t="str">
        <f ca="1">IFERROR(__xludf.DUMMYFUNCTION("""COMPUTED_VALUE"""),"Vasantpura")</f>
        <v>Vasantpura</v>
      </c>
      <c r="I1585" s="1"/>
      <c r="J1585" s="1" t="str">
        <f ca="1">IFERROR(__xludf.DUMMYFUNCTION("""COMPUTED_VALUE"""),"1072d 16h 16m")</f>
        <v>1072d 16h 16m</v>
      </c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13.2">
      <c r="A1586" s="1">
        <f ca="1">IFERROR(__xludf.DUMMYFUNCTION("""COMPUTED_VALUE"""),108)</f>
        <v>108</v>
      </c>
      <c r="B1586" s="1" t="str">
        <f ca="1">IFERROR(__xludf.DUMMYFUNCTION("""COMPUTED_VALUE"""),"SE1_KA03B964_JETTING")</f>
        <v>SE1_KA03B964_JETTING</v>
      </c>
      <c r="C1586" s="1" t="str">
        <f ca="1">IFERROR(__xludf.DUMMYFUNCTION("""COMPUTED_VALUE"""),"se1_ka03b964_jetting")</f>
        <v>se1_ka03b964_jetting</v>
      </c>
      <c r="D1586" s="2">
        <f ca="1">IFERROR(__xludf.DUMMYFUNCTION("""COMPUTED_VALUE"""),43844)</f>
        <v>43844</v>
      </c>
      <c r="E1586" s="3">
        <f ca="1">IFERROR(__xludf.DUMMYFUNCTION("""COMPUTED_VALUE"""),0.758958333331975)</f>
        <v>0.75895833333197504</v>
      </c>
      <c r="F1586" s="1">
        <f ca="1">IFERROR(__xludf.DUMMYFUNCTION("""COMPUTED_VALUE"""),769415)</f>
        <v>769415</v>
      </c>
      <c r="G1586" s="1" t="str">
        <f ca="1">IFERROR(__xludf.DUMMYFUNCTION("""COMPUTED_VALUE"""),"12.8804/77.5464")</f>
        <v>12.8804/77.5464</v>
      </c>
      <c r="H1586" s="1" t="str">
        <f ca="1">IFERROR(__xludf.DUMMYFUNCTION("""COMPUTED_VALUE"""),"Vasantpura")</f>
        <v>Vasantpura</v>
      </c>
      <c r="I1586" s="1"/>
      <c r="J1586" s="1" t="str">
        <f ca="1">IFERROR(__xludf.DUMMYFUNCTION("""COMPUTED_VALUE"""),"1526d 17h 05m")</f>
        <v>1526d 17h 05m</v>
      </c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13.2">
      <c r="A1587" s="1">
        <f ca="1">IFERROR(__xludf.DUMMYFUNCTION("""COMPUTED_VALUE"""),108)</f>
        <v>108</v>
      </c>
      <c r="B1587" s="1" t="str">
        <f ca="1">IFERROR(__xludf.DUMMYFUNCTION("""COMPUTED_VALUE"""),"SE1_KA03B964_JETTING")</f>
        <v>SE1_KA03B964_JETTING</v>
      </c>
      <c r="C1587" s="1" t="str">
        <f ca="1">IFERROR(__xludf.DUMMYFUNCTION("""COMPUTED_VALUE"""),"se1_ka03b964_jetting")</f>
        <v>se1_ka03b964_jetting</v>
      </c>
      <c r="D1587" s="2">
        <f ca="1">IFERROR(__xludf.DUMMYFUNCTION("""COMPUTED_VALUE"""),43844)</f>
        <v>43844</v>
      </c>
      <c r="E1587" s="3">
        <f ca="1">IFERROR(__xludf.DUMMYFUNCTION("""COMPUTED_VALUE"""),0.758958333331975)</f>
        <v>0.75895833333197504</v>
      </c>
      <c r="F1587" s="1">
        <f ca="1">IFERROR(__xludf.DUMMYFUNCTION("""COMPUTED_VALUE"""),769415)</f>
        <v>769415</v>
      </c>
      <c r="G1587" s="1" t="str">
        <f ca="1">IFERROR(__xludf.DUMMYFUNCTION("""COMPUTED_VALUE"""),"12.8804/77.5464")</f>
        <v>12.8804/77.5464</v>
      </c>
      <c r="H1587" s="1" t="str">
        <f ca="1">IFERROR(__xludf.DUMMYFUNCTION("""COMPUTED_VALUE"""),"Vasantpura")</f>
        <v>Vasantpura</v>
      </c>
      <c r="I1587" s="1"/>
      <c r="J1587" s="1" t="str">
        <f ca="1">IFERROR(__xludf.DUMMYFUNCTION("""COMPUTED_VALUE"""),"1526d 17h 06m")</f>
        <v>1526d 17h 06m</v>
      </c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13.2">
      <c r="A1588" s="1">
        <f ca="1">IFERROR(__xludf.DUMMYFUNCTION("""COMPUTED_VALUE"""),105)</f>
        <v>105</v>
      </c>
      <c r="B1588" s="1" t="str">
        <f ca="1">IFERROR(__xludf.DUMMYFUNCTION("""COMPUTED_VALUE"""),"SE1_KA03B964_JETTING")</f>
        <v>SE1_KA03B964_JETTING</v>
      </c>
      <c r="C1588" s="1" t="str">
        <f ca="1">IFERROR(__xludf.DUMMYFUNCTION("""COMPUTED_VALUE"""),"se1_ka03b964_jetting")</f>
        <v>se1_ka03b964_jetting</v>
      </c>
      <c r="D1588" s="2">
        <f ca="1">IFERROR(__xludf.DUMMYFUNCTION("""COMPUTED_VALUE"""),43844)</f>
        <v>43844</v>
      </c>
      <c r="E1588" s="3">
        <f ca="1">IFERROR(__xludf.DUMMYFUNCTION("""COMPUTED_VALUE"""),0.758958333331975)</f>
        <v>0.75895833333197504</v>
      </c>
      <c r="F1588" s="1">
        <f ca="1">IFERROR(__xludf.DUMMYFUNCTION("""COMPUTED_VALUE"""),769415)</f>
        <v>769415</v>
      </c>
      <c r="G1588" s="1" t="str">
        <f ca="1">IFERROR(__xludf.DUMMYFUNCTION("""COMPUTED_VALUE"""),"12.8804/77.5464")</f>
        <v>12.8804/77.5464</v>
      </c>
      <c r="H1588" s="1" t="str">
        <f ca="1">IFERROR(__xludf.DUMMYFUNCTION("""COMPUTED_VALUE"""),"Vasantpura")</f>
        <v>Vasantpura</v>
      </c>
      <c r="I1588" s="1"/>
      <c r="J1588" s="1" t="str">
        <f ca="1">IFERROR(__xludf.DUMMYFUNCTION("""COMPUTED_VALUE"""),"1526d 17h 09m")</f>
        <v>1526d 17h 09m</v>
      </c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13.2">
      <c r="A1589" s="1">
        <f ca="1">IFERROR(__xludf.DUMMYFUNCTION("""COMPUTED_VALUE"""),105)</f>
        <v>105</v>
      </c>
      <c r="B1589" s="1" t="str">
        <f ca="1">IFERROR(__xludf.DUMMYFUNCTION("""COMPUTED_VALUE"""),"SE1_KA03B964_JETTING")</f>
        <v>SE1_KA03B964_JETTING</v>
      </c>
      <c r="C1589" s="1" t="str">
        <f ca="1">IFERROR(__xludf.DUMMYFUNCTION("""COMPUTED_VALUE"""),"se1_ka03b964_jetting")</f>
        <v>se1_ka03b964_jetting</v>
      </c>
      <c r="D1589" s="2">
        <f ca="1">IFERROR(__xludf.DUMMYFUNCTION("""COMPUTED_VALUE"""),43844)</f>
        <v>43844</v>
      </c>
      <c r="E1589" s="3">
        <f ca="1">IFERROR(__xludf.DUMMYFUNCTION("""COMPUTED_VALUE"""),0.758958333331975)</f>
        <v>0.75895833333197504</v>
      </c>
      <c r="F1589" s="1">
        <f ca="1">IFERROR(__xludf.DUMMYFUNCTION("""COMPUTED_VALUE"""),769415)</f>
        <v>769415</v>
      </c>
      <c r="G1589" s="1" t="str">
        <f ca="1">IFERROR(__xludf.DUMMYFUNCTION("""COMPUTED_VALUE"""),"12.8804/77.5464")</f>
        <v>12.8804/77.5464</v>
      </c>
      <c r="H1589" s="1" t="str">
        <f ca="1">IFERROR(__xludf.DUMMYFUNCTION("""COMPUTED_VALUE"""),"Vasantpura")</f>
        <v>Vasantpura</v>
      </c>
      <c r="I1589" s="1"/>
      <c r="J1589" s="1" t="str">
        <f ca="1">IFERROR(__xludf.DUMMYFUNCTION("""COMPUTED_VALUE"""),"1526d 17h 10m")</f>
        <v>1526d 17h 10m</v>
      </c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13.2">
      <c r="A1590" s="1">
        <f ca="1">IFERROR(__xludf.DUMMYFUNCTION("""COMPUTED_VALUE"""),105)</f>
        <v>105</v>
      </c>
      <c r="B1590" s="1" t="str">
        <f ca="1">IFERROR(__xludf.DUMMYFUNCTION("""COMPUTED_VALUE"""),"SE1_KA03B964_JETTING")</f>
        <v>SE1_KA03B964_JETTING</v>
      </c>
      <c r="C1590" s="1" t="str">
        <f ca="1">IFERROR(__xludf.DUMMYFUNCTION("""COMPUTED_VALUE"""),"se1_ka03b964_jetting")</f>
        <v>se1_ka03b964_jetting</v>
      </c>
      <c r="D1590" s="2">
        <f ca="1">IFERROR(__xludf.DUMMYFUNCTION("""COMPUTED_VALUE"""),43844)</f>
        <v>43844</v>
      </c>
      <c r="E1590" s="3">
        <f ca="1">IFERROR(__xludf.DUMMYFUNCTION("""COMPUTED_VALUE"""),0.758958333331975)</f>
        <v>0.75895833333197504</v>
      </c>
      <c r="F1590" s="1">
        <f ca="1">IFERROR(__xludf.DUMMYFUNCTION("""COMPUTED_VALUE"""),769415)</f>
        <v>769415</v>
      </c>
      <c r="G1590" s="1" t="str">
        <f ca="1">IFERROR(__xludf.DUMMYFUNCTION("""COMPUTED_VALUE"""),"12.8804/77.5464")</f>
        <v>12.8804/77.5464</v>
      </c>
      <c r="H1590" s="1" t="str">
        <f ca="1">IFERROR(__xludf.DUMMYFUNCTION("""COMPUTED_VALUE"""),"Vasantpura")</f>
        <v>Vasantpura</v>
      </c>
      <c r="I1590" s="1"/>
      <c r="J1590" s="1" t="str">
        <f ca="1">IFERROR(__xludf.DUMMYFUNCTION("""COMPUTED_VALUE"""),"1526d 17h 11m")</f>
        <v>1526d 17h 11m</v>
      </c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13.2">
      <c r="A1591" s="1">
        <f ca="1">IFERROR(__xludf.DUMMYFUNCTION("""COMPUTED_VALUE"""),105)</f>
        <v>105</v>
      </c>
      <c r="B1591" s="1" t="str">
        <f ca="1">IFERROR(__xludf.DUMMYFUNCTION("""COMPUTED_VALUE"""),"SE1_KA03B964_JETTING")</f>
        <v>SE1_KA03B964_JETTING</v>
      </c>
      <c r="C1591" s="1" t="str">
        <f ca="1">IFERROR(__xludf.DUMMYFUNCTION("""COMPUTED_VALUE"""),"se1_ka03b964_jetting")</f>
        <v>se1_ka03b964_jetting</v>
      </c>
      <c r="D1591" s="2">
        <f ca="1">IFERROR(__xludf.DUMMYFUNCTION("""COMPUTED_VALUE"""),43844)</f>
        <v>43844</v>
      </c>
      <c r="E1591" s="3">
        <f ca="1">IFERROR(__xludf.DUMMYFUNCTION("""COMPUTED_VALUE"""),0.758958333331975)</f>
        <v>0.75895833333197504</v>
      </c>
      <c r="F1591" s="1">
        <f ca="1">IFERROR(__xludf.DUMMYFUNCTION("""COMPUTED_VALUE"""),769415)</f>
        <v>769415</v>
      </c>
      <c r="G1591" s="1" t="str">
        <f ca="1">IFERROR(__xludf.DUMMYFUNCTION("""COMPUTED_VALUE"""),"12.8804/77.5464")</f>
        <v>12.8804/77.5464</v>
      </c>
      <c r="H1591" s="1" t="str">
        <f ca="1">IFERROR(__xludf.DUMMYFUNCTION("""COMPUTED_VALUE"""),"Vasantpura")</f>
        <v>Vasantpura</v>
      </c>
      <c r="I1591" s="1"/>
      <c r="J1591" s="1" t="str">
        <f ca="1">IFERROR(__xludf.DUMMYFUNCTION("""COMPUTED_VALUE"""),"1526d 17h 12m")</f>
        <v>1526d 17h 12m</v>
      </c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13.2">
      <c r="A1592" s="1">
        <f ca="1">IFERROR(__xludf.DUMMYFUNCTION("""COMPUTED_VALUE"""),105)</f>
        <v>105</v>
      </c>
      <c r="B1592" s="1" t="str">
        <f ca="1">IFERROR(__xludf.DUMMYFUNCTION("""COMPUTED_VALUE"""),"SE1_KA03B964_JETTING")</f>
        <v>SE1_KA03B964_JETTING</v>
      </c>
      <c r="C1592" s="1" t="str">
        <f ca="1">IFERROR(__xludf.DUMMYFUNCTION("""COMPUTED_VALUE"""),"se1_ka03b964_jetting")</f>
        <v>se1_ka03b964_jetting</v>
      </c>
      <c r="D1592" s="2">
        <f ca="1">IFERROR(__xludf.DUMMYFUNCTION("""COMPUTED_VALUE"""),43844)</f>
        <v>43844</v>
      </c>
      <c r="E1592" s="3">
        <f ca="1">IFERROR(__xludf.DUMMYFUNCTION("""COMPUTED_VALUE"""),0.758958333331975)</f>
        <v>0.75895833333197504</v>
      </c>
      <c r="F1592" s="1">
        <f ca="1">IFERROR(__xludf.DUMMYFUNCTION("""COMPUTED_VALUE"""),769415)</f>
        <v>769415</v>
      </c>
      <c r="G1592" s="1" t="str">
        <f ca="1">IFERROR(__xludf.DUMMYFUNCTION("""COMPUTED_VALUE"""),"12.8804/77.5464")</f>
        <v>12.8804/77.5464</v>
      </c>
      <c r="H1592" s="1" t="str">
        <f ca="1">IFERROR(__xludf.DUMMYFUNCTION("""COMPUTED_VALUE"""),"Vasantpura")</f>
        <v>Vasantpura</v>
      </c>
      <c r="I1592" s="1"/>
      <c r="J1592" s="1" t="str">
        <f ca="1">IFERROR(__xludf.DUMMYFUNCTION("""COMPUTED_VALUE"""),"1526d 17h 13m")</f>
        <v>1526d 17h 13m</v>
      </c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13.2">
      <c r="A1593" s="1">
        <f ca="1">IFERROR(__xludf.DUMMYFUNCTION("""COMPUTED_VALUE"""),101)</f>
        <v>101</v>
      </c>
      <c r="B1593" s="1" t="str">
        <f ca="1">IFERROR(__xludf.DUMMYFUNCTION("""COMPUTED_VALUE"""),"SE1_KA049409_Jetting")</f>
        <v>SE1_KA049409_Jetting</v>
      </c>
      <c r="C1593" s="1" t="str">
        <f ca="1">IFERROR(__xludf.DUMMYFUNCTION("""COMPUTED_VALUE"""),"se1_ka049409_jetting")</f>
        <v>se1_ka049409_jetting</v>
      </c>
      <c r="D1593" s="2">
        <f ca="1">IFERROR(__xludf.DUMMYFUNCTION("""COMPUTED_VALUE"""),44704)</f>
        <v>44704</v>
      </c>
      <c r="E1593" s="3">
        <f ca="1">IFERROR(__xludf.DUMMYFUNCTION("""COMPUTED_VALUE"""),0.408634259259997)</f>
        <v>0.40863425925999702</v>
      </c>
      <c r="F1593" s="1">
        <f ca="1">IFERROR(__xludf.DUMMYFUNCTION("""COMPUTED_VALUE"""),11991)</f>
        <v>11991</v>
      </c>
      <c r="G1593" s="1" t="str">
        <f ca="1">IFERROR(__xludf.DUMMYFUNCTION("""COMPUTED_VALUE"""),"12.9614/77.6379")</f>
        <v>12.9614/77.6379</v>
      </c>
      <c r="H1593" s="1" t="str">
        <f ca="1">IFERROR(__xludf.DUMMYFUNCTION("""COMPUTED_VALUE"""),"Domlur Bus Stop")</f>
        <v>Domlur Bus Stop</v>
      </c>
      <c r="I1593" s="1"/>
      <c r="J1593" s="1" t="str">
        <f ca="1">IFERROR(__xludf.DUMMYFUNCTION("""COMPUTED_VALUE"""),"0d 00h 53m")</f>
        <v>0d 00h 53m</v>
      </c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13.2">
      <c r="A1594" s="1">
        <f ca="1">IFERROR(__xludf.DUMMYFUNCTION("""COMPUTED_VALUE"""),142)</f>
        <v>142</v>
      </c>
      <c r="B1594" s="1" t="str">
        <f ca="1">IFERROR(__xludf.DUMMYFUNCTION("""COMPUTED_VALUE"""),"SE1_KA049409_Jetting")</f>
        <v>SE1_KA049409_Jetting</v>
      </c>
      <c r="C1594" s="1" t="str">
        <f ca="1">IFERROR(__xludf.DUMMYFUNCTION("""COMPUTED_VALUE"""),"se1_ka049409_jetting")</f>
        <v>se1_ka049409_jetting</v>
      </c>
      <c r="D1594" s="2">
        <f ca="1">IFERROR(__xludf.DUMMYFUNCTION("""COMPUTED_VALUE"""),44738)</f>
        <v>44738</v>
      </c>
      <c r="E1594" s="3">
        <f ca="1">IFERROR(__xludf.DUMMYFUNCTION("""COMPUTED_VALUE"""),0.418252314815617)</f>
        <v>0.41825231481561698</v>
      </c>
      <c r="F1594" s="1">
        <f ca="1">IFERROR(__xludf.DUMMYFUNCTION("""COMPUTED_VALUE"""),12089)</f>
        <v>12089</v>
      </c>
      <c r="G1594" s="1" t="str">
        <f ca="1">IFERROR(__xludf.DUMMYFUNCTION("""COMPUTED_VALUE"""),"12.9613/77.6381")</f>
        <v>12.9613/77.6381</v>
      </c>
      <c r="H1594" s="1" t="str">
        <f ca="1">IFERROR(__xludf.DUMMYFUNCTION("""COMPUTED_VALUE"""),"Domlur Bus Stop")</f>
        <v>Domlur Bus Stop</v>
      </c>
      <c r="I1594" s="1"/>
      <c r="J1594" s="1" t="str">
        <f ca="1">IFERROR(__xludf.DUMMYFUNCTION("""COMPUTED_VALUE"""),"0d 00h 54m")</f>
        <v>0d 00h 54m</v>
      </c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13.2">
      <c r="A1595" s="1">
        <f ca="1">IFERROR(__xludf.DUMMYFUNCTION("""COMPUTED_VALUE"""),72)</f>
        <v>72</v>
      </c>
      <c r="B1595" s="1" t="str">
        <f ca="1">IFERROR(__xludf.DUMMYFUNCTION("""COMPUTED_VALUE"""),"SE1_KA049409_Jetting")</f>
        <v>SE1_KA049409_Jetting</v>
      </c>
      <c r="C1595" s="1" t="str">
        <f ca="1">IFERROR(__xludf.DUMMYFUNCTION("""COMPUTED_VALUE"""),"se1_ka049409_jetting")</f>
        <v>se1_ka049409_jetting</v>
      </c>
      <c r="D1595" s="2">
        <f ca="1">IFERROR(__xludf.DUMMYFUNCTION("""COMPUTED_VALUE"""),44738)</f>
        <v>44738</v>
      </c>
      <c r="E1595" s="3">
        <f ca="1">IFERROR(__xludf.DUMMYFUNCTION("""COMPUTED_VALUE"""),0.418252314815617)</f>
        <v>0.41825231481561698</v>
      </c>
      <c r="F1595" s="1">
        <f ca="1">IFERROR(__xludf.DUMMYFUNCTION("""COMPUTED_VALUE"""),12089)</f>
        <v>12089</v>
      </c>
      <c r="G1595" s="1" t="str">
        <f ca="1">IFERROR(__xludf.DUMMYFUNCTION("""COMPUTED_VALUE"""),"12.9613/77.6381")</f>
        <v>12.9613/77.6381</v>
      </c>
      <c r="H1595" s="1" t="str">
        <f ca="1">IFERROR(__xludf.DUMMYFUNCTION("""COMPUTED_VALUE"""),"Domlur Bus Stop")</f>
        <v>Domlur Bus Stop</v>
      </c>
      <c r="I1595" s="1"/>
      <c r="J1595" s="1" t="str">
        <f ca="1">IFERROR(__xludf.DUMMYFUNCTION("""COMPUTED_VALUE"""),"0d 00h 55m")</f>
        <v>0d 00h 55m</v>
      </c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13.2">
      <c r="A1596" s="1">
        <f ca="1">IFERROR(__xludf.DUMMYFUNCTION("""COMPUTED_VALUE"""),64)</f>
        <v>64</v>
      </c>
      <c r="B1596" s="1" t="str">
        <f ca="1">IFERROR(__xludf.DUMMYFUNCTION("""COMPUTED_VALUE"""),"SE1_KA049409_Jetting")</f>
        <v>SE1_KA049409_Jetting</v>
      </c>
      <c r="C1596" s="1" t="str">
        <f ca="1">IFERROR(__xludf.DUMMYFUNCTION("""COMPUTED_VALUE"""),"se1_ka049409_jetting")</f>
        <v>se1_ka049409_jetting</v>
      </c>
      <c r="D1596" s="2">
        <f ca="1">IFERROR(__xludf.DUMMYFUNCTION("""COMPUTED_VALUE"""),44738)</f>
        <v>44738</v>
      </c>
      <c r="E1596" s="3">
        <f ca="1">IFERROR(__xludf.DUMMYFUNCTION("""COMPUTED_VALUE"""),0.418252314815617)</f>
        <v>0.41825231481561698</v>
      </c>
      <c r="F1596" s="1">
        <f ca="1">IFERROR(__xludf.DUMMYFUNCTION("""COMPUTED_VALUE"""),12089)</f>
        <v>12089</v>
      </c>
      <c r="G1596" s="1" t="str">
        <f ca="1">IFERROR(__xludf.DUMMYFUNCTION("""COMPUTED_VALUE"""),"12.9613/77.6381")</f>
        <v>12.9613/77.6381</v>
      </c>
      <c r="H1596" s="1" t="str">
        <f ca="1">IFERROR(__xludf.DUMMYFUNCTION("""COMPUTED_VALUE"""),"Domlur Bus Stop")</f>
        <v>Domlur Bus Stop</v>
      </c>
      <c r="I1596" s="1"/>
      <c r="J1596" s="1" t="str">
        <f ca="1">IFERROR(__xludf.DUMMYFUNCTION("""COMPUTED_VALUE"""),"0d 00h 56m")</f>
        <v>0d 00h 56m</v>
      </c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13.2">
      <c r="A1597" s="1">
        <f ca="1">IFERROR(__xludf.DUMMYFUNCTION("""COMPUTED_VALUE"""),50)</f>
        <v>50</v>
      </c>
      <c r="B1597" s="1" t="str">
        <f ca="1">IFERROR(__xludf.DUMMYFUNCTION("""COMPUTED_VALUE"""),"SE1_KA049409_Jetting")</f>
        <v>SE1_KA049409_Jetting</v>
      </c>
      <c r="C1597" s="1" t="str">
        <f ca="1">IFERROR(__xludf.DUMMYFUNCTION("""COMPUTED_VALUE"""),"se1_ka049409_jetting")</f>
        <v>se1_ka049409_jetting</v>
      </c>
      <c r="D1597" s="2">
        <f ca="1">IFERROR(__xludf.DUMMYFUNCTION("""COMPUTED_VALUE"""),44738)</f>
        <v>44738</v>
      </c>
      <c r="E1597" s="3">
        <f ca="1">IFERROR(__xludf.DUMMYFUNCTION("""COMPUTED_VALUE"""),0.418252314815617)</f>
        <v>0.41825231481561698</v>
      </c>
      <c r="F1597" s="1">
        <f ca="1">IFERROR(__xludf.DUMMYFUNCTION("""COMPUTED_VALUE"""),12089)</f>
        <v>12089</v>
      </c>
      <c r="G1597" s="1" t="str">
        <f ca="1">IFERROR(__xludf.DUMMYFUNCTION("""COMPUTED_VALUE"""),"12.9613/77.6381")</f>
        <v>12.9613/77.6381</v>
      </c>
      <c r="H1597" s="1" t="str">
        <f ca="1">IFERROR(__xludf.DUMMYFUNCTION("""COMPUTED_VALUE"""),"Domlur Bus Stop")</f>
        <v>Domlur Bus Stop</v>
      </c>
      <c r="I1597" s="1"/>
      <c r="J1597" s="1" t="str">
        <f ca="1">IFERROR(__xludf.DUMMYFUNCTION("""COMPUTED_VALUE"""),"0d 00h 57m")</f>
        <v>0d 00h 57m</v>
      </c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13.2">
      <c r="A1598" s="1">
        <f ca="1">IFERROR(__xludf.DUMMYFUNCTION("""COMPUTED_VALUE"""),89)</f>
        <v>89</v>
      </c>
      <c r="B1598" s="1" t="str">
        <f ca="1">IFERROR(__xludf.DUMMYFUNCTION("""COMPUTED_VALUE"""),"SE1_KA049409_Jetting")</f>
        <v>SE1_KA049409_Jetting</v>
      </c>
      <c r="C1598" s="1" t="str">
        <f ca="1">IFERROR(__xludf.DUMMYFUNCTION("""COMPUTED_VALUE"""),"se1_ka049409_jetting")</f>
        <v>se1_ka049409_jetting</v>
      </c>
      <c r="D1598" s="2">
        <f ca="1">IFERROR(__xludf.DUMMYFUNCTION("""COMPUTED_VALUE"""),44852)</f>
        <v>44852</v>
      </c>
      <c r="E1598" s="3">
        <f ca="1">IFERROR(__xludf.DUMMYFUNCTION("""COMPUTED_VALUE"""),0.407615740739856)</f>
        <v>0.40761574073985601</v>
      </c>
      <c r="F1598" s="1">
        <f ca="1">IFERROR(__xludf.DUMMYFUNCTION("""COMPUTED_VALUE"""),12106)</f>
        <v>12106</v>
      </c>
      <c r="G1598" s="1" t="str">
        <f ca="1">IFERROR(__xludf.DUMMYFUNCTION("""COMPUTED_VALUE"""),"12.9824/77.5942")</f>
        <v>12.9824/77.5942</v>
      </c>
      <c r="H1598" s="1" t="str">
        <f ca="1">IFERROR(__xludf.DUMMYFUNCTION("""COMPUTED_VALUE"""),"The Capitol Hotel")</f>
        <v>The Capitol Hotel</v>
      </c>
      <c r="I1598" s="1"/>
      <c r="J1598" s="1" t="str">
        <f ca="1">IFERROR(__xludf.DUMMYFUNCTION("""COMPUTED_VALUE"""),"0d 00h 57m")</f>
        <v>0d 00h 57m</v>
      </c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13.2">
      <c r="A1599" s="1">
        <f ca="1">IFERROR(__xludf.DUMMYFUNCTION("""COMPUTED_VALUE"""),20)</f>
        <v>20</v>
      </c>
      <c r="B1599" s="1" t="str">
        <f ca="1">IFERROR(__xludf.DUMMYFUNCTION("""COMPUTED_VALUE"""),"SE1_KA04A3046_Jetting")</f>
        <v>SE1_KA04A3046_Jetting</v>
      </c>
      <c r="C1599" s="1" t="str">
        <f ca="1">IFERROR(__xludf.DUMMYFUNCTION("""COMPUTED_VALUE"""),"se1_ka04a3046_jetting")</f>
        <v>se1_ka04a3046_jetting</v>
      </c>
      <c r="D1599" s="2">
        <f ca="1">IFERROR(__xludf.DUMMYFUNCTION("""COMPUTED_VALUE"""),43846)</f>
        <v>43846</v>
      </c>
      <c r="E1599" s="3">
        <f ca="1">IFERROR(__xludf.DUMMYFUNCTION("""COMPUTED_VALUE"""),0.564317129628761)</f>
        <v>0.56431712962876102</v>
      </c>
      <c r="F1599" s="1">
        <f ca="1">IFERROR(__xludf.DUMMYFUNCTION("""COMPUTED_VALUE"""),18216)</f>
        <v>18216</v>
      </c>
      <c r="G1599" s="1" t="str">
        <f ca="1">IFERROR(__xludf.DUMMYFUNCTION("""COMPUTED_VALUE"""),"12.9581/77.6124")</f>
        <v>12.9581/77.6124</v>
      </c>
      <c r="H1599" s="1" t="str">
        <f ca="1">IFERROR(__xludf.DUMMYFUNCTION("""COMPUTED_VALUE"""),"Hotel Royal Heritage")</f>
        <v>Hotel Royal Heritage</v>
      </c>
      <c r="I1599" s="1"/>
      <c r="J1599" s="1" t="str">
        <f ca="1">IFERROR(__xludf.DUMMYFUNCTION("""COMPUTED_VALUE"""),"1070d 20h 52m")</f>
        <v>1070d 20h 52m</v>
      </c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13.2">
      <c r="A1600" s="1">
        <f ca="1">IFERROR(__xludf.DUMMYFUNCTION("""COMPUTED_VALUE"""),20)</f>
        <v>20</v>
      </c>
      <c r="B1600" s="1" t="str">
        <f ca="1">IFERROR(__xludf.DUMMYFUNCTION("""COMPUTED_VALUE"""),"SE1_KA04A3046_Jetting")</f>
        <v>SE1_KA04A3046_Jetting</v>
      </c>
      <c r="C1600" s="1" t="str">
        <f ca="1">IFERROR(__xludf.DUMMYFUNCTION("""COMPUTED_VALUE"""),"se1_ka04a3046_jetting")</f>
        <v>se1_ka04a3046_jetting</v>
      </c>
      <c r="D1600" s="2">
        <f ca="1">IFERROR(__xludf.DUMMYFUNCTION("""COMPUTED_VALUE"""),43846)</f>
        <v>43846</v>
      </c>
      <c r="E1600" s="3">
        <f ca="1">IFERROR(__xludf.DUMMYFUNCTION("""COMPUTED_VALUE"""),0.564317129628761)</f>
        <v>0.56431712962876102</v>
      </c>
      <c r="F1600" s="1">
        <f ca="1">IFERROR(__xludf.DUMMYFUNCTION("""COMPUTED_VALUE"""),18216)</f>
        <v>18216</v>
      </c>
      <c r="G1600" s="1" t="str">
        <f ca="1">IFERROR(__xludf.DUMMYFUNCTION("""COMPUTED_VALUE"""),"12.9581/77.6124")</f>
        <v>12.9581/77.6124</v>
      </c>
      <c r="H1600" s="1" t="str">
        <f ca="1">IFERROR(__xludf.DUMMYFUNCTION("""COMPUTED_VALUE"""),"Hotel Royal Heritage")</f>
        <v>Hotel Royal Heritage</v>
      </c>
      <c r="I1600" s="1"/>
      <c r="J1600" s="1" t="str">
        <f ca="1">IFERROR(__xludf.DUMMYFUNCTION("""COMPUTED_VALUE"""),"1070d 20h 53m")</f>
        <v>1070d 20h 53m</v>
      </c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13.2">
      <c r="A1601" s="1">
        <f ca="1">IFERROR(__xludf.DUMMYFUNCTION("""COMPUTED_VALUE"""),20)</f>
        <v>20</v>
      </c>
      <c r="B1601" s="1" t="str">
        <f ca="1">IFERROR(__xludf.DUMMYFUNCTION("""COMPUTED_VALUE"""),"SE1_KA04A3046_Jetting")</f>
        <v>SE1_KA04A3046_Jetting</v>
      </c>
      <c r="C1601" s="1" t="str">
        <f ca="1">IFERROR(__xludf.DUMMYFUNCTION("""COMPUTED_VALUE"""),"se1_ka04a3046_jetting")</f>
        <v>se1_ka04a3046_jetting</v>
      </c>
      <c r="D1601" s="2">
        <f ca="1">IFERROR(__xludf.DUMMYFUNCTION("""COMPUTED_VALUE"""),43846)</f>
        <v>43846</v>
      </c>
      <c r="E1601" s="3">
        <f ca="1">IFERROR(__xludf.DUMMYFUNCTION("""COMPUTED_VALUE"""),0.564317129628761)</f>
        <v>0.56431712962876102</v>
      </c>
      <c r="F1601" s="1">
        <f ca="1">IFERROR(__xludf.DUMMYFUNCTION("""COMPUTED_VALUE"""),18216)</f>
        <v>18216</v>
      </c>
      <c r="G1601" s="1" t="str">
        <f ca="1">IFERROR(__xludf.DUMMYFUNCTION("""COMPUTED_VALUE"""),"12.9581/77.6124")</f>
        <v>12.9581/77.6124</v>
      </c>
      <c r="H1601" s="1" t="str">
        <f ca="1">IFERROR(__xludf.DUMMYFUNCTION("""COMPUTED_VALUE"""),"Hotel Royal Heritage")</f>
        <v>Hotel Royal Heritage</v>
      </c>
      <c r="I1601" s="1"/>
      <c r="J1601" s="1" t="str">
        <f ca="1">IFERROR(__xludf.DUMMYFUNCTION("""COMPUTED_VALUE"""),"1070d 20h 53m")</f>
        <v>1070d 20h 53m</v>
      </c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13.2">
      <c r="A1602" s="1">
        <f ca="1">IFERROR(__xludf.DUMMYFUNCTION("""COMPUTED_VALUE"""),20)</f>
        <v>20</v>
      </c>
      <c r="B1602" s="1" t="str">
        <f ca="1">IFERROR(__xludf.DUMMYFUNCTION("""COMPUTED_VALUE"""),"SE1_KA04A3046_Jetting")</f>
        <v>SE1_KA04A3046_Jetting</v>
      </c>
      <c r="C1602" s="1" t="str">
        <f ca="1">IFERROR(__xludf.DUMMYFUNCTION("""COMPUTED_VALUE"""),"se1_ka04a3046_jetting")</f>
        <v>se1_ka04a3046_jetting</v>
      </c>
      <c r="D1602" s="2">
        <f ca="1">IFERROR(__xludf.DUMMYFUNCTION("""COMPUTED_VALUE"""),43846)</f>
        <v>43846</v>
      </c>
      <c r="E1602" s="3">
        <f ca="1">IFERROR(__xludf.DUMMYFUNCTION("""COMPUTED_VALUE"""),0.564317129628761)</f>
        <v>0.56431712962876102</v>
      </c>
      <c r="F1602" s="1">
        <f ca="1">IFERROR(__xludf.DUMMYFUNCTION("""COMPUTED_VALUE"""),18216)</f>
        <v>18216</v>
      </c>
      <c r="G1602" s="1" t="str">
        <f ca="1">IFERROR(__xludf.DUMMYFUNCTION("""COMPUTED_VALUE"""),"12.9581/77.6124")</f>
        <v>12.9581/77.6124</v>
      </c>
      <c r="H1602" s="1" t="str">
        <f ca="1">IFERROR(__xludf.DUMMYFUNCTION("""COMPUTED_VALUE"""),"Hotel Royal Heritage")</f>
        <v>Hotel Royal Heritage</v>
      </c>
      <c r="I1602" s="1"/>
      <c r="J1602" s="1" t="str">
        <f ca="1">IFERROR(__xludf.DUMMYFUNCTION("""COMPUTED_VALUE"""),"1070d 20h 54m")</f>
        <v>1070d 20h 54m</v>
      </c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13.2">
      <c r="A1603" s="1">
        <f ca="1">IFERROR(__xludf.DUMMYFUNCTION("""COMPUTED_VALUE"""),20)</f>
        <v>20</v>
      </c>
      <c r="B1603" s="1" t="str">
        <f ca="1">IFERROR(__xludf.DUMMYFUNCTION("""COMPUTED_VALUE"""),"SE1_KA04A3046_Jetting")</f>
        <v>SE1_KA04A3046_Jetting</v>
      </c>
      <c r="C1603" s="1" t="str">
        <f ca="1">IFERROR(__xludf.DUMMYFUNCTION("""COMPUTED_VALUE"""),"se1_ka04a3046_jetting")</f>
        <v>se1_ka04a3046_jetting</v>
      </c>
      <c r="D1603" s="2">
        <f ca="1">IFERROR(__xludf.DUMMYFUNCTION("""COMPUTED_VALUE"""),43846)</f>
        <v>43846</v>
      </c>
      <c r="E1603" s="3">
        <f ca="1">IFERROR(__xludf.DUMMYFUNCTION("""COMPUTED_VALUE"""),0.564317129628761)</f>
        <v>0.56431712962876102</v>
      </c>
      <c r="F1603" s="1">
        <f ca="1">IFERROR(__xludf.DUMMYFUNCTION("""COMPUTED_VALUE"""),18216)</f>
        <v>18216</v>
      </c>
      <c r="G1603" s="1" t="str">
        <f ca="1">IFERROR(__xludf.DUMMYFUNCTION("""COMPUTED_VALUE"""),"12.9581/77.6124")</f>
        <v>12.9581/77.6124</v>
      </c>
      <c r="H1603" s="1" t="str">
        <f ca="1">IFERROR(__xludf.DUMMYFUNCTION("""COMPUTED_VALUE"""),"Hotel Royal Heritage")</f>
        <v>Hotel Royal Heritage</v>
      </c>
      <c r="I1603" s="1"/>
      <c r="J1603" s="1" t="str">
        <f ca="1">IFERROR(__xludf.DUMMYFUNCTION("""COMPUTED_VALUE"""),"1070d 20h 55m")</f>
        <v>1070d 20h 55m</v>
      </c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13.2">
      <c r="A1604" s="1">
        <f ca="1">IFERROR(__xludf.DUMMYFUNCTION("""COMPUTED_VALUE"""),20)</f>
        <v>20</v>
      </c>
      <c r="B1604" s="1" t="str">
        <f ca="1">IFERROR(__xludf.DUMMYFUNCTION("""COMPUTED_VALUE"""),"SE1_KA04A3046_Jetting")</f>
        <v>SE1_KA04A3046_Jetting</v>
      </c>
      <c r="C1604" s="1" t="str">
        <f ca="1">IFERROR(__xludf.DUMMYFUNCTION("""COMPUTED_VALUE"""),"se1_ka04a3046_jetting")</f>
        <v>se1_ka04a3046_jetting</v>
      </c>
      <c r="D1604" s="2">
        <f ca="1">IFERROR(__xludf.DUMMYFUNCTION("""COMPUTED_VALUE"""),43846)</f>
        <v>43846</v>
      </c>
      <c r="E1604" s="3">
        <f ca="1">IFERROR(__xludf.DUMMYFUNCTION("""COMPUTED_VALUE"""),0.564317129628761)</f>
        <v>0.56431712962876102</v>
      </c>
      <c r="F1604" s="1">
        <f ca="1">IFERROR(__xludf.DUMMYFUNCTION("""COMPUTED_VALUE"""),18216)</f>
        <v>18216</v>
      </c>
      <c r="G1604" s="1" t="str">
        <f ca="1">IFERROR(__xludf.DUMMYFUNCTION("""COMPUTED_VALUE"""),"12.9581/77.6124")</f>
        <v>12.9581/77.6124</v>
      </c>
      <c r="H1604" s="1" t="str">
        <f ca="1">IFERROR(__xludf.DUMMYFUNCTION("""COMPUTED_VALUE"""),"Hotel Royal Heritage")</f>
        <v>Hotel Royal Heritage</v>
      </c>
      <c r="I1604" s="1"/>
      <c r="J1604" s="1" t="str">
        <f ca="1">IFERROR(__xludf.DUMMYFUNCTION("""COMPUTED_VALUE"""),"1070d 20h 56m")</f>
        <v>1070d 20h 56m</v>
      </c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13.2">
      <c r="A1605" s="1">
        <f ca="1">IFERROR(__xludf.DUMMYFUNCTION("""COMPUTED_VALUE"""),110)</f>
        <v>110</v>
      </c>
      <c r="B1605" s="1" t="str">
        <f ca="1">IFERROR(__xludf.DUMMYFUNCTION("""COMPUTED_VALUE"""),"SE1_KA04A3046_JETTING")</f>
        <v>SE1_KA04A3046_JETTING</v>
      </c>
      <c r="C1605" s="1" t="str">
        <f ca="1">IFERROR(__xludf.DUMMYFUNCTION("""COMPUTED_VALUE"""),"se1_ka04a3046_jetting")</f>
        <v>se1_ka04a3046_jetting</v>
      </c>
      <c r="D1605" s="2">
        <f ca="1">IFERROR(__xludf.DUMMYFUNCTION("""COMPUTED_VALUE"""),43846)</f>
        <v>43846</v>
      </c>
      <c r="E1605" s="3">
        <f ca="1">IFERROR(__xludf.DUMMYFUNCTION("""COMPUTED_VALUE"""),0.564317129628761)</f>
        <v>0.56431712962876102</v>
      </c>
      <c r="F1605" s="1">
        <f ca="1">IFERROR(__xludf.DUMMYFUNCTION("""COMPUTED_VALUE"""),18216)</f>
        <v>18216</v>
      </c>
      <c r="G1605" s="1" t="str">
        <f ca="1">IFERROR(__xludf.DUMMYFUNCTION("""COMPUTED_VALUE"""),"12.9581/77.6124")</f>
        <v>12.9581/77.6124</v>
      </c>
      <c r="H1605" s="1" t="str">
        <f ca="1">IFERROR(__xludf.DUMMYFUNCTION("""COMPUTED_VALUE"""),"Hotel Royal Heritage")</f>
        <v>Hotel Royal Heritage</v>
      </c>
      <c r="I1605" s="1"/>
      <c r="J1605" s="1" t="str">
        <f ca="1">IFERROR(__xludf.DUMMYFUNCTION("""COMPUTED_VALUE"""),"1524d 21h 45m")</f>
        <v>1524d 21h 45m</v>
      </c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13.2">
      <c r="A1606" s="1">
        <f ca="1">IFERROR(__xludf.DUMMYFUNCTION("""COMPUTED_VALUE"""),110)</f>
        <v>110</v>
      </c>
      <c r="B1606" s="1" t="str">
        <f ca="1">IFERROR(__xludf.DUMMYFUNCTION("""COMPUTED_VALUE"""),"SE1_KA04A3046_JETTING")</f>
        <v>SE1_KA04A3046_JETTING</v>
      </c>
      <c r="C1606" s="1" t="str">
        <f ca="1">IFERROR(__xludf.DUMMYFUNCTION("""COMPUTED_VALUE"""),"se1_ka04a3046_jetting")</f>
        <v>se1_ka04a3046_jetting</v>
      </c>
      <c r="D1606" s="2">
        <f ca="1">IFERROR(__xludf.DUMMYFUNCTION("""COMPUTED_VALUE"""),43846)</f>
        <v>43846</v>
      </c>
      <c r="E1606" s="3">
        <f ca="1">IFERROR(__xludf.DUMMYFUNCTION("""COMPUTED_VALUE"""),0.564317129628761)</f>
        <v>0.56431712962876102</v>
      </c>
      <c r="F1606" s="1">
        <f ca="1">IFERROR(__xludf.DUMMYFUNCTION("""COMPUTED_VALUE"""),18216)</f>
        <v>18216</v>
      </c>
      <c r="G1606" s="1" t="str">
        <f ca="1">IFERROR(__xludf.DUMMYFUNCTION("""COMPUTED_VALUE"""),"12.9581/77.6124")</f>
        <v>12.9581/77.6124</v>
      </c>
      <c r="H1606" s="1" t="str">
        <f ca="1">IFERROR(__xludf.DUMMYFUNCTION("""COMPUTED_VALUE"""),"Hotel Royal Heritage")</f>
        <v>Hotel Royal Heritage</v>
      </c>
      <c r="I1606" s="1"/>
      <c r="J1606" s="1" t="str">
        <f ca="1">IFERROR(__xludf.DUMMYFUNCTION("""COMPUTED_VALUE"""),"1524d 21h 46m")</f>
        <v>1524d 21h 46m</v>
      </c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13.2">
      <c r="A1607" s="1">
        <f ca="1">IFERROR(__xludf.DUMMYFUNCTION("""COMPUTED_VALUE"""),107)</f>
        <v>107</v>
      </c>
      <c r="B1607" s="1" t="str">
        <f ca="1">IFERROR(__xludf.DUMMYFUNCTION("""COMPUTED_VALUE"""),"SE1_KA04A3046_JETTING")</f>
        <v>SE1_KA04A3046_JETTING</v>
      </c>
      <c r="C1607" s="1" t="str">
        <f ca="1">IFERROR(__xludf.DUMMYFUNCTION("""COMPUTED_VALUE"""),"se1_ka04a3046_jetting")</f>
        <v>se1_ka04a3046_jetting</v>
      </c>
      <c r="D1607" s="2">
        <f ca="1">IFERROR(__xludf.DUMMYFUNCTION("""COMPUTED_VALUE"""),43846)</f>
        <v>43846</v>
      </c>
      <c r="E1607" s="3">
        <f ca="1">IFERROR(__xludf.DUMMYFUNCTION("""COMPUTED_VALUE"""),0.564317129628761)</f>
        <v>0.56431712962876102</v>
      </c>
      <c r="F1607" s="1">
        <f ca="1">IFERROR(__xludf.DUMMYFUNCTION("""COMPUTED_VALUE"""),18216)</f>
        <v>18216</v>
      </c>
      <c r="G1607" s="1" t="str">
        <f ca="1">IFERROR(__xludf.DUMMYFUNCTION("""COMPUTED_VALUE"""),"12.9581/77.6124")</f>
        <v>12.9581/77.6124</v>
      </c>
      <c r="H1607" s="1" t="str">
        <f ca="1">IFERROR(__xludf.DUMMYFUNCTION("""COMPUTED_VALUE"""),"Hotel Royal Heritage")</f>
        <v>Hotel Royal Heritage</v>
      </c>
      <c r="I1607" s="1"/>
      <c r="J1607" s="1" t="str">
        <f ca="1">IFERROR(__xludf.DUMMYFUNCTION("""COMPUTED_VALUE"""),"1524d 21h 49m")</f>
        <v>1524d 21h 49m</v>
      </c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13.2">
      <c r="A1608" s="1">
        <f ca="1">IFERROR(__xludf.DUMMYFUNCTION("""COMPUTED_VALUE"""),107)</f>
        <v>107</v>
      </c>
      <c r="B1608" s="1" t="str">
        <f ca="1">IFERROR(__xludf.DUMMYFUNCTION("""COMPUTED_VALUE"""),"SE1_KA04A3046_JETTING")</f>
        <v>SE1_KA04A3046_JETTING</v>
      </c>
      <c r="C1608" s="1" t="str">
        <f ca="1">IFERROR(__xludf.DUMMYFUNCTION("""COMPUTED_VALUE"""),"se1_ka04a3046_jetting")</f>
        <v>se1_ka04a3046_jetting</v>
      </c>
      <c r="D1608" s="2">
        <f ca="1">IFERROR(__xludf.DUMMYFUNCTION("""COMPUTED_VALUE"""),43846)</f>
        <v>43846</v>
      </c>
      <c r="E1608" s="3">
        <f ca="1">IFERROR(__xludf.DUMMYFUNCTION("""COMPUTED_VALUE"""),0.564317129628761)</f>
        <v>0.56431712962876102</v>
      </c>
      <c r="F1608" s="1">
        <f ca="1">IFERROR(__xludf.DUMMYFUNCTION("""COMPUTED_VALUE"""),18216)</f>
        <v>18216</v>
      </c>
      <c r="G1608" s="1" t="str">
        <f ca="1">IFERROR(__xludf.DUMMYFUNCTION("""COMPUTED_VALUE"""),"12.9581/77.6124")</f>
        <v>12.9581/77.6124</v>
      </c>
      <c r="H1608" s="1" t="str">
        <f ca="1">IFERROR(__xludf.DUMMYFUNCTION("""COMPUTED_VALUE"""),"Hotel Royal Heritage")</f>
        <v>Hotel Royal Heritage</v>
      </c>
      <c r="I1608" s="1"/>
      <c r="J1608" s="1" t="str">
        <f ca="1">IFERROR(__xludf.DUMMYFUNCTION("""COMPUTED_VALUE"""),"1524d 21h 50m")</f>
        <v>1524d 21h 50m</v>
      </c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13.2">
      <c r="A1609" s="1">
        <f ca="1">IFERROR(__xludf.DUMMYFUNCTION("""COMPUTED_VALUE"""),107)</f>
        <v>107</v>
      </c>
      <c r="B1609" s="1" t="str">
        <f ca="1">IFERROR(__xludf.DUMMYFUNCTION("""COMPUTED_VALUE"""),"SE1_KA04A3046_JETTING")</f>
        <v>SE1_KA04A3046_JETTING</v>
      </c>
      <c r="C1609" s="1" t="str">
        <f ca="1">IFERROR(__xludf.DUMMYFUNCTION("""COMPUTED_VALUE"""),"se1_ka04a3046_jetting")</f>
        <v>se1_ka04a3046_jetting</v>
      </c>
      <c r="D1609" s="2">
        <f ca="1">IFERROR(__xludf.DUMMYFUNCTION("""COMPUTED_VALUE"""),43846)</f>
        <v>43846</v>
      </c>
      <c r="E1609" s="3">
        <f ca="1">IFERROR(__xludf.DUMMYFUNCTION("""COMPUTED_VALUE"""),0.564317129628761)</f>
        <v>0.56431712962876102</v>
      </c>
      <c r="F1609" s="1">
        <f ca="1">IFERROR(__xludf.DUMMYFUNCTION("""COMPUTED_VALUE"""),18216)</f>
        <v>18216</v>
      </c>
      <c r="G1609" s="1" t="str">
        <f ca="1">IFERROR(__xludf.DUMMYFUNCTION("""COMPUTED_VALUE"""),"12.9581/77.6124")</f>
        <v>12.9581/77.6124</v>
      </c>
      <c r="H1609" s="1" t="str">
        <f ca="1">IFERROR(__xludf.DUMMYFUNCTION("""COMPUTED_VALUE"""),"Hotel Royal Heritage")</f>
        <v>Hotel Royal Heritage</v>
      </c>
      <c r="I1609" s="1"/>
      <c r="J1609" s="1" t="str">
        <f ca="1">IFERROR(__xludf.DUMMYFUNCTION("""COMPUTED_VALUE"""),"1524d 21h 51m")</f>
        <v>1524d 21h 51m</v>
      </c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13.2">
      <c r="A1610" s="1">
        <f ca="1">IFERROR(__xludf.DUMMYFUNCTION("""COMPUTED_VALUE"""),107)</f>
        <v>107</v>
      </c>
      <c r="B1610" s="1" t="str">
        <f ca="1">IFERROR(__xludf.DUMMYFUNCTION("""COMPUTED_VALUE"""),"SE1_KA04A3046_JETTING")</f>
        <v>SE1_KA04A3046_JETTING</v>
      </c>
      <c r="C1610" s="1" t="str">
        <f ca="1">IFERROR(__xludf.DUMMYFUNCTION("""COMPUTED_VALUE"""),"se1_ka04a3046_jetting")</f>
        <v>se1_ka04a3046_jetting</v>
      </c>
      <c r="D1610" s="2">
        <f ca="1">IFERROR(__xludf.DUMMYFUNCTION("""COMPUTED_VALUE"""),43846)</f>
        <v>43846</v>
      </c>
      <c r="E1610" s="3">
        <f ca="1">IFERROR(__xludf.DUMMYFUNCTION("""COMPUTED_VALUE"""),0.564317129628761)</f>
        <v>0.56431712962876102</v>
      </c>
      <c r="F1610" s="1">
        <f ca="1">IFERROR(__xludf.DUMMYFUNCTION("""COMPUTED_VALUE"""),18216)</f>
        <v>18216</v>
      </c>
      <c r="G1610" s="1" t="str">
        <f ca="1">IFERROR(__xludf.DUMMYFUNCTION("""COMPUTED_VALUE"""),"12.9581/77.6124")</f>
        <v>12.9581/77.6124</v>
      </c>
      <c r="H1610" s="1" t="str">
        <f ca="1">IFERROR(__xludf.DUMMYFUNCTION("""COMPUTED_VALUE"""),"Hotel Royal Heritage")</f>
        <v>Hotel Royal Heritage</v>
      </c>
      <c r="I1610" s="1"/>
      <c r="J1610" s="1" t="str">
        <f ca="1">IFERROR(__xludf.DUMMYFUNCTION("""COMPUTED_VALUE"""),"1524d 21h 52m")</f>
        <v>1524d 21h 52m</v>
      </c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13.2">
      <c r="A1611" s="1">
        <f ca="1">IFERROR(__xludf.DUMMYFUNCTION("""COMPUTED_VALUE"""),107)</f>
        <v>107</v>
      </c>
      <c r="B1611" s="1" t="str">
        <f ca="1">IFERROR(__xludf.DUMMYFUNCTION("""COMPUTED_VALUE"""),"SE1_KA04A3046_JETTING")</f>
        <v>SE1_KA04A3046_JETTING</v>
      </c>
      <c r="C1611" s="1" t="str">
        <f ca="1">IFERROR(__xludf.DUMMYFUNCTION("""COMPUTED_VALUE"""),"se1_ka04a3046_jetting")</f>
        <v>se1_ka04a3046_jetting</v>
      </c>
      <c r="D1611" s="2">
        <f ca="1">IFERROR(__xludf.DUMMYFUNCTION("""COMPUTED_VALUE"""),43846)</f>
        <v>43846</v>
      </c>
      <c r="E1611" s="3">
        <f ca="1">IFERROR(__xludf.DUMMYFUNCTION("""COMPUTED_VALUE"""),0.564317129628761)</f>
        <v>0.56431712962876102</v>
      </c>
      <c r="F1611" s="1">
        <f ca="1">IFERROR(__xludf.DUMMYFUNCTION("""COMPUTED_VALUE"""),18216)</f>
        <v>18216</v>
      </c>
      <c r="G1611" s="1" t="str">
        <f ca="1">IFERROR(__xludf.DUMMYFUNCTION("""COMPUTED_VALUE"""),"12.9581/77.6124")</f>
        <v>12.9581/77.6124</v>
      </c>
      <c r="H1611" s="1" t="str">
        <f ca="1">IFERROR(__xludf.DUMMYFUNCTION("""COMPUTED_VALUE"""),"Hotel Royal Heritage")</f>
        <v>Hotel Royal Heritage</v>
      </c>
      <c r="I1611" s="1"/>
      <c r="J1611" s="1" t="str">
        <f ca="1">IFERROR(__xludf.DUMMYFUNCTION("""COMPUTED_VALUE"""),"1524d 21h 53m")</f>
        <v>1524d 21h 53m</v>
      </c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13.2">
      <c r="A1612" s="1">
        <f ca="1">IFERROR(__xludf.DUMMYFUNCTION("""COMPUTED_VALUE"""),212)</f>
        <v>212</v>
      </c>
      <c r="B1612" s="1" t="str">
        <f ca="1">IFERROR(__xludf.DUMMYFUNCTION("""COMPUTED_VALUE"""),"SE1_KA04AA9030_Desilting")</f>
        <v>SE1_KA04AA9030_Desilting</v>
      </c>
      <c r="C1612" s="1" t="str">
        <f ca="1">IFERROR(__xludf.DUMMYFUNCTION("""COMPUTED_VALUE"""),"se1_ka04aa9030_desilting")</f>
        <v>se1_ka04aa9030_desilting</v>
      </c>
      <c r="D1612" s="2">
        <f ca="1">IFERROR(__xludf.DUMMYFUNCTION("""COMPUTED_VALUE"""),44707)</f>
        <v>44707</v>
      </c>
      <c r="E1612" s="3">
        <f ca="1">IFERROR(__xludf.DUMMYFUNCTION("""COMPUTED_VALUE"""),0.999236111110803)</f>
        <v>0.99923611111080302</v>
      </c>
      <c r="F1612" s="1">
        <f ca="1">IFERROR(__xludf.DUMMYFUNCTION("""COMPUTED_VALUE"""),9634)</f>
        <v>9634</v>
      </c>
      <c r="G1612" s="1" t="str">
        <f ca="1">IFERROR(__xludf.DUMMYFUNCTION("""COMPUTED_VALUE"""),"12.9581/77.6124")</f>
        <v>12.9581/77.6124</v>
      </c>
      <c r="H1612" s="1" t="str">
        <f ca="1">IFERROR(__xludf.DUMMYFUNCTION("""COMPUTED_VALUE"""),"Hotel Royal Heritage")</f>
        <v>Hotel Royal Heritage</v>
      </c>
      <c r="I1612" s="1"/>
      <c r="J1612" s="1" t="str">
        <f ca="1">IFERROR(__xludf.DUMMYFUNCTION("""COMPUTED_VALUE"""),"0d 00h 00m")</f>
        <v>0d 00h 00m</v>
      </c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13.2">
      <c r="A1613" s="1">
        <f ca="1">IFERROR(__xludf.DUMMYFUNCTION("""COMPUTED_VALUE"""),174)</f>
        <v>174</v>
      </c>
      <c r="B1613" s="1" t="str">
        <f ca="1">IFERROR(__xludf.DUMMYFUNCTION("""COMPUTED_VALUE"""),"SE1_KA04AA9030_Desilting")</f>
        <v>SE1_KA04AA9030_Desilting</v>
      </c>
      <c r="C1613" s="1" t="str">
        <f ca="1">IFERROR(__xludf.DUMMYFUNCTION("""COMPUTED_VALUE"""),"se1_ka04aa9030_desilting")</f>
        <v>se1_ka04aa9030_desilting</v>
      </c>
      <c r="D1613" s="2">
        <f ca="1">IFERROR(__xludf.DUMMYFUNCTION("""COMPUTED_VALUE"""),44738)</f>
        <v>44738</v>
      </c>
      <c r="E1613" s="3">
        <f ca="1">IFERROR(__xludf.DUMMYFUNCTION("""COMPUTED_VALUE"""),0.999039351852843)</f>
        <v>0.99903935185284298</v>
      </c>
      <c r="F1613" s="1">
        <f ca="1">IFERROR(__xludf.DUMMYFUNCTION("""COMPUTED_VALUE"""),10000)</f>
        <v>10000</v>
      </c>
      <c r="G1613" s="1" t="str">
        <f ca="1">IFERROR(__xludf.DUMMYFUNCTION("""COMPUTED_VALUE"""),"12.9581/77.6124")</f>
        <v>12.9581/77.6124</v>
      </c>
      <c r="H1613" s="1" t="str">
        <f ca="1">IFERROR(__xludf.DUMMYFUNCTION("""COMPUTED_VALUE"""),"Hotel Royal Heritage")</f>
        <v>Hotel Royal Heritage</v>
      </c>
      <c r="I1613" s="1"/>
      <c r="J1613" s="1" t="str">
        <f ca="1">IFERROR(__xludf.DUMMYFUNCTION("""COMPUTED_VALUE"""),"0d 00h 00m")</f>
        <v>0d 00h 00m</v>
      </c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13.2">
      <c r="A1614" s="1">
        <f ca="1">IFERROR(__xludf.DUMMYFUNCTION("""COMPUTED_VALUE"""),211)</f>
        <v>211</v>
      </c>
      <c r="B1614" s="1" t="str">
        <f ca="1">IFERROR(__xludf.DUMMYFUNCTION("""COMPUTED_VALUE"""),"SE1_KA04AA9030_Desilting")</f>
        <v>SE1_KA04AA9030_Desilting</v>
      </c>
      <c r="C1614" s="1" t="str">
        <f ca="1">IFERROR(__xludf.DUMMYFUNCTION("""COMPUTED_VALUE"""),"se1_ka04aa9030_desilting")</f>
        <v>se1_ka04aa9030_desilting</v>
      </c>
      <c r="D1614" s="2">
        <f ca="1">IFERROR(__xludf.DUMMYFUNCTION("""COMPUTED_VALUE"""),44768)</f>
        <v>44768</v>
      </c>
      <c r="E1614" s="3">
        <f ca="1">IFERROR(__xludf.DUMMYFUNCTION("""COMPUTED_VALUE"""),0.99920138888774)</f>
        <v>0.99920138888774002</v>
      </c>
      <c r="F1614" s="1">
        <f ca="1">IFERROR(__xludf.DUMMYFUNCTION("""COMPUTED_VALUE"""),10124)</f>
        <v>10124</v>
      </c>
      <c r="G1614" s="1" t="str">
        <f ca="1">IFERROR(__xludf.DUMMYFUNCTION("""COMPUTED_VALUE"""),"12.9583/77.6123")</f>
        <v>12.9583/77.6123</v>
      </c>
      <c r="H1614" s="1" t="str">
        <f ca="1">IFERROR(__xludf.DUMMYFUNCTION("""COMPUTED_VALUE"""),"Hotel Royal Heritage")</f>
        <v>Hotel Royal Heritage</v>
      </c>
      <c r="I1614" s="1"/>
      <c r="J1614" s="1" t="str">
        <f ca="1">IFERROR(__xludf.DUMMYFUNCTION("""COMPUTED_VALUE"""),"0d 00h 00m")</f>
        <v>0d 00h 00m</v>
      </c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13.2">
      <c r="A1615" s="1">
        <f ca="1">IFERROR(__xludf.DUMMYFUNCTION("""COMPUTED_VALUE"""),180)</f>
        <v>180</v>
      </c>
      <c r="B1615" s="1" t="str">
        <f ca="1">IFERROR(__xludf.DUMMYFUNCTION("""COMPUTED_VALUE"""),"SE1_KA04AA9030_Desilting")</f>
        <v>SE1_KA04AA9030_Desilting</v>
      </c>
      <c r="C1615" s="1" t="str">
        <f ca="1">IFERROR(__xludf.DUMMYFUNCTION("""COMPUTED_VALUE"""),"se1_ka04aa9030_desilting")</f>
        <v>se1_ka04aa9030_desilting</v>
      </c>
      <c r="D1615" s="2">
        <f ca="1">IFERROR(__xludf.DUMMYFUNCTION("""COMPUTED_VALUE"""),44799)</f>
        <v>44799</v>
      </c>
      <c r="E1615" s="3">
        <f ca="1">IFERROR(__xludf.DUMMYFUNCTION("""COMPUTED_VALUE"""),0.999027777776063)</f>
        <v>0.999027777776063</v>
      </c>
      <c r="F1615" s="1">
        <f ca="1">IFERROR(__xludf.DUMMYFUNCTION("""COMPUTED_VALUE"""),10525)</f>
        <v>10525</v>
      </c>
      <c r="G1615" s="1" t="str">
        <f ca="1">IFERROR(__xludf.DUMMYFUNCTION("""COMPUTED_VALUE"""),"12.9581/77.6124")</f>
        <v>12.9581/77.6124</v>
      </c>
      <c r="H1615" s="1" t="str">
        <f ca="1">IFERROR(__xludf.DUMMYFUNCTION("""COMPUTED_VALUE"""),"Hotel Royal Heritage")</f>
        <v>Hotel Royal Heritage</v>
      </c>
      <c r="I1615" s="1"/>
      <c r="J1615" s="1" t="str">
        <f ca="1">IFERROR(__xludf.DUMMYFUNCTION("""COMPUTED_VALUE"""),"0d 00h 00m")</f>
        <v>0d 00h 00m</v>
      </c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13.2">
      <c r="A1616" s="1">
        <f ca="1">IFERROR(__xludf.DUMMYFUNCTION("""COMPUTED_VALUE"""),179)</f>
        <v>179</v>
      </c>
      <c r="B1616" s="1" t="str">
        <f ca="1">IFERROR(__xludf.DUMMYFUNCTION("""COMPUTED_VALUE"""),"SE1_KA04AA9030_Desilting")</f>
        <v>SE1_KA04AA9030_Desilting</v>
      </c>
      <c r="C1616" s="1" t="str">
        <f ca="1">IFERROR(__xludf.DUMMYFUNCTION("""COMPUTED_VALUE"""),"se1_ka04aa9030_desilting")</f>
        <v>se1_ka04aa9030_desilting</v>
      </c>
      <c r="D1616" s="2">
        <f ca="1">IFERROR(__xludf.DUMMYFUNCTION("""COMPUTED_VALUE"""),44830)</f>
        <v>44830</v>
      </c>
      <c r="E1616" s="3">
        <f ca="1">IFERROR(__xludf.DUMMYFUNCTION("""COMPUTED_VALUE"""),0.999062499999126)</f>
        <v>0.999062499999126</v>
      </c>
      <c r="F1616" s="1">
        <f ca="1">IFERROR(__xludf.DUMMYFUNCTION("""COMPUTED_VALUE"""),10999)</f>
        <v>10999</v>
      </c>
      <c r="G1616" s="1" t="str">
        <f ca="1">IFERROR(__xludf.DUMMYFUNCTION("""COMPUTED_VALUE"""),"12.9580/77.6124")</f>
        <v>12.9580/77.6124</v>
      </c>
      <c r="H1616" s="1" t="str">
        <f ca="1">IFERROR(__xludf.DUMMYFUNCTION("""COMPUTED_VALUE"""),"Hotel Royal Heritage")</f>
        <v>Hotel Royal Heritage</v>
      </c>
      <c r="I1616" s="1"/>
      <c r="J1616" s="1" t="str">
        <f ca="1">IFERROR(__xludf.DUMMYFUNCTION("""COMPUTED_VALUE"""),"0d 00h 00m")</f>
        <v>0d 00h 00m</v>
      </c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13.2">
      <c r="A1617" s="1">
        <f ca="1">IFERROR(__xludf.DUMMYFUNCTION("""COMPUTED_VALUE"""),189)</f>
        <v>189</v>
      </c>
      <c r="B1617" s="1" t="str">
        <f ca="1">IFERROR(__xludf.DUMMYFUNCTION("""COMPUTED_VALUE"""),"SE1_KA04AA9030_Desilting")</f>
        <v>SE1_KA04AA9030_Desilting</v>
      </c>
      <c r="C1617" s="1" t="str">
        <f ca="1">IFERROR(__xludf.DUMMYFUNCTION("""COMPUTED_VALUE"""),"se1_ka04aa9030_desilting")</f>
        <v>se1_ka04aa9030_desilting</v>
      </c>
      <c r="D1617" s="2">
        <f ca="1">IFERROR(__xludf.DUMMYFUNCTION("""COMPUTED_VALUE"""),44860)</f>
        <v>44860</v>
      </c>
      <c r="E1617" s="3">
        <f ca="1">IFERROR(__xludf.DUMMYFUNCTION("""COMPUTED_VALUE"""),0.999120370372111)</f>
        <v>0.99912037037211099</v>
      </c>
      <c r="F1617" s="1">
        <f ca="1">IFERROR(__xludf.DUMMYFUNCTION("""COMPUTED_VALUE"""),11222)</f>
        <v>11222</v>
      </c>
      <c r="G1617" s="1" t="str">
        <f ca="1">IFERROR(__xludf.DUMMYFUNCTION("""COMPUTED_VALUE"""),"12.9581/77.6123")</f>
        <v>12.9581/77.6123</v>
      </c>
      <c r="H1617" s="1" t="str">
        <f ca="1">IFERROR(__xludf.DUMMYFUNCTION("""COMPUTED_VALUE"""),"Hotel Royal Heritage")</f>
        <v>Hotel Royal Heritage</v>
      </c>
      <c r="I1617" s="1"/>
      <c r="J1617" s="1" t="str">
        <f ca="1">IFERROR(__xludf.DUMMYFUNCTION("""COMPUTED_VALUE"""),"0d 00h 00m")</f>
        <v>0d 00h 00m</v>
      </c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13.2">
      <c r="A1618" s="1">
        <f ca="1">IFERROR(__xludf.DUMMYFUNCTION("""COMPUTED_VALUE"""),152)</f>
        <v>152</v>
      </c>
      <c r="B1618" s="1" t="str">
        <f ca="1">IFERROR(__xludf.DUMMYFUNCTION("""COMPUTED_VALUE"""),"SE1_KA04AA9030_DESILTING")</f>
        <v>SE1_KA04AA9030_DESILTING</v>
      </c>
      <c r="C1618" s="1" t="str">
        <f ca="1">IFERROR(__xludf.DUMMYFUNCTION("""COMPUTED_VALUE"""),"se1_ka04aa9030_desilting")</f>
        <v>se1_ka04aa9030_desilting</v>
      </c>
      <c r="D1618" s="2">
        <f ca="1">IFERROR(__xludf.DUMMYFUNCTION("""COMPUTED_VALUE"""),44769)</f>
        <v>44769</v>
      </c>
      <c r="E1618" s="3">
        <f ca="1">IFERROR(__xludf.DUMMYFUNCTION("""COMPUTED_VALUE"""),0.999050925925985)</f>
        <v>0.99905092592598499</v>
      </c>
      <c r="F1618" s="1">
        <f ca="1">IFERROR(__xludf.DUMMYFUNCTION("""COMPUTED_VALUE"""),10136)</f>
        <v>10136</v>
      </c>
      <c r="G1618" s="1" t="str">
        <f ca="1">IFERROR(__xludf.DUMMYFUNCTION("""COMPUTED_VALUE"""),"12.9581/77.6121")</f>
        <v>12.9581/77.6121</v>
      </c>
      <c r="H1618" s="1" t="str">
        <f ca="1">IFERROR(__xludf.DUMMYFUNCTION("""COMPUTED_VALUE"""),"Hotel Royal Heritage")</f>
        <v>Hotel Royal Heritage</v>
      </c>
      <c r="I1618" s="1"/>
      <c r="J1618" s="1" t="str">
        <f ca="1">IFERROR(__xludf.DUMMYFUNCTION("""COMPUTED_VALUE"""),"0d 00h 00m")</f>
        <v>0d 00h 00m</v>
      </c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13.2">
      <c r="A1619" s="1">
        <f ca="1">IFERROR(__xludf.DUMMYFUNCTION("""COMPUTED_VALUE"""),154)</f>
        <v>154</v>
      </c>
      <c r="B1619" s="1" t="str">
        <f ca="1">IFERROR(__xludf.DUMMYFUNCTION("""COMPUTED_VALUE"""),"SE1_KA04AA9030_DESILTING")</f>
        <v>SE1_KA04AA9030_DESILTING</v>
      </c>
      <c r="C1619" s="1" t="str">
        <f ca="1">IFERROR(__xludf.DUMMYFUNCTION("""COMPUTED_VALUE"""),"se1_ka04aa9030_desilting")</f>
        <v>se1_ka04aa9030_desilting</v>
      </c>
      <c r="D1619" s="2">
        <f ca="1">IFERROR(__xludf.DUMMYFUNCTION("""COMPUTED_VALUE"""),44860)</f>
        <v>44860</v>
      </c>
      <c r="E1619" s="3">
        <f ca="1">IFERROR(__xludf.DUMMYFUNCTION("""COMPUTED_VALUE"""),0.999120370372111)</f>
        <v>0.99912037037211099</v>
      </c>
      <c r="F1619" s="1">
        <f ca="1">IFERROR(__xludf.DUMMYFUNCTION("""COMPUTED_VALUE"""),11222)</f>
        <v>11222</v>
      </c>
      <c r="G1619" s="1" t="str">
        <f ca="1">IFERROR(__xludf.DUMMYFUNCTION("""COMPUTED_VALUE"""),"12.9581/77.6123")</f>
        <v>12.9581/77.6123</v>
      </c>
      <c r="H1619" s="1" t="str">
        <f ca="1">IFERROR(__xludf.DUMMYFUNCTION("""COMPUTED_VALUE"""),"Hotel Royal Heritage")</f>
        <v>Hotel Royal Heritage</v>
      </c>
      <c r="I1619" s="1"/>
      <c r="J1619" s="1" t="str">
        <f ca="1">IFERROR(__xludf.DUMMYFUNCTION("""COMPUTED_VALUE"""),"0d 00h 00m")</f>
        <v>0d 00h 00m</v>
      </c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13.2">
      <c r="A1620" s="1">
        <f ca="1">IFERROR(__xludf.DUMMYFUNCTION("""COMPUTED_VALUE"""),134)</f>
        <v>134</v>
      </c>
      <c r="B1620" s="1" t="str">
        <f ca="1">IFERROR(__xludf.DUMMYFUNCTION("""COMPUTED_VALUE"""),"SE1_KA04AA9030_DESILTING")</f>
        <v>SE1_KA04AA9030_DESILTING</v>
      </c>
      <c r="C1620" s="1" t="str">
        <f ca="1">IFERROR(__xludf.DUMMYFUNCTION("""COMPUTED_VALUE"""),"se1_ka04aa9030_desilting")</f>
        <v>se1_ka04aa9030_desilting</v>
      </c>
      <c r="D1620" s="2">
        <f ca="1">IFERROR(__xludf.DUMMYFUNCTION("""COMPUTED_VALUE"""),44929)</f>
        <v>44929</v>
      </c>
      <c r="E1620" s="3">
        <f ca="1">IFERROR(__xludf.DUMMYFUNCTION("""COMPUTED_VALUE"""),0.824525462961901)</f>
        <v>0.82452546296190099</v>
      </c>
      <c r="F1620" s="1">
        <f ca="1">IFERROR(__xludf.DUMMYFUNCTION("""COMPUTED_VALUE"""),11481)</f>
        <v>11481</v>
      </c>
      <c r="G1620" s="1" t="str">
        <f ca="1">IFERROR(__xludf.DUMMYFUNCTION("""COMPUTED_VALUE"""),"12.9580/77.6123")</f>
        <v>12.9580/77.6123</v>
      </c>
      <c r="H1620" s="1" t="str">
        <f ca="1">IFERROR(__xludf.DUMMYFUNCTION("""COMPUTED_VALUE"""),"Hotel Royal Heritage")</f>
        <v>Hotel Royal Heritage</v>
      </c>
      <c r="I1620" s="1"/>
      <c r="J1620" s="1" t="str">
        <f ca="1">IFERROR(__xludf.DUMMYFUNCTION("""COMPUTED_VALUE"""),"0d 00h 00m")</f>
        <v>0d 00h 00m</v>
      </c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13.2">
      <c r="A1621" s="1">
        <f ca="1">IFERROR(__xludf.DUMMYFUNCTION("""COMPUTED_VALUE"""),136)</f>
        <v>136</v>
      </c>
      <c r="B1621" s="1" t="str">
        <f ca="1">IFERROR(__xludf.DUMMYFUNCTION("""COMPUTED_VALUE"""),"SE1_KA04AA9030_DESILTING")</f>
        <v>SE1_KA04AA9030_DESILTING</v>
      </c>
      <c r="C1621" s="1" t="str">
        <f ca="1">IFERROR(__xludf.DUMMYFUNCTION("""COMPUTED_VALUE"""),"se1_ka04aa9030_desilting")</f>
        <v>se1_ka04aa9030_desilting</v>
      </c>
      <c r="D1621" s="2">
        <f ca="1">IFERROR(__xludf.DUMMYFUNCTION("""COMPUTED_VALUE"""),44967)</f>
        <v>44967</v>
      </c>
      <c r="E1621" s="3">
        <f ca="1">IFERROR(__xludf.DUMMYFUNCTION("""COMPUTED_VALUE"""),0.526400462964375)</f>
        <v>0.52640046296437504</v>
      </c>
      <c r="F1621" s="1">
        <f ca="1">IFERROR(__xludf.DUMMYFUNCTION("""COMPUTED_VALUE"""),11515)</f>
        <v>11515</v>
      </c>
      <c r="G1621" s="1" t="str">
        <f ca="1">IFERROR(__xludf.DUMMYFUNCTION("""COMPUTED_VALUE"""),"12.9518/77.6095")</f>
        <v>12.9518/77.6095</v>
      </c>
      <c r="H1621" s="1" t="str">
        <f ca="1">IFERROR(__xludf.DUMMYFUNCTION("""COMPUTED_VALUE"""),"Hotel Royal Heritage")</f>
        <v>Hotel Royal Heritage</v>
      </c>
      <c r="I1621" s="1"/>
      <c r="J1621" s="1" t="str">
        <f ca="1">IFERROR(__xludf.DUMMYFUNCTION("""COMPUTED_VALUE"""),"0d 00h 00m")</f>
        <v>0d 00h 00m</v>
      </c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13.2">
      <c r="A1622" s="1">
        <f ca="1">IFERROR(__xludf.DUMMYFUNCTION("""COMPUTED_VALUE"""),151)</f>
        <v>151</v>
      </c>
      <c r="B1622" s="1" t="str">
        <f ca="1">IFERROR(__xludf.DUMMYFUNCTION("""COMPUTED_VALUE"""),"SE1_KA04AA9030_DESILTING")</f>
        <v>SE1_KA04AA9030_DESILTING</v>
      </c>
      <c r="C1622" s="1" t="str">
        <f ca="1">IFERROR(__xludf.DUMMYFUNCTION("""COMPUTED_VALUE"""),"se1_ka04aa9030_desilting")</f>
        <v>se1_ka04aa9030_desilting</v>
      </c>
      <c r="D1622" s="2">
        <f ca="1">IFERROR(__xludf.DUMMYFUNCTION("""COMPUTED_VALUE"""),45134)</f>
        <v>45134</v>
      </c>
      <c r="E1622" s="3">
        <f ca="1">IFERROR(__xludf.DUMMYFUNCTION("""COMPUTED_VALUE"""),0.998993055556638)</f>
        <v>0.99899305555663798</v>
      </c>
      <c r="F1622" s="1">
        <f ca="1">IFERROR(__xludf.DUMMYFUNCTION("""COMPUTED_VALUE"""),11882)</f>
        <v>11882</v>
      </c>
      <c r="G1622" s="1" t="str">
        <f ca="1">IFERROR(__xludf.DUMMYFUNCTION("""COMPUTED_VALUE"""),"12.9580/77.6123")</f>
        <v>12.9580/77.6123</v>
      </c>
      <c r="H1622" s="1" t="str">
        <f ca="1">IFERROR(__xludf.DUMMYFUNCTION("""COMPUTED_VALUE"""),"Hotel Royal Heritage")</f>
        <v>Hotel Royal Heritage</v>
      </c>
      <c r="I1622" s="1"/>
      <c r="J1622" s="1" t="str">
        <f ca="1">IFERROR(__xludf.DUMMYFUNCTION("""COMPUTED_VALUE"""),"0d 00h 00m")</f>
        <v>0d 00h 00m</v>
      </c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13.2">
      <c r="A1623" s="1">
        <f ca="1">IFERROR(__xludf.DUMMYFUNCTION("""COMPUTED_VALUE"""),174)</f>
        <v>174</v>
      </c>
      <c r="B1623" s="1" t="str">
        <f ca="1">IFERROR(__xludf.DUMMYFUNCTION("""COMPUTED_VALUE"""),"SE1_KA04AA9030_DESILTING")</f>
        <v>SE1_KA04AA9030_DESILTING</v>
      </c>
      <c r="C1623" s="1" t="str">
        <f ca="1">IFERROR(__xludf.DUMMYFUNCTION("""COMPUTED_VALUE"""),"se1_ka04aa9030_desilting")</f>
        <v>se1_ka04aa9030_desilting</v>
      </c>
      <c r="D1623" s="2">
        <f ca="1">IFERROR(__xludf.DUMMYFUNCTION("""COMPUTED_VALUE"""),45226)</f>
        <v>45226</v>
      </c>
      <c r="E1623" s="3">
        <f ca="1">IFERROR(__xludf.DUMMYFUNCTION("""COMPUTED_VALUE"""),0.999305555556929)</f>
        <v>0.99930555555692901</v>
      </c>
      <c r="F1623" s="1">
        <f ca="1">IFERROR(__xludf.DUMMYFUNCTION("""COMPUTED_VALUE"""),13374)</f>
        <v>13374</v>
      </c>
      <c r="G1623" s="1" t="str">
        <f ca="1">IFERROR(__xludf.DUMMYFUNCTION("""COMPUTED_VALUE"""),"12.9579/77.6122")</f>
        <v>12.9579/77.6122</v>
      </c>
      <c r="H1623" s="1" t="str">
        <f ca="1">IFERROR(__xludf.DUMMYFUNCTION("""COMPUTED_VALUE"""),"Hotel Royal Heritage")</f>
        <v>Hotel Royal Heritage</v>
      </c>
      <c r="I1623" s="1"/>
      <c r="J1623" s="1" t="str">
        <f ca="1">IFERROR(__xludf.DUMMYFUNCTION("""COMPUTED_VALUE"""),"0d 00h 00m")</f>
        <v>0d 00h 00m</v>
      </c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13.2">
      <c r="A1624" s="1">
        <f ca="1">IFERROR(__xludf.DUMMYFUNCTION("""COMPUTED_VALUE"""),165)</f>
        <v>165</v>
      </c>
      <c r="B1624" s="1" t="str">
        <f ca="1">IFERROR(__xludf.DUMMYFUNCTION("""COMPUTED_VALUE"""),"SE1_KA04AA9030_DESILTING")</f>
        <v>SE1_KA04AA9030_DESILTING</v>
      </c>
      <c r="C1624" s="1" t="str">
        <f ca="1">IFERROR(__xludf.DUMMYFUNCTION("""COMPUTED_VALUE"""),"se1_ka04aa9030_desilting")</f>
        <v>se1_ka04aa9030_desilting</v>
      </c>
      <c r="D1624" s="2">
        <f ca="1">IFERROR(__xludf.DUMMYFUNCTION("""COMPUTED_VALUE"""),45315)</f>
        <v>45315</v>
      </c>
      <c r="E1624" s="3">
        <f ca="1">IFERROR(__xludf.DUMMYFUNCTION("""COMPUTED_VALUE"""),0.786979166667151)</f>
        <v>0.78697916666715095</v>
      </c>
      <c r="F1624" s="1">
        <f ca="1">IFERROR(__xludf.DUMMYFUNCTION("""COMPUTED_VALUE"""),14675)</f>
        <v>14675</v>
      </c>
      <c r="G1624" s="1" t="str">
        <f ca="1">IFERROR(__xludf.DUMMYFUNCTION("""COMPUTED_VALUE"""),"12.9580/77.6124")</f>
        <v>12.9580/77.6124</v>
      </c>
      <c r="H1624" s="1" t="str">
        <f ca="1">IFERROR(__xludf.DUMMYFUNCTION("""COMPUTED_VALUE"""),"Hotel Royal Heritage")</f>
        <v>Hotel Royal Heritage</v>
      </c>
      <c r="I1624" s="1"/>
      <c r="J1624" s="1" t="str">
        <f ca="1">IFERROR(__xludf.DUMMYFUNCTION("""COMPUTED_VALUE"""),"0d 00h 00m")</f>
        <v>0d 00h 00m</v>
      </c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13.2">
      <c r="A1625" s="1">
        <f ca="1">IFERROR(__xludf.DUMMYFUNCTION("""COMPUTED_VALUE"""),171)</f>
        <v>171</v>
      </c>
      <c r="B1625" s="1" t="str">
        <f ca="1">IFERROR(__xludf.DUMMYFUNCTION("""COMPUTED_VALUE"""),"SE1_KA04AB5793_Jetting")</f>
        <v>SE1_KA04AB5793_Jetting</v>
      </c>
      <c r="C1625" s="1" t="str">
        <f ca="1">IFERROR(__xludf.DUMMYFUNCTION("""COMPUTED_VALUE"""),"se1_ka04ab5793_jetting")</f>
        <v>se1_ka04ab5793_jetting</v>
      </c>
      <c r="D1625" s="2">
        <f ca="1">IFERROR(__xludf.DUMMYFUNCTION("""COMPUTED_VALUE"""),44707)</f>
        <v>44707</v>
      </c>
      <c r="E1625" s="3">
        <f ca="1">IFERROR(__xludf.DUMMYFUNCTION("""COMPUTED_VALUE"""),0.999050925925985)</f>
        <v>0.99905092592598499</v>
      </c>
      <c r="F1625" s="1">
        <f ca="1">IFERROR(__xludf.DUMMYFUNCTION("""COMPUTED_VALUE"""),11347)</f>
        <v>11347</v>
      </c>
      <c r="G1625" s="1" t="str">
        <f ca="1">IFERROR(__xludf.DUMMYFUNCTION("""COMPUTED_VALUE"""),"12.9580/77.6123")</f>
        <v>12.9580/77.6123</v>
      </c>
      <c r="H1625" s="1" t="str">
        <f ca="1">IFERROR(__xludf.DUMMYFUNCTION("""COMPUTED_VALUE"""),"Hotel Royal Heritage")</f>
        <v>Hotel Royal Heritage</v>
      </c>
      <c r="I1625" s="1"/>
      <c r="J1625" s="1" t="str">
        <f ca="1">IFERROR(__xludf.DUMMYFUNCTION("""COMPUTED_VALUE"""),"0d 00h 00m")</f>
        <v>0d 00h 00m</v>
      </c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13.2">
      <c r="A1626" s="1">
        <f ca="1">IFERROR(__xludf.DUMMYFUNCTION("""COMPUTED_VALUE"""),224)</f>
        <v>224</v>
      </c>
      <c r="B1626" s="1" t="str">
        <f ca="1">IFERROR(__xludf.DUMMYFUNCTION("""COMPUTED_VALUE"""),"SE1_KA04AB5793_Jetting")</f>
        <v>SE1_KA04AB5793_Jetting</v>
      </c>
      <c r="C1626" s="1" t="str">
        <f ca="1">IFERROR(__xludf.DUMMYFUNCTION("""COMPUTED_VALUE"""),"se1_ka04ab5793_jetting")</f>
        <v>se1_ka04ab5793_jetting</v>
      </c>
      <c r="D1626" s="2">
        <f ca="1">IFERROR(__xludf.DUMMYFUNCTION("""COMPUTED_VALUE"""),44738)</f>
        <v>44738</v>
      </c>
      <c r="E1626" s="3">
        <f ca="1">IFERROR(__xludf.DUMMYFUNCTION("""COMPUTED_VALUE"""),0.999259259260725)</f>
        <v>0.99925925926072501</v>
      </c>
      <c r="F1626" s="1">
        <f ca="1">IFERROR(__xludf.DUMMYFUNCTION("""COMPUTED_VALUE"""),11712)</f>
        <v>11712</v>
      </c>
      <c r="G1626" s="1" t="str">
        <f ca="1">IFERROR(__xludf.DUMMYFUNCTION("""COMPUTED_VALUE"""),"12.9582/77.6123")</f>
        <v>12.9582/77.6123</v>
      </c>
      <c r="H1626" s="1" t="str">
        <f ca="1">IFERROR(__xludf.DUMMYFUNCTION("""COMPUTED_VALUE"""),"Hotel Royal Heritage")</f>
        <v>Hotel Royal Heritage</v>
      </c>
      <c r="I1626" s="1"/>
      <c r="J1626" s="1" t="str">
        <f ca="1">IFERROR(__xludf.DUMMYFUNCTION("""COMPUTED_VALUE"""),"0d 00h 00m")</f>
        <v>0d 00h 00m</v>
      </c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13.2">
      <c r="A1627" s="1">
        <f ca="1">IFERROR(__xludf.DUMMYFUNCTION("""COMPUTED_VALUE"""),172)</f>
        <v>172</v>
      </c>
      <c r="B1627" s="1" t="str">
        <f ca="1">IFERROR(__xludf.DUMMYFUNCTION("""COMPUTED_VALUE"""),"SE1_KA04AB5793_Jetting")</f>
        <v>SE1_KA04AB5793_Jetting</v>
      </c>
      <c r="C1627" s="1" t="str">
        <f ca="1">IFERROR(__xludf.DUMMYFUNCTION("""COMPUTED_VALUE"""),"se1_ka04ab5793_jetting")</f>
        <v>se1_ka04ab5793_jetting</v>
      </c>
      <c r="D1627" s="2">
        <f ca="1">IFERROR(__xludf.DUMMYFUNCTION("""COMPUTED_VALUE"""),44768)</f>
        <v>44768</v>
      </c>
      <c r="E1627" s="3">
        <f ca="1">IFERROR(__xludf.DUMMYFUNCTION("""COMPUTED_VALUE"""),0.998993055556638)</f>
        <v>0.99899305555663798</v>
      </c>
      <c r="F1627" s="1">
        <f ca="1">IFERROR(__xludf.DUMMYFUNCTION("""COMPUTED_VALUE"""),12142)</f>
        <v>12142</v>
      </c>
      <c r="G1627" s="1" t="str">
        <f ca="1">IFERROR(__xludf.DUMMYFUNCTION("""COMPUTED_VALUE"""),"12.9581/77.6123")</f>
        <v>12.9581/77.6123</v>
      </c>
      <c r="H1627" s="1" t="str">
        <f ca="1">IFERROR(__xludf.DUMMYFUNCTION("""COMPUTED_VALUE"""),"Hotel Royal Heritage")</f>
        <v>Hotel Royal Heritage</v>
      </c>
      <c r="I1627" s="1"/>
      <c r="J1627" s="1" t="str">
        <f ca="1">IFERROR(__xludf.DUMMYFUNCTION("""COMPUTED_VALUE"""),"0d 00h 00m")</f>
        <v>0d 00h 00m</v>
      </c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13.2">
      <c r="A1628" s="1">
        <f ca="1">IFERROR(__xludf.DUMMYFUNCTION("""COMPUTED_VALUE"""),227)</f>
        <v>227</v>
      </c>
      <c r="B1628" s="1" t="str">
        <f ca="1">IFERROR(__xludf.DUMMYFUNCTION("""COMPUTED_VALUE"""),"SE1_KA04AB5793_Jetting")</f>
        <v>SE1_KA04AB5793_Jetting</v>
      </c>
      <c r="C1628" s="1" t="str">
        <f ca="1">IFERROR(__xludf.DUMMYFUNCTION("""COMPUTED_VALUE"""),"se1_ka04ab5793_jetting")</f>
        <v>se1_ka04ab5793_jetting</v>
      </c>
      <c r="D1628" s="2">
        <f ca="1">IFERROR(__xludf.DUMMYFUNCTION("""COMPUTED_VALUE"""),44799)</f>
        <v>44799</v>
      </c>
      <c r="E1628" s="3">
        <f ca="1">IFERROR(__xludf.DUMMYFUNCTION("""COMPUTED_VALUE"""),0.999259259260725)</f>
        <v>0.99925925926072501</v>
      </c>
      <c r="F1628" s="1">
        <f ca="1">IFERROR(__xludf.DUMMYFUNCTION("""COMPUTED_VALUE"""),12738)</f>
        <v>12738</v>
      </c>
      <c r="G1628" s="1" t="str">
        <f ca="1">IFERROR(__xludf.DUMMYFUNCTION("""COMPUTED_VALUE"""),"12.9583/77.6123")</f>
        <v>12.9583/77.6123</v>
      </c>
      <c r="H1628" s="1" t="str">
        <f ca="1">IFERROR(__xludf.DUMMYFUNCTION("""COMPUTED_VALUE"""),"Hotel Royal Heritage")</f>
        <v>Hotel Royal Heritage</v>
      </c>
      <c r="I1628" s="1"/>
      <c r="J1628" s="1" t="str">
        <f ca="1">IFERROR(__xludf.DUMMYFUNCTION("""COMPUTED_VALUE"""),"0d 00h 00m")</f>
        <v>0d 00h 00m</v>
      </c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13.2">
      <c r="A1629" s="1">
        <f ca="1">IFERROR(__xludf.DUMMYFUNCTION("""COMPUTED_VALUE"""),210)</f>
        <v>210</v>
      </c>
      <c r="B1629" s="1" t="str">
        <f ca="1">IFERROR(__xludf.DUMMYFUNCTION("""COMPUTED_VALUE"""),"SE1_KA04AB5793_Jetting")</f>
        <v>SE1_KA04AB5793_Jetting</v>
      </c>
      <c r="C1629" s="1" t="str">
        <f ca="1">IFERROR(__xludf.DUMMYFUNCTION("""COMPUTED_VALUE"""),"se1_ka04ab5793_jetting")</f>
        <v>se1_ka04ab5793_jetting</v>
      </c>
      <c r="D1629" s="2">
        <f ca="1">IFERROR(__xludf.DUMMYFUNCTION("""COMPUTED_VALUE"""),44830)</f>
        <v>44830</v>
      </c>
      <c r="E1629" s="3">
        <f ca="1">IFERROR(__xludf.DUMMYFUNCTION("""COMPUTED_VALUE"""),0.99920138888774)</f>
        <v>0.99920138888774002</v>
      </c>
      <c r="F1629" s="1">
        <f ca="1">IFERROR(__xludf.DUMMYFUNCTION("""COMPUTED_VALUE"""),13291)</f>
        <v>13291</v>
      </c>
      <c r="G1629" s="1" t="str">
        <f ca="1">IFERROR(__xludf.DUMMYFUNCTION("""COMPUTED_VALUE"""),"12.9581/77.6125")</f>
        <v>12.9581/77.6125</v>
      </c>
      <c r="H1629" s="1" t="str">
        <f ca="1">IFERROR(__xludf.DUMMYFUNCTION("""COMPUTED_VALUE"""),"Hotel Royal Heritage")</f>
        <v>Hotel Royal Heritage</v>
      </c>
      <c r="I1629" s="1"/>
      <c r="J1629" s="1" t="str">
        <f ca="1">IFERROR(__xludf.DUMMYFUNCTION("""COMPUTED_VALUE"""),"0d 00h 00m")</f>
        <v>0d 00h 00m</v>
      </c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13.2">
      <c r="A1630" s="1">
        <f ca="1">IFERROR(__xludf.DUMMYFUNCTION("""COMPUTED_VALUE"""),184)</f>
        <v>184</v>
      </c>
      <c r="B1630" s="1" t="str">
        <f ca="1">IFERROR(__xludf.DUMMYFUNCTION("""COMPUTED_VALUE"""),"SE1_KA04AB5793_Jetting")</f>
        <v>SE1_KA04AB5793_Jetting</v>
      </c>
      <c r="C1630" s="1" t="str">
        <f ca="1">IFERROR(__xludf.DUMMYFUNCTION("""COMPUTED_VALUE"""),"se1_ka04ab5793_jetting")</f>
        <v>se1_ka04ab5793_jetting</v>
      </c>
      <c r="D1630" s="2">
        <f ca="1">IFERROR(__xludf.DUMMYFUNCTION("""COMPUTED_VALUE"""),44860)</f>
        <v>44860</v>
      </c>
      <c r="E1630" s="3">
        <f ca="1">IFERROR(__xludf.DUMMYFUNCTION("""COMPUTED_VALUE"""),0.999097222222189)</f>
        <v>0.999097222222189</v>
      </c>
      <c r="F1630" s="1">
        <f ca="1">IFERROR(__xludf.DUMMYFUNCTION("""COMPUTED_VALUE"""),13652)</f>
        <v>13652</v>
      </c>
      <c r="G1630" s="1" t="str">
        <f ca="1">IFERROR(__xludf.DUMMYFUNCTION("""COMPUTED_VALUE"""),"12.9582/77.6123")</f>
        <v>12.9582/77.6123</v>
      </c>
      <c r="H1630" s="1" t="str">
        <f ca="1">IFERROR(__xludf.DUMMYFUNCTION("""COMPUTED_VALUE"""),"Hotel Royal Heritage")</f>
        <v>Hotel Royal Heritage</v>
      </c>
      <c r="I1630" s="1"/>
      <c r="J1630" s="1" t="str">
        <f ca="1">IFERROR(__xludf.DUMMYFUNCTION("""COMPUTED_VALUE"""),"0d 00h 00m")</f>
        <v>0d 00h 00m</v>
      </c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13.2">
      <c r="A1631" s="1">
        <f ca="1">IFERROR(__xludf.DUMMYFUNCTION("""COMPUTED_VALUE"""),158)</f>
        <v>158</v>
      </c>
      <c r="B1631" s="1" t="str">
        <f ca="1">IFERROR(__xludf.DUMMYFUNCTION("""COMPUTED_VALUE"""),"SE1_KA04AB5793_JETTING")</f>
        <v>SE1_KA04AB5793_JETTING</v>
      </c>
      <c r="C1631" s="1" t="str">
        <f ca="1">IFERROR(__xludf.DUMMYFUNCTION("""COMPUTED_VALUE"""),"se1_ka04ab5793_jetting")</f>
        <v>se1_ka04ab5793_jetting</v>
      </c>
      <c r="D1631" s="2">
        <f ca="1">IFERROR(__xludf.DUMMYFUNCTION("""COMPUTED_VALUE"""),44769)</f>
        <v>44769</v>
      </c>
      <c r="E1631" s="3">
        <f ca="1">IFERROR(__xludf.DUMMYFUNCTION("""COMPUTED_VALUE"""),0.999317129630071)</f>
        <v>0.99931712963007102</v>
      </c>
      <c r="F1631" s="1">
        <f ca="1">IFERROR(__xludf.DUMMYFUNCTION("""COMPUTED_VALUE"""),12162)</f>
        <v>12162</v>
      </c>
      <c r="G1631" s="1" t="str">
        <f ca="1">IFERROR(__xludf.DUMMYFUNCTION("""COMPUTED_VALUE"""),"12.9582/77.6123")</f>
        <v>12.9582/77.6123</v>
      </c>
      <c r="H1631" s="1" t="str">
        <f ca="1">IFERROR(__xludf.DUMMYFUNCTION("""COMPUTED_VALUE"""),"Hotel Royal Heritage")</f>
        <v>Hotel Royal Heritage</v>
      </c>
      <c r="I1631" s="1"/>
      <c r="J1631" s="1" t="str">
        <f ca="1">IFERROR(__xludf.DUMMYFUNCTION("""COMPUTED_VALUE"""),"0d 00h 00m")</f>
        <v>0d 00h 00m</v>
      </c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13.2">
      <c r="A1632" s="1">
        <f ca="1">IFERROR(__xludf.DUMMYFUNCTION("""COMPUTED_VALUE"""),152)</f>
        <v>152</v>
      </c>
      <c r="B1632" s="1" t="str">
        <f ca="1">IFERROR(__xludf.DUMMYFUNCTION("""COMPUTED_VALUE"""),"SE1_KA04AB5793_JETTING")</f>
        <v>SE1_KA04AB5793_JETTING</v>
      </c>
      <c r="C1632" s="1" t="str">
        <f ca="1">IFERROR(__xludf.DUMMYFUNCTION("""COMPUTED_VALUE"""),"se1_ka04ab5793_jetting")</f>
        <v>se1_ka04ab5793_jetting</v>
      </c>
      <c r="D1632" s="2">
        <f ca="1">IFERROR(__xludf.DUMMYFUNCTION("""COMPUTED_VALUE"""),44860)</f>
        <v>44860</v>
      </c>
      <c r="E1632" s="3">
        <f ca="1">IFERROR(__xludf.DUMMYFUNCTION("""COMPUTED_VALUE"""),0.999097222222189)</f>
        <v>0.999097222222189</v>
      </c>
      <c r="F1632" s="1">
        <f ca="1">IFERROR(__xludf.DUMMYFUNCTION("""COMPUTED_VALUE"""),13652)</f>
        <v>13652</v>
      </c>
      <c r="G1632" s="1" t="str">
        <f ca="1">IFERROR(__xludf.DUMMYFUNCTION("""COMPUTED_VALUE"""),"12.9582/77.6123")</f>
        <v>12.9582/77.6123</v>
      </c>
      <c r="H1632" s="1" t="str">
        <f ca="1">IFERROR(__xludf.DUMMYFUNCTION("""COMPUTED_VALUE"""),"Hotel Royal Heritage")</f>
        <v>Hotel Royal Heritage</v>
      </c>
      <c r="I1632" s="1"/>
      <c r="J1632" s="1" t="str">
        <f ca="1">IFERROR(__xludf.DUMMYFUNCTION("""COMPUTED_VALUE"""),"0d 00h 00m")</f>
        <v>0d 00h 00m</v>
      </c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13.2">
      <c r="A1633" s="1">
        <f ca="1">IFERROR(__xludf.DUMMYFUNCTION("""COMPUTED_VALUE"""),151)</f>
        <v>151</v>
      </c>
      <c r="B1633" s="1" t="str">
        <f ca="1">IFERROR(__xludf.DUMMYFUNCTION("""COMPUTED_VALUE"""),"SE1_KA04AB5793_JETTING")</f>
        <v>SE1_KA04AB5793_JETTING</v>
      </c>
      <c r="C1633" s="1" t="str">
        <f ca="1">IFERROR(__xludf.DUMMYFUNCTION("""COMPUTED_VALUE"""),"se1_ka04ab5793_jetting")</f>
        <v>se1_ka04ab5793_jetting</v>
      </c>
      <c r="D1633" s="2">
        <f ca="1">IFERROR(__xludf.DUMMYFUNCTION("""COMPUTED_VALUE"""),44952)</f>
        <v>44952</v>
      </c>
      <c r="E1633" s="3">
        <f ca="1">IFERROR(__xludf.DUMMYFUNCTION("""COMPUTED_VALUE"""),0.999039351852843)</f>
        <v>0.99903935185284298</v>
      </c>
      <c r="F1633" s="1">
        <f ca="1">IFERROR(__xludf.DUMMYFUNCTION("""COMPUTED_VALUE"""),15162)</f>
        <v>15162</v>
      </c>
      <c r="G1633" s="1" t="str">
        <f ca="1">IFERROR(__xludf.DUMMYFUNCTION("""COMPUTED_VALUE"""),"12.9583/77.6123")</f>
        <v>12.9583/77.6123</v>
      </c>
      <c r="H1633" s="1" t="str">
        <f ca="1">IFERROR(__xludf.DUMMYFUNCTION("""COMPUTED_VALUE"""),"Hotel Royal Heritage")</f>
        <v>Hotel Royal Heritage</v>
      </c>
      <c r="I1633" s="1"/>
      <c r="J1633" s="1" t="str">
        <f ca="1">IFERROR(__xludf.DUMMYFUNCTION("""COMPUTED_VALUE"""),"0d 00h 00m")</f>
        <v>0d 00h 00m</v>
      </c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13.2">
      <c r="A1634" s="1">
        <f ca="1">IFERROR(__xludf.DUMMYFUNCTION("""COMPUTED_VALUE"""),159)</f>
        <v>159</v>
      </c>
      <c r="B1634" s="1" t="str">
        <f ca="1">IFERROR(__xludf.DUMMYFUNCTION("""COMPUTED_VALUE"""),"SE1_KA04AB5793_JETTING")</f>
        <v>SE1_KA04AB5793_JETTING</v>
      </c>
      <c r="C1634" s="1" t="str">
        <f ca="1">IFERROR(__xludf.DUMMYFUNCTION("""COMPUTED_VALUE"""),"se1_ka04ab5793_jetting")</f>
        <v>se1_ka04ab5793_jetting</v>
      </c>
      <c r="D1634" s="2">
        <f ca="1">IFERROR(__xludf.DUMMYFUNCTION("""COMPUTED_VALUE"""),45042)</f>
        <v>45042</v>
      </c>
      <c r="E1634" s="3">
        <f ca="1">IFERROR(__xludf.DUMMYFUNCTION("""COMPUTED_VALUE"""),0.999131944445252)</f>
        <v>0.999131944445252</v>
      </c>
      <c r="F1634" s="1">
        <f ca="1">IFERROR(__xludf.DUMMYFUNCTION("""COMPUTED_VALUE"""),16542)</f>
        <v>16542</v>
      </c>
      <c r="G1634" s="1" t="str">
        <f ca="1">IFERROR(__xludf.DUMMYFUNCTION("""COMPUTED_VALUE"""),"12.9582/77.6123")</f>
        <v>12.9582/77.6123</v>
      </c>
      <c r="H1634" s="1" t="str">
        <f ca="1">IFERROR(__xludf.DUMMYFUNCTION("""COMPUTED_VALUE"""),"Hotel Royal Heritage")</f>
        <v>Hotel Royal Heritage</v>
      </c>
      <c r="I1634" s="1"/>
      <c r="J1634" s="1" t="str">
        <f ca="1">IFERROR(__xludf.DUMMYFUNCTION("""COMPUTED_VALUE"""),"0d 00h 00m")</f>
        <v>0d 00h 00m</v>
      </c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13.2">
      <c r="A1635" s="1">
        <f ca="1">IFERROR(__xludf.DUMMYFUNCTION("""COMPUTED_VALUE"""),164)</f>
        <v>164</v>
      </c>
      <c r="B1635" s="1" t="str">
        <f ca="1">IFERROR(__xludf.DUMMYFUNCTION("""COMPUTED_VALUE"""),"SE1_KA04AB5793_JETTING")</f>
        <v>SE1_KA04AB5793_JETTING</v>
      </c>
      <c r="C1635" s="1" t="str">
        <f ca="1">IFERROR(__xludf.DUMMYFUNCTION("""COMPUTED_VALUE"""),"se1_ka04ab5793_jetting")</f>
        <v>se1_ka04ab5793_jetting</v>
      </c>
      <c r="D1635" s="2">
        <f ca="1">IFERROR(__xludf.DUMMYFUNCTION("""COMPUTED_VALUE"""),45134)</f>
        <v>45134</v>
      </c>
      <c r="E1635" s="3">
        <f ca="1">IFERROR(__xludf.DUMMYFUNCTION("""COMPUTED_VALUE"""),0.99921296296452)</f>
        <v>0.99921296296452</v>
      </c>
      <c r="F1635" s="1">
        <f ca="1">IFERROR(__xludf.DUMMYFUNCTION("""COMPUTED_VALUE"""),18031)</f>
        <v>18031</v>
      </c>
      <c r="G1635" s="1" t="str">
        <f ca="1">IFERROR(__xludf.DUMMYFUNCTION("""COMPUTED_VALUE"""),"12.9663/77.5879")</f>
        <v>12.9663/77.5879</v>
      </c>
      <c r="H1635" s="1" t="str">
        <f ca="1">IFERROR(__xludf.DUMMYFUNCTION("""COMPUTED_VALUE"""),"BBMP")</f>
        <v>BBMP</v>
      </c>
      <c r="I1635" s="1"/>
      <c r="J1635" s="1" t="str">
        <f ca="1">IFERROR(__xludf.DUMMYFUNCTION("""COMPUTED_VALUE"""),"0d 00h 00m")</f>
        <v>0d 00h 00m</v>
      </c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13.2">
      <c r="A1636" s="1">
        <f ca="1">IFERROR(__xludf.DUMMYFUNCTION("""COMPUTED_VALUE"""),165)</f>
        <v>165</v>
      </c>
      <c r="B1636" s="1" t="str">
        <f ca="1">IFERROR(__xludf.DUMMYFUNCTION("""COMPUTED_VALUE"""),"SE1_KA04AB5793_JETTING")</f>
        <v>SE1_KA04AB5793_JETTING</v>
      </c>
      <c r="C1636" s="1" t="str">
        <f ca="1">IFERROR(__xludf.DUMMYFUNCTION("""COMPUTED_VALUE"""),"se1_ka04ab5793_jetting")</f>
        <v>se1_ka04ab5793_jetting</v>
      </c>
      <c r="D1636" s="2">
        <f ca="1">IFERROR(__xludf.DUMMYFUNCTION("""COMPUTED_VALUE"""),45226)</f>
        <v>45226</v>
      </c>
      <c r="E1636" s="3">
        <f ca="1">IFERROR(__xludf.DUMMYFUNCTION("""COMPUTED_VALUE"""),0.999120370372111)</f>
        <v>0.99912037037211099</v>
      </c>
      <c r="F1636" s="1">
        <f ca="1">IFERROR(__xludf.DUMMYFUNCTION("""COMPUTED_VALUE"""),19394)</f>
        <v>19394</v>
      </c>
      <c r="G1636" s="1" t="str">
        <f ca="1">IFERROR(__xludf.DUMMYFUNCTION("""COMPUTED_VALUE"""),"12.9580/77.6123")</f>
        <v>12.9580/77.6123</v>
      </c>
      <c r="H1636" s="1" t="str">
        <f ca="1">IFERROR(__xludf.DUMMYFUNCTION("""COMPUTED_VALUE"""),"Hotel Royal Heritage")</f>
        <v>Hotel Royal Heritage</v>
      </c>
      <c r="I1636" s="1"/>
      <c r="J1636" s="1" t="str">
        <f ca="1">IFERROR(__xludf.DUMMYFUNCTION("""COMPUTED_VALUE"""),"0d 00h 00m")</f>
        <v>0d 00h 00m</v>
      </c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13.2">
      <c r="A1637" s="1">
        <f ca="1">IFERROR(__xludf.DUMMYFUNCTION("""COMPUTED_VALUE"""),167)</f>
        <v>167</v>
      </c>
      <c r="B1637" s="1" t="str">
        <f ca="1">IFERROR(__xludf.DUMMYFUNCTION("""COMPUTED_VALUE"""),"SE1_KA04AB5793_JETTING")</f>
        <v>SE1_KA04AB5793_JETTING</v>
      </c>
      <c r="C1637" s="1" t="str">
        <f ca="1">IFERROR(__xludf.DUMMYFUNCTION("""COMPUTED_VALUE"""),"se1_ka04ab5793_jetting")</f>
        <v>se1_ka04ab5793_jetting</v>
      </c>
      <c r="D1637" s="2">
        <f ca="1">IFERROR(__xludf.DUMMYFUNCTION("""COMPUTED_VALUE"""),45315)</f>
        <v>45315</v>
      </c>
      <c r="E1637" s="3">
        <f ca="1">IFERROR(__xludf.DUMMYFUNCTION("""COMPUTED_VALUE"""),0.787002314813435)</f>
        <v>0.78700231481343497</v>
      </c>
      <c r="F1637" s="1">
        <f ca="1">IFERROR(__xludf.DUMMYFUNCTION("""COMPUTED_VALUE"""),20931)</f>
        <v>20931</v>
      </c>
      <c r="G1637" s="1" t="str">
        <f ca="1">IFERROR(__xludf.DUMMYFUNCTION("""COMPUTED_VALUE"""),"12.9582/77.6124")</f>
        <v>12.9582/77.6124</v>
      </c>
      <c r="H1637" s="1" t="str">
        <f ca="1">IFERROR(__xludf.DUMMYFUNCTION("""COMPUTED_VALUE"""),"Hotel Royal Heritage")</f>
        <v>Hotel Royal Heritage</v>
      </c>
      <c r="I1637" s="1"/>
      <c r="J1637" s="1" t="str">
        <f ca="1">IFERROR(__xludf.DUMMYFUNCTION("""COMPUTED_VALUE"""),"0d 00h 00m")</f>
        <v>0d 00h 00m</v>
      </c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13.2">
      <c r="A1638" s="1">
        <f ca="1">IFERROR(__xludf.DUMMYFUNCTION("""COMPUTED_VALUE"""),224)</f>
        <v>224</v>
      </c>
      <c r="B1638" s="1" t="str">
        <f ca="1">IFERROR(__xludf.DUMMYFUNCTION("""COMPUTED_VALUE"""),"SE1_KA04AB5794_Jetting")</f>
        <v>SE1_KA04AB5794_Jetting</v>
      </c>
      <c r="C1638" s="1" t="str">
        <f ca="1">IFERROR(__xludf.DUMMYFUNCTION("""COMPUTED_VALUE"""),"se1_ka04ab5794_jetting")</f>
        <v>se1_ka04ab5794_jetting</v>
      </c>
      <c r="D1638" s="2">
        <f ca="1">IFERROR(__xludf.DUMMYFUNCTION("""COMPUTED_VALUE"""),44707)</f>
        <v>44707</v>
      </c>
      <c r="E1638" s="3">
        <f ca="1">IFERROR(__xludf.DUMMYFUNCTION("""COMPUTED_VALUE"""),0.99929398148015)</f>
        <v>0.99929398148015003</v>
      </c>
      <c r="F1638" s="1">
        <f ca="1">IFERROR(__xludf.DUMMYFUNCTION("""COMPUTED_VALUE"""),11180)</f>
        <v>11180</v>
      </c>
      <c r="G1638" s="1" t="str">
        <f ca="1">IFERROR(__xludf.DUMMYFUNCTION("""COMPUTED_VALUE"""),"12.9581/77.6123")</f>
        <v>12.9581/77.6123</v>
      </c>
      <c r="H1638" s="1" t="str">
        <f ca="1">IFERROR(__xludf.DUMMYFUNCTION("""COMPUTED_VALUE"""),"Hotel Royal Heritage")</f>
        <v>Hotel Royal Heritage</v>
      </c>
      <c r="I1638" s="1"/>
      <c r="J1638" s="1" t="str">
        <f ca="1">IFERROR(__xludf.DUMMYFUNCTION("""COMPUTED_VALUE"""),"0d 00h 00m")</f>
        <v>0d 00h 00m</v>
      </c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13.2">
      <c r="A1639" s="1">
        <f ca="1">IFERROR(__xludf.DUMMYFUNCTION("""COMPUTED_VALUE"""),170)</f>
        <v>170</v>
      </c>
      <c r="B1639" s="1" t="str">
        <f ca="1">IFERROR(__xludf.DUMMYFUNCTION("""COMPUTED_VALUE"""),"SE1_KA04AB5794_Jetting")</f>
        <v>SE1_KA04AB5794_Jetting</v>
      </c>
      <c r="C1639" s="1" t="str">
        <f ca="1">IFERROR(__xludf.DUMMYFUNCTION("""COMPUTED_VALUE"""),"se1_ka04ab5794_jetting")</f>
        <v>se1_ka04ab5794_jetting</v>
      </c>
      <c r="D1639" s="2">
        <f ca="1">IFERROR(__xludf.DUMMYFUNCTION("""COMPUTED_VALUE"""),44738)</f>
        <v>44738</v>
      </c>
      <c r="E1639" s="3">
        <f ca="1">IFERROR(__xludf.DUMMYFUNCTION("""COMPUTED_VALUE"""),0.999027777776063)</f>
        <v>0.999027777776063</v>
      </c>
      <c r="F1639" s="1">
        <f ca="1">IFERROR(__xludf.DUMMYFUNCTION("""COMPUTED_VALUE"""),11663)</f>
        <v>11663</v>
      </c>
      <c r="G1639" s="1" t="str">
        <f ca="1">IFERROR(__xludf.DUMMYFUNCTION("""COMPUTED_VALUE"""),"12.9580/77.6123")</f>
        <v>12.9580/77.6123</v>
      </c>
      <c r="H1639" s="1" t="str">
        <f ca="1">IFERROR(__xludf.DUMMYFUNCTION("""COMPUTED_VALUE"""),"Hotel Royal Heritage")</f>
        <v>Hotel Royal Heritage</v>
      </c>
      <c r="I1639" s="1"/>
      <c r="J1639" s="1" t="str">
        <f ca="1">IFERROR(__xludf.DUMMYFUNCTION("""COMPUTED_VALUE"""),"0d 00h 00m")</f>
        <v>0d 00h 00m</v>
      </c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13.2">
      <c r="A1640" s="1">
        <f ca="1">IFERROR(__xludf.DUMMYFUNCTION("""COMPUTED_VALUE"""),189)</f>
        <v>189</v>
      </c>
      <c r="B1640" s="1" t="str">
        <f ca="1">IFERROR(__xludf.DUMMYFUNCTION("""COMPUTED_VALUE"""),"SE1_KA04AB5794_Jetting")</f>
        <v>SE1_KA04AB5794_Jetting</v>
      </c>
      <c r="C1640" s="1" t="str">
        <f ca="1">IFERROR(__xludf.DUMMYFUNCTION("""COMPUTED_VALUE"""),"se1_ka04ab5794_jetting")</f>
        <v>se1_ka04ab5794_jetting</v>
      </c>
      <c r="D1640" s="2">
        <f ca="1">IFERROR(__xludf.DUMMYFUNCTION("""COMPUTED_VALUE"""),44768)</f>
        <v>44768</v>
      </c>
      <c r="E1640" s="3">
        <f ca="1">IFERROR(__xludf.DUMMYFUNCTION("""COMPUTED_VALUE"""),0.999085648149048)</f>
        <v>0.99908564814904799</v>
      </c>
      <c r="F1640" s="1">
        <f ca="1">IFERROR(__xludf.DUMMYFUNCTION("""COMPUTED_VALUE"""),12181)</f>
        <v>12181</v>
      </c>
      <c r="G1640" s="1" t="str">
        <f ca="1">IFERROR(__xludf.DUMMYFUNCTION("""COMPUTED_VALUE"""),"12.9581/77.6123")</f>
        <v>12.9581/77.6123</v>
      </c>
      <c r="H1640" s="1" t="str">
        <f ca="1">IFERROR(__xludf.DUMMYFUNCTION("""COMPUTED_VALUE"""),"Hotel Royal Heritage")</f>
        <v>Hotel Royal Heritage</v>
      </c>
      <c r="I1640" s="1"/>
      <c r="J1640" s="1" t="str">
        <f ca="1">IFERROR(__xludf.DUMMYFUNCTION("""COMPUTED_VALUE"""),"0d 00h 00m")</f>
        <v>0d 00h 00m</v>
      </c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13.2">
      <c r="A1641" s="1">
        <f ca="1">IFERROR(__xludf.DUMMYFUNCTION("""COMPUTED_VALUE"""),226)</f>
        <v>226</v>
      </c>
      <c r="B1641" s="1" t="str">
        <f ca="1">IFERROR(__xludf.DUMMYFUNCTION("""COMPUTED_VALUE"""),"SE1_KA04AB5794_Jetting")</f>
        <v>SE1_KA04AB5794_Jetting</v>
      </c>
      <c r="C1641" s="1" t="str">
        <f ca="1">IFERROR(__xludf.DUMMYFUNCTION("""COMPUTED_VALUE"""),"se1_ka04ab5794_jetting")</f>
        <v>se1_ka04ab5794_jetting</v>
      </c>
      <c r="D1641" s="2">
        <f ca="1">IFERROR(__xludf.DUMMYFUNCTION("""COMPUTED_VALUE"""),44799)</f>
        <v>44799</v>
      </c>
      <c r="E1641" s="3">
        <f ca="1">IFERROR(__xludf.DUMMYFUNCTION("""COMPUTED_VALUE"""),0.999259259260725)</f>
        <v>0.99925925926072501</v>
      </c>
      <c r="F1641" s="1">
        <f ca="1">IFERROR(__xludf.DUMMYFUNCTION("""COMPUTED_VALUE"""),12661)</f>
        <v>12661</v>
      </c>
      <c r="G1641" s="1" t="str">
        <f ca="1">IFERROR(__xludf.DUMMYFUNCTION("""COMPUTED_VALUE"""),"12.9582/77.6123")</f>
        <v>12.9582/77.6123</v>
      </c>
      <c r="H1641" s="1" t="str">
        <f ca="1">IFERROR(__xludf.DUMMYFUNCTION("""COMPUTED_VALUE"""),"Hotel Royal Heritage")</f>
        <v>Hotel Royal Heritage</v>
      </c>
      <c r="I1641" s="1"/>
      <c r="J1641" s="1" t="str">
        <f ca="1">IFERROR(__xludf.DUMMYFUNCTION("""COMPUTED_VALUE"""),"0d 00h 00m")</f>
        <v>0d 00h 00m</v>
      </c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13.2">
      <c r="A1642" s="1">
        <f ca="1">IFERROR(__xludf.DUMMYFUNCTION("""COMPUTED_VALUE"""),170)</f>
        <v>170</v>
      </c>
      <c r="B1642" s="1" t="str">
        <f ca="1">IFERROR(__xludf.DUMMYFUNCTION("""COMPUTED_VALUE"""),"SE1_KA04AB5794_Jetting")</f>
        <v>SE1_KA04AB5794_Jetting</v>
      </c>
      <c r="C1642" s="1" t="str">
        <f ca="1">IFERROR(__xludf.DUMMYFUNCTION("""COMPUTED_VALUE"""),"se1_ka04ab5794_jetting")</f>
        <v>se1_ka04ab5794_jetting</v>
      </c>
      <c r="D1642" s="2">
        <f ca="1">IFERROR(__xludf.DUMMYFUNCTION("""COMPUTED_VALUE"""),44830)</f>
        <v>44830</v>
      </c>
      <c r="E1642" s="3">
        <f ca="1">IFERROR(__xludf.DUMMYFUNCTION("""COMPUTED_VALUE"""),0.99900462962978)</f>
        <v>0.99900462962977998</v>
      </c>
      <c r="F1642" s="1">
        <f ca="1">IFERROR(__xludf.DUMMYFUNCTION("""COMPUTED_VALUE"""),13231)</f>
        <v>13231</v>
      </c>
      <c r="G1642" s="1" t="str">
        <f ca="1">IFERROR(__xludf.DUMMYFUNCTION("""COMPUTED_VALUE"""),"12.9581/77.6124")</f>
        <v>12.9581/77.6124</v>
      </c>
      <c r="H1642" s="1" t="str">
        <f ca="1">IFERROR(__xludf.DUMMYFUNCTION("""COMPUTED_VALUE"""),"Hotel Royal Heritage")</f>
        <v>Hotel Royal Heritage</v>
      </c>
      <c r="I1642" s="1"/>
      <c r="J1642" s="1" t="str">
        <f ca="1">IFERROR(__xludf.DUMMYFUNCTION("""COMPUTED_VALUE"""),"0d 00h 00m")</f>
        <v>0d 00h 00m</v>
      </c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13.2">
      <c r="A1643" s="1">
        <f ca="1">IFERROR(__xludf.DUMMYFUNCTION("""COMPUTED_VALUE"""),204)</f>
        <v>204</v>
      </c>
      <c r="B1643" s="1" t="str">
        <f ca="1">IFERROR(__xludf.DUMMYFUNCTION("""COMPUTED_VALUE"""),"SE1_KA04AB5794_Jetting")</f>
        <v>SE1_KA04AB5794_Jetting</v>
      </c>
      <c r="C1643" s="1" t="str">
        <f ca="1">IFERROR(__xludf.DUMMYFUNCTION("""COMPUTED_VALUE"""),"se1_ka04ab5794_jetting")</f>
        <v>se1_ka04ab5794_jetting</v>
      </c>
      <c r="D1643" s="2">
        <f ca="1">IFERROR(__xludf.DUMMYFUNCTION("""COMPUTED_VALUE"""),44860)</f>
        <v>44860</v>
      </c>
      <c r="E1643" s="3">
        <f ca="1">IFERROR(__xludf.DUMMYFUNCTION("""COMPUTED_VALUE"""),0.999178240741457)</f>
        <v>0.999178240741457</v>
      </c>
      <c r="F1643" s="1">
        <f ca="1">IFERROR(__xludf.DUMMYFUNCTION("""COMPUTED_VALUE"""),13637)</f>
        <v>13637</v>
      </c>
      <c r="G1643" s="1" t="str">
        <f ca="1">IFERROR(__xludf.DUMMYFUNCTION("""COMPUTED_VALUE"""),"12.9582/77.6123")</f>
        <v>12.9582/77.6123</v>
      </c>
      <c r="H1643" s="1" t="str">
        <f ca="1">IFERROR(__xludf.DUMMYFUNCTION("""COMPUTED_VALUE"""),"Hotel Royal Heritage")</f>
        <v>Hotel Royal Heritage</v>
      </c>
      <c r="I1643" s="1"/>
      <c r="J1643" s="1" t="str">
        <f ca="1">IFERROR(__xludf.DUMMYFUNCTION("""COMPUTED_VALUE"""),"0d 00h 00m")</f>
        <v>0d 00h 00m</v>
      </c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13.2">
      <c r="A1644" s="1">
        <f ca="1">IFERROR(__xludf.DUMMYFUNCTION("""COMPUTED_VALUE"""),149)</f>
        <v>149</v>
      </c>
      <c r="B1644" s="1" t="str">
        <f ca="1">IFERROR(__xludf.DUMMYFUNCTION("""COMPUTED_VALUE"""),"SE1_KA04AB5794_JETTING")</f>
        <v>SE1_KA04AB5794_JETTING</v>
      </c>
      <c r="C1644" s="1" t="str">
        <f ca="1">IFERROR(__xludf.DUMMYFUNCTION("""COMPUTED_VALUE"""),"se1_ka04ab5794_jetting")</f>
        <v>se1_ka04ab5794_jetting</v>
      </c>
      <c r="D1644" s="2">
        <f ca="1">IFERROR(__xludf.DUMMYFUNCTION("""COMPUTED_VALUE"""),44769)</f>
        <v>44769</v>
      </c>
      <c r="E1644" s="3">
        <f ca="1">IFERROR(__xludf.DUMMYFUNCTION("""COMPUTED_VALUE"""),0.999039351852843)</f>
        <v>0.99903935185284298</v>
      </c>
      <c r="F1644" s="1">
        <f ca="1">IFERROR(__xludf.DUMMYFUNCTION("""COMPUTED_VALUE"""),12204)</f>
        <v>12204</v>
      </c>
      <c r="G1644" s="1" t="str">
        <f ca="1">IFERROR(__xludf.DUMMYFUNCTION("""COMPUTED_VALUE"""),"12.9662/77.5878")</f>
        <v>12.9662/77.5878</v>
      </c>
      <c r="H1644" s="1" t="str">
        <f ca="1">IFERROR(__xludf.DUMMYFUNCTION("""COMPUTED_VALUE"""),"BBMP")</f>
        <v>BBMP</v>
      </c>
      <c r="I1644" s="1"/>
      <c r="J1644" s="1" t="str">
        <f ca="1">IFERROR(__xludf.DUMMYFUNCTION("""COMPUTED_VALUE"""),"0d 00h 00m")</f>
        <v>0d 00h 00m</v>
      </c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13.2">
      <c r="A1645" s="1">
        <f ca="1">IFERROR(__xludf.DUMMYFUNCTION("""COMPUTED_VALUE"""),155)</f>
        <v>155</v>
      </c>
      <c r="B1645" s="1" t="str">
        <f ca="1">IFERROR(__xludf.DUMMYFUNCTION("""COMPUTED_VALUE"""),"SE1_KA04AB5794_JETTING")</f>
        <v>SE1_KA04AB5794_JETTING</v>
      </c>
      <c r="C1645" s="1" t="str">
        <f ca="1">IFERROR(__xludf.DUMMYFUNCTION("""COMPUTED_VALUE"""),"se1_ka04ab5794_jetting")</f>
        <v>se1_ka04ab5794_jetting</v>
      </c>
      <c r="D1645" s="2">
        <f ca="1">IFERROR(__xludf.DUMMYFUNCTION("""COMPUTED_VALUE"""),44860)</f>
        <v>44860</v>
      </c>
      <c r="E1645" s="3">
        <f ca="1">IFERROR(__xludf.DUMMYFUNCTION("""COMPUTED_VALUE"""),0.999178240741457)</f>
        <v>0.999178240741457</v>
      </c>
      <c r="F1645" s="1">
        <f ca="1">IFERROR(__xludf.DUMMYFUNCTION("""COMPUTED_VALUE"""),13637)</f>
        <v>13637</v>
      </c>
      <c r="G1645" s="1" t="str">
        <f ca="1">IFERROR(__xludf.DUMMYFUNCTION("""COMPUTED_VALUE"""),"12.9582/77.6123")</f>
        <v>12.9582/77.6123</v>
      </c>
      <c r="H1645" s="1" t="str">
        <f ca="1">IFERROR(__xludf.DUMMYFUNCTION("""COMPUTED_VALUE"""),"Hotel Royal Heritage")</f>
        <v>Hotel Royal Heritage</v>
      </c>
      <c r="I1645" s="1"/>
      <c r="J1645" s="1" t="str">
        <f ca="1">IFERROR(__xludf.DUMMYFUNCTION("""COMPUTED_VALUE"""),"0d 00h 00m")</f>
        <v>0d 00h 00m</v>
      </c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13.2">
      <c r="A1646" s="1">
        <f ca="1">IFERROR(__xludf.DUMMYFUNCTION("""COMPUTED_VALUE"""),150)</f>
        <v>150</v>
      </c>
      <c r="B1646" s="1" t="str">
        <f ca="1">IFERROR(__xludf.DUMMYFUNCTION("""COMPUTED_VALUE"""),"SE1_KA04AB5794_JETTING")</f>
        <v>SE1_KA04AB5794_JETTING</v>
      </c>
      <c r="C1646" s="1" t="str">
        <f ca="1">IFERROR(__xludf.DUMMYFUNCTION("""COMPUTED_VALUE"""),"se1_ka04ab5794_jetting")</f>
        <v>se1_ka04ab5794_jetting</v>
      </c>
      <c r="D1646" s="2">
        <f ca="1">IFERROR(__xludf.DUMMYFUNCTION("""COMPUTED_VALUE"""),44952)</f>
        <v>44952</v>
      </c>
      <c r="E1646" s="3">
        <f ca="1">IFERROR(__xludf.DUMMYFUNCTION("""COMPUTED_VALUE"""),0.999039351852843)</f>
        <v>0.99903935185284298</v>
      </c>
      <c r="F1646" s="1">
        <f ca="1">IFERROR(__xludf.DUMMYFUNCTION("""COMPUTED_VALUE"""),14843)</f>
        <v>14843</v>
      </c>
      <c r="G1646" s="1" t="str">
        <f ca="1">IFERROR(__xludf.DUMMYFUNCTION("""COMPUTED_VALUE"""),"12.9581/77.6124")</f>
        <v>12.9581/77.6124</v>
      </c>
      <c r="H1646" s="1" t="str">
        <f ca="1">IFERROR(__xludf.DUMMYFUNCTION("""COMPUTED_VALUE"""),"Hotel Royal Heritage")</f>
        <v>Hotel Royal Heritage</v>
      </c>
      <c r="I1646" s="1"/>
      <c r="J1646" s="1" t="str">
        <f ca="1">IFERROR(__xludf.DUMMYFUNCTION("""COMPUTED_VALUE"""),"0d 00h 00m")</f>
        <v>0d 00h 00m</v>
      </c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13.2">
      <c r="A1647" s="1">
        <f ca="1">IFERROR(__xludf.DUMMYFUNCTION("""COMPUTED_VALUE"""),154)</f>
        <v>154</v>
      </c>
      <c r="B1647" s="1" t="str">
        <f ca="1">IFERROR(__xludf.DUMMYFUNCTION("""COMPUTED_VALUE"""),"SE1_KA04AB5794_JETTING")</f>
        <v>SE1_KA04AB5794_JETTING</v>
      </c>
      <c r="C1647" s="1" t="str">
        <f ca="1">IFERROR(__xludf.DUMMYFUNCTION("""COMPUTED_VALUE"""),"se1_ka04ab5794_jetting")</f>
        <v>se1_ka04ab5794_jetting</v>
      </c>
      <c r="D1647" s="2">
        <f ca="1">IFERROR(__xludf.DUMMYFUNCTION("""COMPUTED_VALUE"""),45042)</f>
        <v>45042</v>
      </c>
      <c r="E1647" s="3">
        <f ca="1">IFERROR(__xludf.DUMMYFUNCTION("""COMPUTED_VALUE"""),0.998993055556638)</f>
        <v>0.99899305555663798</v>
      </c>
      <c r="F1647" s="1">
        <f ca="1">IFERROR(__xludf.DUMMYFUNCTION("""COMPUTED_VALUE"""),1128)</f>
        <v>1128</v>
      </c>
      <c r="G1647" s="1" t="str">
        <f ca="1">IFERROR(__xludf.DUMMYFUNCTION("""COMPUTED_VALUE"""),"12.9581/77.6122")</f>
        <v>12.9581/77.6122</v>
      </c>
      <c r="H1647" s="1" t="str">
        <f ca="1">IFERROR(__xludf.DUMMYFUNCTION("""COMPUTED_VALUE"""),"Hotel Royal Heritage")</f>
        <v>Hotel Royal Heritage</v>
      </c>
      <c r="I1647" s="1"/>
      <c r="J1647" s="1" t="str">
        <f ca="1">IFERROR(__xludf.DUMMYFUNCTION("""COMPUTED_VALUE"""),"0d 00h 00m")</f>
        <v>0d 00h 00m</v>
      </c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13.2">
      <c r="A1648" s="1">
        <f ca="1">IFERROR(__xludf.DUMMYFUNCTION("""COMPUTED_VALUE"""),152)</f>
        <v>152</v>
      </c>
      <c r="B1648" s="1" t="str">
        <f ca="1">IFERROR(__xludf.DUMMYFUNCTION("""COMPUTED_VALUE"""),"SE1_KA04AB5794_JETTING")</f>
        <v>SE1_KA04AB5794_JETTING</v>
      </c>
      <c r="C1648" s="1" t="str">
        <f ca="1">IFERROR(__xludf.DUMMYFUNCTION("""COMPUTED_VALUE"""),"se1_ka04ab5794_jetting")</f>
        <v>se1_ka04ab5794_jetting</v>
      </c>
      <c r="D1648" s="2">
        <f ca="1">IFERROR(__xludf.DUMMYFUNCTION("""COMPUTED_VALUE"""),45134)</f>
        <v>45134</v>
      </c>
      <c r="E1648" s="3">
        <f ca="1">IFERROR(__xludf.DUMMYFUNCTION("""COMPUTED_VALUE"""),0.99900462962978)</f>
        <v>0.99900462962977998</v>
      </c>
      <c r="F1648" s="1">
        <f ca="1">IFERROR(__xludf.DUMMYFUNCTION("""COMPUTED_VALUE"""),2853)</f>
        <v>2853</v>
      </c>
      <c r="G1648" s="1" t="str">
        <f ca="1">IFERROR(__xludf.DUMMYFUNCTION("""COMPUTED_VALUE"""),"12.9581/77.6122")</f>
        <v>12.9581/77.6122</v>
      </c>
      <c r="H1648" s="1" t="str">
        <f ca="1">IFERROR(__xludf.DUMMYFUNCTION("""COMPUTED_VALUE"""),"Hotel Royal Heritage")</f>
        <v>Hotel Royal Heritage</v>
      </c>
      <c r="I1648" s="1"/>
      <c r="J1648" s="1" t="str">
        <f ca="1">IFERROR(__xludf.DUMMYFUNCTION("""COMPUTED_VALUE"""),"0d 00h 00m")</f>
        <v>0d 00h 00m</v>
      </c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13.2">
      <c r="A1649" s="1">
        <f ca="1">IFERROR(__xludf.DUMMYFUNCTION("""COMPUTED_VALUE"""),175)</f>
        <v>175</v>
      </c>
      <c r="B1649" s="1" t="str">
        <f ca="1">IFERROR(__xludf.DUMMYFUNCTION("""COMPUTED_VALUE"""),"SE1_KA04AB5794_JETTING")</f>
        <v>SE1_KA04AB5794_JETTING</v>
      </c>
      <c r="C1649" s="1" t="str">
        <f ca="1">IFERROR(__xludf.DUMMYFUNCTION("""COMPUTED_VALUE"""),"se1_ka04ab5794_jetting")</f>
        <v>se1_ka04ab5794_jetting</v>
      </c>
      <c r="D1649" s="2">
        <f ca="1">IFERROR(__xludf.DUMMYFUNCTION("""COMPUTED_VALUE"""),45226)</f>
        <v>45226</v>
      </c>
      <c r="E1649" s="3">
        <f ca="1">IFERROR(__xludf.DUMMYFUNCTION("""COMPUTED_VALUE"""),0.999317129630071)</f>
        <v>0.99931712963007102</v>
      </c>
      <c r="F1649" s="1">
        <f ca="1">IFERROR(__xludf.DUMMYFUNCTION("""COMPUTED_VALUE"""),4322)</f>
        <v>4322</v>
      </c>
      <c r="G1649" s="1" t="str">
        <f ca="1">IFERROR(__xludf.DUMMYFUNCTION("""COMPUTED_VALUE"""),"12.9581/77.6123")</f>
        <v>12.9581/77.6123</v>
      </c>
      <c r="H1649" s="1" t="str">
        <f ca="1">IFERROR(__xludf.DUMMYFUNCTION("""COMPUTED_VALUE"""),"Hotel Royal Heritage")</f>
        <v>Hotel Royal Heritage</v>
      </c>
      <c r="I1649" s="1"/>
      <c r="J1649" s="1" t="str">
        <f ca="1">IFERROR(__xludf.DUMMYFUNCTION("""COMPUTED_VALUE"""),"0d 00h 00m")</f>
        <v>0d 00h 00m</v>
      </c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13.2">
      <c r="A1650" s="1">
        <f ca="1">IFERROR(__xludf.DUMMYFUNCTION("""COMPUTED_VALUE"""),174)</f>
        <v>174</v>
      </c>
      <c r="B1650" s="1" t="str">
        <f ca="1">IFERROR(__xludf.DUMMYFUNCTION("""COMPUTED_VALUE"""),"SE1_KA04AB5794_JETTING")</f>
        <v>SE1_KA04AB5794_JETTING</v>
      </c>
      <c r="C1650" s="1" t="str">
        <f ca="1">IFERROR(__xludf.DUMMYFUNCTION("""COMPUTED_VALUE"""),"se1_ka04ab5794_jetting")</f>
        <v>se1_ka04ab5794_jetting</v>
      </c>
      <c r="D1650" s="2">
        <f ca="1">IFERROR(__xludf.DUMMYFUNCTION("""COMPUTED_VALUE"""),45315)</f>
        <v>45315</v>
      </c>
      <c r="E1650" s="3">
        <f ca="1">IFERROR(__xludf.DUMMYFUNCTION("""COMPUTED_VALUE"""),0.787094907405844)</f>
        <v>0.78709490740584398</v>
      </c>
      <c r="F1650" s="1">
        <f ca="1">IFERROR(__xludf.DUMMYFUNCTION("""COMPUTED_VALUE"""),5738)</f>
        <v>5738</v>
      </c>
      <c r="G1650" s="1" t="str">
        <f ca="1">IFERROR(__xludf.DUMMYFUNCTION("""COMPUTED_VALUE"""),"12.9580/77.6123")</f>
        <v>12.9580/77.6123</v>
      </c>
      <c r="H1650" s="1" t="str">
        <f ca="1">IFERROR(__xludf.DUMMYFUNCTION("""COMPUTED_VALUE"""),"Hotel Royal Heritage")</f>
        <v>Hotel Royal Heritage</v>
      </c>
      <c r="I1650" s="1"/>
      <c r="J1650" s="1" t="str">
        <f ca="1">IFERROR(__xludf.DUMMYFUNCTION("""COMPUTED_VALUE"""),"0d 00h 00m")</f>
        <v>0d 00h 00m</v>
      </c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13.2">
      <c r="A1651" s="1">
        <f ca="1">IFERROR(__xludf.DUMMYFUNCTION("""COMPUTED_VALUE"""),79)</f>
        <v>79</v>
      </c>
      <c r="B1651" s="1" t="str">
        <f ca="1">IFERROR(__xludf.DUMMYFUNCTION("""COMPUTED_VALUE"""),"SE1_KA04C5150_Jetting")</f>
        <v>SE1_KA04C5150_Jetting</v>
      </c>
      <c r="C1651" s="1" t="str">
        <f ca="1">IFERROR(__xludf.DUMMYFUNCTION("""COMPUTED_VALUE"""),"se1_ka04c5150_jetting")</f>
        <v>se1_ka04c5150_jetting</v>
      </c>
      <c r="D1651" s="2">
        <f ca="1">IFERROR(__xludf.DUMMYFUNCTION("""COMPUTED_VALUE"""),44696)</f>
        <v>44696</v>
      </c>
      <c r="E1651" s="3">
        <f ca="1">IFERROR(__xludf.DUMMYFUNCTION("""COMPUTED_VALUE"""),0.253368055557075)</f>
        <v>0.25336805555707498</v>
      </c>
      <c r="F1651" s="1">
        <f ca="1">IFERROR(__xludf.DUMMYFUNCTION("""COMPUTED_VALUE"""),18863)</f>
        <v>18863</v>
      </c>
      <c r="G1651" s="1" t="str">
        <f ca="1">IFERROR(__xludf.DUMMYFUNCTION("""COMPUTED_VALUE"""),"12.9582/77.6123")</f>
        <v>12.9582/77.6123</v>
      </c>
      <c r="H1651" s="1" t="str">
        <f ca="1">IFERROR(__xludf.DUMMYFUNCTION("""COMPUTED_VALUE"""),"Hotel Royal Heritage")</f>
        <v>Hotel Royal Heritage</v>
      </c>
      <c r="I1651" s="1"/>
      <c r="J1651" s="1" t="str">
        <f ca="1">IFERROR(__xludf.DUMMYFUNCTION("""COMPUTED_VALUE"""),"0d 00h 00m")</f>
        <v>0d 00h 00m</v>
      </c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13.2">
      <c r="A1652" s="1">
        <f ca="1">IFERROR(__xludf.DUMMYFUNCTION("""COMPUTED_VALUE"""),69)</f>
        <v>69</v>
      </c>
      <c r="B1652" s="1" t="str">
        <f ca="1">IFERROR(__xludf.DUMMYFUNCTION("""COMPUTED_VALUE"""),"SE1_KA04C5150_Jetting")</f>
        <v>SE1_KA04C5150_Jetting</v>
      </c>
      <c r="C1652" s="1" t="str">
        <f ca="1">IFERROR(__xludf.DUMMYFUNCTION("""COMPUTED_VALUE"""),"se1_ka04c5150_jetting")</f>
        <v>se1_ka04c5150_jetting</v>
      </c>
      <c r="D1652" s="2">
        <f ca="1">IFERROR(__xludf.DUMMYFUNCTION("""COMPUTED_VALUE"""),44716)</f>
        <v>44716</v>
      </c>
      <c r="E1652" s="3">
        <f ca="1">IFERROR(__xludf.DUMMYFUNCTION("""COMPUTED_VALUE"""),0.285856481481459)</f>
        <v>0.28585648148145898</v>
      </c>
      <c r="F1652" s="1">
        <f ca="1">IFERROR(__xludf.DUMMYFUNCTION("""COMPUTED_VALUE"""),18871)</f>
        <v>18871</v>
      </c>
      <c r="G1652" s="1" t="str">
        <f ca="1">IFERROR(__xludf.DUMMYFUNCTION("""COMPUTED_VALUE"""),"13.0103/77.5665")</f>
        <v>13.0103/77.5665</v>
      </c>
      <c r="H1652" s="1" t="str">
        <f ca="1">IFERROR(__xludf.DUMMYFUNCTION("""COMPUTED_VALUE"""),"Malleshwaram")</f>
        <v>Malleshwaram</v>
      </c>
      <c r="I1652" s="1"/>
      <c r="J1652" s="1" t="str">
        <f ca="1">IFERROR(__xludf.DUMMYFUNCTION("""COMPUTED_VALUE"""),"0d 00h 00m")</f>
        <v>0d 00h 00m</v>
      </c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13.2">
      <c r="A1653" s="1">
        <f ca="1">IFERROR(__xludf.DUMMYFUNCTION("""COMPUTED_VALUE"""),55)</f>
        <v>55</v>
      </c>
      <c r="B1653" s="1" t="str">
        <f ca="1">IFERROR(__xludf.DUMMYFUNCTION("""COMPUTED_VALUE"""),"SE1_KA04C5150_Jetting")</f>
        <v>SE1_KA04C5150_Jetting</v>
      </c>
      <c r="C1653" s="1" t="str">
        <f ca="1">IFERROR(__xludf.DUMMYFUNCTION("""COMPUTED_VALUE"""),"se1_ka04c5150_jetting")</f>
        <v>se1_ka04c5150_jetting</v>
      </c>
      <c r="D1653" s="2">
        <f ca="1">IFERROR(__xludf.DUMMYFUNCTION("""COMPUTED_VALUE"""),44716)</f>
        <v>44716</v>
      </c>
      <c r="E1653" s="3">
        <f ca="1">IFERROR(__xludf.DUMMYFUNCTION("""COMPUTED_VALUE"""),0.285856481481459)</f>
        <v>0.28585648148145898</v>
      </c>
      <c r="F1653" s="1">
        <f ca="1">IFERROR(__xludf.DUMMYFUNCTION("""COMPUTED_VALUE"""),18871)</f>
        <v>18871</v>
      </c>
      <c r="G1653" s="1" t="str">
        <f ca="1">IFERROR(__xludf.DUMMYFUNCTION("""COMPUTED_VALUE"""),"13.0103/77.5665")</f>
        <v>13.0103/77.5665</v>
      </c>
      <c r="H1653" s="1" t="str">
        <f ca="1">IFERROR(__xludf.DUMMYFUNCTION("""COMPUTED_VALUE"""),"Malleshwaram")</f>
        <v>Malleshwaram</v>
      </c>
      <c r="I1653" s="1"/>
      <c r="J1653" s="1" t="str">
        <f ca="1">IFERROR(__xludf.DUMMYFUNCTION("""COMPUTED_VALUE"""),"0d 00h 00m")</f>
        <v>0d 00h 00m</v>
      </c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13.2">
      <c r="A1654" s="1">
        <f ca="1">IFERROR(__xludf.DUMMYFUNCTION("""COMPUTED_VALUE"""),54)</f>
        <v>54</v>
      </c>
      <c r="B1654" s="1" t="str">
        <f ca="1">IFERROR(__xludf.DUMMYFUNCTION("""COMPUTED_VALUE"""),"SE1_KA04C5150_Jetting")</f>
        <v>SE1_KA04C5150_Jetting</v>
      </c>
      <c r="C1654" s="1" t="str">
        <f ca="1">IFERROR(__xludf.DUMMYFUNCTION("""COMPUTED_VALUE"""),"se1_ka04c5150_jetting")</f>
        <v>se1_ka04c5150_jetting</v>
      </c>
      <c r="D1654" s="2">
        <f ca="1">IFERROR(__xludf.DUMMYFUNCTION("""COMPUTED_VALUE"""),44716)</f>
        <v>44716</v>
      </c>
      <c r="E1654" s="3">
        <f ca="1">IFERROR(__xludf.DUMMYFUNCTION("""COMPUTED_VALUE"""),0.285856481481459)</f>
        <v>0.28585648148145898</v>
      </c>
      <c r="F1654" s="1">
        <f ca="1">IFERROR(__xludf.DUMMYFUNCTION("""COMPUTED_VALUE"""),18871)</f>
        <v>18871</v>
      </c>
      <c r="G1654" s="1" t="str">
        <f ca="1">IFERROR(__xludf.DUMMYFUNCTION("""COMPUTED_VALUE"""),"13.0103/77.5665")</f>
        <v>13.0103/77.5665</v>
      </c>
      <c r="H1654" s="1" t="str">
        <f ca="1">IFERROR(__xludf.DUMMYFUNCTION("""COMPUTED_VALUE"""),"Malleshwaram")</f>
        <v>Malleshwaram</v>
      </c>
      <c r="I1654" s="1"/>
      <c r="J1654" s="1" t="str">
        <f ca="1">IFERROR(__xludf.DUMMYFUNCTION("""COMPUTED_VALUE"""),"0d 00h 00m")</f>
        <v>0d 00h 00m</v>
      </c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13.2">
      <c r="A1655" s="1">
        <f ca="1">IFERROR(__xludf.DUMMYFUNCTION("""COMPUTED_VALUE"""),169)</f>
        <v>169</v>
      </c>
      <c r="B1655" s="1" t="str">
        <f ca="1">IFERROR(__xludf.DUMMYFUNCTION("""COMPUTED_VALUE"""),"SE1_KA04C5150_Jetting")</f>
        <v>SE1_KA04C5150_Jetting</v>
      </c>
      <c r="C1655" s="1" t="str">
        <f ca="1">IFERROR(__xludf.DUMMYFUNCTION("""COMPUTED_VALUE"""),"se1_ka04c5150_jetting")</f>
        <v>se1_ka04c5150_jetting</v>
      </c>
      <c r="D1655" s="2">
        <f ca="1">IFERROR(__xludf.DUMMYFUNCTION("""COMPUTED_VALUE"""),44830)</f>
        <v>44830</v>
      </c>
      <c r="E1655" s="3">
        <f ca="1">IFERROR(__xludf.DUMMYFUNCTION("""COMPUTED_VALUE"""),0.998993055556638)</f>
        <v>0.99899305555663798</v>
      </c>
      <c r="F1655" s="1">
        <f ca="1">IFERROR(__xludf.DUMMYFUNCTION("""COMPUTED_VALUE"""),19101)</f>
        <v>19101</v>
      </c>
      <c r="G1655" s="1" t="str">
        <f ca="1">IFERROR(__xludf.DUMMYFUNCTION("""COMPUTED_VALUE"""),"12.9582/77.6122")</f>
        <v>12.9582/77.6122</v>
      </c>
      <c r="H1655" s="1" t="str">
        <f ca="1">IFERROR(__xludf.DUMMYFUNCTION("""COMPUTED_VALUE"""),"Hotel Royal Heritage")</f>
        <v>Hotel Royal Heritage</v>
      </c>
      <c r="I1655" s="1"/>
      <c r="J1655" s="1" t="str">
        <f ca="1">IFERROR(__xludf.DUMMYFUNCTION("""COMPUTED_VALUE"""),"0d 00h 00m")</f>
        <v>0d 00h 00m</v>
      </c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13.2">
      <c r="A1656" s="1">
        <f ca="1">IFERROR(__xludf.DUMMYFUNCTION("""COMPUTED_VALUE"""),206)</f>
        <v>206</v>
      </c>
      <c r="B1656" s="1" t="str">
        <f ca="1">IFERROR(__xludf.DUMMYFUNCTION("""COMPUTED_VALUE"""),"SE1_KA04C5150_Jetting")</f>
        <v>SE1_KA04C5150_Jetting</v>
      </c>
      <c r="C1656" s="1" t="str">
        <f ca="1">IFERROR(__xludf.DUMMYFUNCTION("""COMPUTED_VALUE"""),"se1_ka04c5150_jetting")</f>
        <v>se1_ka04c5150_jetting</v>
      </c>
      <c r="D1656" s="2">
        <f ca="1">IFERROR(__xludf.DUMMYFUNCTION("""COMPUTED_VALUE"""),44860)</f>
        <v>44860</v>
      </c>
      <c r="E1656" s="3">
        <f ca="1">IFERROR(__xludf.DUMMYFUNCTION("""COMPUTED_VALUE"""),0.999178240741457)</f>
        <v>0.999178240741457</v>
      </c>
      <c r="F1656" s="1">
        <f ca="1">IFERROR(__xludf.DUMMYFUNCTION("""COMPUTED_VALUE"""),19374)</f>
        <v>19374</v>
      </c>
      <c r="G1656" s="1" t="str">
        <f ca="1">IFERROR(__xludf.DUMMYFUNCTION("""COMPUTED_VALUE"""),"12.9582/77.6123")</f>
        <v>12.9582/77.6123</v>
      </c>
      <c r="H1656" s="1" t="str">
        <f ca="1">IFERROR(__xludf.DUMMYFUNCTION("""COMPUTED_VALUE"""),"Hotel Royal Heritage")</f>
        <v>Hotel Royal Heritage</v>
      </c>
      <c r="I1656" s="1"/>
      <c r="J1656" s="1" t="str">
        <f ca="1">IFERROR(__xludf.DUMMYFUNCTION("""COMPUTED_VALUE"""),"0d 00h 00m")</f>
        <v>0d 00h 00m</v>
      </c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13.2">
      <c r="A1657" s="1">
        <f ca="1">IFERROR(__xludf.DUMMYFUNCTION("""COMPUTED_VALUE"""),127)</f>
        <v>127</v>
      </c>
      <c r="B1657" s="1" t="str">
        <f ca="1">IFERROR(__xludf.DUMMYFUNCTION("""COMPUTED_VALUE"""),"SE1_KA04C5150_JETTING")</f>
        <v>SE1_KA04C5150_JETTING</v>
      </c>
      <c r="C1657" s="1" t="str">
        <f ca="1">IFERROR(__xludf.DUMMYFUNCTION("""COMPUTED_VALUE"""),"se1_ka04c5150_jetting")</f>
        <v>se1_ka04c5150_jetting</v>
      </c>
      <c r="D1657" s="2">
        <f ca="1">IFERROR(__xludf.DUMMYFUNCTION("""COMPUTED_VALUE"""),44716)</f>
        <v>44716</v>
      </c>
      <c r="E1657" s="3">
        <f ca="1">IFERROR(__xludf.DUMMYFUNCTION("""COMPUTED_VALUE"""),0.285856481481459)</f>
        <v>0.28585648148145898</v>
      </c>
      <c r="F1657" s="1">
        <f ca="1">IFERROR(__xludf.DUMMYFUNCTION("""COMPUTED_VALUE"""),18871)</f>
        <v>18871</v>
      </c>
      <c r="G1657" s="1" t="str">
        <f ca="1">IFERROR(__xludf.DUMMYFUNCTION("""COMPUTED_VALUE"""),"13.0103/77.5665")</f>
        <v>13.0103/77.5665</v>
      </c>
      <c r="H1657" s="1" t="str">
        <f ca="1">IFERROR(__xludf.DUMMYFUNCTION("""COMPUTED_VALUE"""),"Malleshwaram")</f>
        <v>Malleshwaram</v>
      </c>
      <c r="I1657" s="1"/>
      <c r="J1657" s="1" t="str">
        <f ca="1">IFERROR(__xludf.DUMMYFUNCTION("""COMPUTED_VALUE"""),"0d 00h 00m")</f>
        <v>0d 00h 00m</v>
      </c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13.2">
      <c r="A1658" s="1">
        <f ca="1">IFERROR(__xludf.DUMMYFUNCTION("""COMPUTED_VALUE"""),156)</f>
        <v>156</v>
      </c>
      <c r="B1658" s="1" t="str">
        <f ca="1">IFERROR(__xludf.DUMMYFUNCTION("""COMPUTED_VALUE"""),"SE1_KA04C5150_JETTING")</f>
        <v>SE1_KA04C5150_JETTING</v>
      </c>
      <c r="C1658" s="1" t="str">
        <f ca="1">IFERROR(__xludf.DUMMYFUNCTION("""COMPUTED_VALUE"""),"se1_ka04c5150_jetting")</f>
        <v>se1_ka04c5150_jetting</v>
      </c>
      <c r="D1658" s="2">
        <f ca="1">IFERROR(__xludf.DUMMYFUNCTION("""COMPUTED_VALUE"""),44860)</f>
        <v>44860</v>
      </c>
      <c r="E1658" s="3">
        <f ca="1">IFERROR(__xludf.DUMMYFUNCTION("""COMPUTED_VALUE"""),0.999178240741457)</f>
        <v>0.999178240741457</v>
      </c>
      <c r="F1658" s="1">
        <f ca="1">IFERROR(__xludf.DUMMYFUNCTION("""COMPUTED_VALUE"""),19374)</f>
        <v>19374</v>
      </c>
      <c r="G1658" s="1" t="str">
        <f ca="1">IFERROR(__xludf.DUMMYFUNCTION("""COMPUTED_VALUE"""),"12.9582/77.6123")</f>
        <v>12.9582/77.6123</v>
      </c>
      <c r="H1658" s="1" t="str">
        <f ca="1">IFERROR(__xludf.DUMMYFUNCTION("""COMPUTED_VALUE"""),"Hotel Royal Heritage")</f>
        <v>Hotel Royal Heritage</v>
      </c>
      <c r="I1658" s="1"/>
      <c r="J1658" s="1" t="str">
        <f ca="1">IFERROR(__xludf.DUMMYFUNCTION("""COMPUTED_VALUE"""),"0d 00h 00m")</f>
        <v>0d 00h 00m</v>
      </c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13.2">
      <c r="A1659" s="1">
        <f ca="1">IFERROR(__xludf.DUMMYFUNCTION("""COMPUTED_VALUE"""),161)</f>
        <v>161</v>
      </c>
      <c r="B1659" s="1" t="str">
        <f ca="1">IFERROR(__xludf.DUMMYFUNCTION("""COMPUTED_VALUE"""),"SE1_KA04C5150_JETTING")</f>
        <v>SE1_KA04C5150_JETTING</v>
      </c>
      <c r="C1659" s="1" t="str">
        <f ca="1">IFERROR(__xludf.DUMMYFUNCTION("""COMPUTED_VALUE"""),"se1_ka04c5150_jetting")</f>
        <v>se1_ka04c5150_jetting</v>
      </c>
      <c r="D1659" s="2">
        <f ca="1">IFERROR(__xludf.DUMMYFUNCTION("""COMPUTED_VALUE"""),44952)</f>
        <v>44952</v>
      </c>
      <c r="E1659" s="3">
        <f ca="1">IFERROR(__xludf.DUMMYFUNCTION("""COMPUTED_VALUE"""),0.999247685183945)</f>
        <v>0.99924768518394502</v>
      </c>
      <c r="F1659" s="1">
        <f ca="1">IFERROR(__xludf.DUMMYFUNCTION("""COMPUTED_VALUE"""),20128)</f>
        <v>20128</v>
      </c>
      <c r="G1659" s="1" t="str">
        <f ca="1">IFERROR(__xludf.DUMMYFUNCTION("""COMPUTED_VALUE"""),"12.9580/77.6122")</f>
        <v>12.9580/77.6122</v>
      </c>
      <c r="H1659" s="1" t="str">
        <f ca="1">IFERROR(__xludf.DUMMYFUNCTION("""COMPUTED_VALUE"""),"Hotel Royal Heritage")</f>
        <v>Hotel Royal Heritage</v>
      </c>
      <c r="I1659" s="1"/>
      <c r="J1659" s="1" t="str">
        <f ca="1">IFERROR(__xludf.DUMMYFUNCTION("""COMPUTED_VALUE"""),"0d 00h 00m")</f>
        <v>0d 00h 00m</v>
      </c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13.2">
      <c r="A1660" s="1">
        <f ca="1">IFERROR(__xludf.DUMMYFUNCTION("""COMPUTED_VALUE"""),156)</f>
        <v>156</v>
      </c>
      <c r="B1660" s="1" t="str">
        <f ca="1">IFERROR(__xludf.DUMMYFUNCTION("""COMPUTED_VALUE"""),"SE1_KA04C5150_JETTING")</f>
        <v>SE1_KA04C5150_JETTING</v>
      </c>
      <c r="C1660" s="1" t="str">
        <f ca="1">IFERROR(__xludf.DUMMYFUNCTION("""COMPUTED_VALUE"""),"se1_ka04c5150_jetting")</f>
        <v>se1_ka04c5150_jetting</v>
      </c>
      <c r="D1660" s="2">
        <f ca="1">IFERROR(__xludf.DUMMYFUNCTION("""COMPUTED_VALUE"""),45042)</f>
        <v>45042</v>
      </c>
      <c r="E1660" s="3">
        <f ca="1">IFERROR(__xludf.DUMMYFUNCTION("""COMPUTED_VALUE"""),0.999039351852843)</f>
        <v>0.99903935185284298</v>
      </c>
      <c r="F1660" s="1">
        <f ca="1">IFERROR(__xludf.DUMMYFUNCTION("""COMPUTED_VALUE"""),12730)</f>
        <v>12730</v>
      </c>
      <c r="G1660" s="1" t="str">
        <f ca="1">IFERROR(__xludf.DUMMYFUNCTION("""COMPUTED_VALUE"""),"13.0103/77.5664")</f>
        <v>13.0103/77.5664</v>
      </c>
      <c r="H1660" s="1" t="str">
        <f ca="1">IFERROR(__xludf.DUMMYFUNCTION("""COMPUTED_VALUE"""),"Malleshwaram")</f>
        <v>Malleshwaram</v>
      </c>
      <c r="I1660" s="1"/>
      <c r="J1660" s="1" t="str">
        <f ca="1">IFERROR(__xludf.DUMMYFUNCTION("""COMPUTED_VALUE"""),"0d 00h 00m")</f>
        <v>0d 00h 00m</v>
      </c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13.2">
      <c r="A1661" s="1">
        <f ca="1">IFERROR(__xludf.DUMMYFUNCTION("""COMPUTED_VALUE"""),166)</f>
        <v>166</v>
      </c>
      <c r="B1661" s="1" t="str">
        <f ca="1">IFERROR(__xludf.DUMMYFUNCTION("""COMPUTED_VALUE"""),"SE1_KA04C5150_JETTING")</f>
        <v>SE1_KA04C5150_JETTING</v>
      </c>
      <c r="C1661" s="1" t="str">
        <f ca="1">IFERROR(__xludf.DUMMYFUNCTION("""COMPUTED_VALUE"""),"se1_ka04c5150_jetting")</f>
        <v>se1_ka04c5150_jetting</v>
      </c>
      <c r="D1661" s="2">
        <f ca="1">IFERROR(__xludf.DUMMYFUNCTION("""COMPUTED_VALUE"""),45134)</f>
        <v>45134</v>
      </c>
      <c r="E1661" s="3">
        <f ca="1">IFERROR(__xludf.DUMMYFUNCTION("""COMPUTED_VALUE"""),0.999270833333866)</f>
        <v>0.99927083333386602</v>
      </c>
      <c r="F1661" s="1">
        <f ca="1">IFERROR(__xludf.DUMMYFUNCTION("""COMPUTED_VALUE"""),13078)</f>
        <v>13078</v>
      </c>
      <c r="G1661" s="1" t="str">
        <f ca="1">IFERROR(__xludf.DUMMYFUNCTION("""COMPUTED_VALUE"""),"12.9580/77.6128")</f>
        <v>12.9580/77.6128</v>
      </c>
      <c r="H1661" s="1" t="str">
        <f ca="1">IFERROR(__xludf.DUMMYFUNCTION("""COMPUTED_VALUE"""),"Hotel Royal Heritage")</f>
        <v>Hotel Royal Heritage</v>
      </c>
      <c r="I1661" s="1"/>
      <c r="J1661" s="1" t="str">
        <f ca="1">IFERROR(__xludf.DUMMYFUNCTION("""COMPUTED_VALUE"""),"0d 00h 00m")</f>
        <v>0d 00h 00m</v>
      </c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13.2">
      <c r="A1662" s="1">
        <f ca="1">IFERROR(__xludf.DUMMYFUNCTION("""COMPUTED_VALUE"""),167)</f>
        <v>167</v>
      </c>
      <c r="B1662" s="1" t="str">
        <f ca="1">IFERROR(__xludf.DUMMYFUNCTION("""COMPUTED_VALUE"""),"SE1_KA04C5150_JETTING")</f>
        <v>SE1_KA04C5150_JETTING</v>
      </c>
      <c r="C1662" s="1" t="str">
        <f ca="1">IFERROR(__xludf.DUMMYFUNCTION("""COMPUTED_VALUE"""),"se1_ka04c5150_jetting")</f>
        <v>se1_ka04c5150_jetting</v>
      </c>
      <c r="D1662" s="2">
        <f ca="1">IFERROR(__xludf.DUMMYFUNCTION("""COMPUTED_VALUE"""),45226)</f>
        <v>45226</v>
      </c>
      <c r="E1662" s="3">
        <f ca="1">IFERROR(__xludf.DUMMYFUNCTION("""COMPUTED_VALUE"""),0.999166666668315)</f>
        <v>0.999166666668315</v>
      </c>
      <c r="F1662" s="1">
        <f ca="1">IFERROR(__xludf.DUMMYFUNCTION("""COMPUTED_VALUE"""),13826)</f>
        <v>13826</v>
      </c>
      <c r="G1662" s="1" t="str">
        <f ca="1">IFERROR(__xludf.DUMMYFUNCTION("""COMPUTED_VALUE"""),"13.0103/77.5667")</f>
        <v>13.0103/77.5667</v>
      </c>
      <c r="H1662" s="1" t="str">
        <f ca="1">IFERROR(__xludf.DUMMYFUNCTION("""COMPUTED_VALUE"""),"Malleshwaram")</f>
        <v>Malleshwaram</v>
      </c>
      <c r="I1662" s="1"/>
      <c r="J1662" s="1" t="str">
        <f ca="1">IFERROR(__xludf.DUMMYFUNCTION("""COMPUTED_VALUE"""),"0d 00h 00m")</f>
        <v>0d 00h 00m</v>
      </c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13.2">
      <c r="A1663" s="1">
        <f ca="1">IFERROR(__xludf.DUMMYFUNCTION("""COMPUTED_VALUE"""),172)</f>
        <v>172</v>
      </c>
      <c r="B1663" s="1" t="str">
        <f ca="1">IFERROR(__xludf.DUMMYFUNCTION("""COMPUTED_VALUE"""),"SE1_KA04C5150_JETTING")</f>
        <v>SE1_KA04C5150_JETTING</v>
      </c>
      <c r="C1663" s="1" t="str">
        <f ca="1">IFERROR(__xludf.DUMMYFUNCTION("""COMPUTED_VALUE"""),"se1_ka04c5150_jetting")</f>
        <v>se1_ka04c5150_jetting</v>
      </c>
      <c r="D1663" s="2">
        <f ca="1">IFERROR(__xludf.DUMMYFUNCTION("""COMPUTED_VALUE"""),45315)</f>
        <v>45315</v>
      </c>
      <c r="E1663" s="3">
        <f ca="1">IFERROR(__xludf.DUMMYFUNCTION("""COMPUTED_VALUE"""),0.787048611109639)</f>
        <v>0.78704861110963897</v>
      </c>
      <c r="F1663" s="1">
        <f ca="1">IFERROR(__xludf.DUMMYFUNCTION("""COMPUTED_VALUE"""),14832)</f>
        <v>14832</v>
      </c>
      <c r="G1663" s="1" t="str">
        <f ca="1">IFERROR(__xludf.DUMMYFUNCTION("""COMPUTED_VALUE"""),"12.9580/77.6122")</f>
        <v>12.9580/77.6122</v>
      </c>
      <c r="H1663" s="1" t="str">
        <f ca="1">IFERROR(__xludf.DUMMYFUNCTION("""COMPUTED_VALUE"""),"Hotel Royal Heritage")</f>
        <v>Hotel Royal Heritage</v>
      </c>
      <c r="I1663" s="1"/>
      <c r="J1663" s="1" t="str">
        <f ca="1">IFERROR(__xludf.DUMMYFUNCTION("""COMPUTED_VALUE"""),"0d 00h 00m")</f>
        <v>0d 00h 00m</v>
      </c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13.2">
      <c r="A1664" s="1">
        <f ca="1">IFERROR(__xludf.DUMMYFUNCTION("""COMPUTED_VALUE"""),34)</f>
        <v>34</v>
      </c>
      <c r="B1664" s="1" t="str">
        <f ca="1">IFERROR(__xludf.DUMMYFUNCTION("""COMPUTED_VALUE"""),"SE1_KA04C5154_Jetting")</f>
        <v>SE1_KA04C5154_Jetting</v>
      </c>
      <c r="C1664" s="1" t="str">
        <f ca="1">IFERROR(__xludf.DUMMYFUNCTION("""COMPUTED_VALUE"""),"se1_ka04c5154_jetting")</f>
        <v>se1_ka04c5154_jetting</v>
      </c>
      <c r="D1664" s="2">
        <f ca="1">IFERROR(__xludf.DUMMYFUNCTION("""COMPUTED_VALUE"""),44378)</f>
        <v>44378</v>
      </c>
      <c r="E1664" s="3">
        <f ca="1">IFERROR(__xludf.DUMMYFUNCTION("""COMPUTED_VALUE"""),0.566655092592554)</f>
        <v>0.56665509259255398</v>
      </c>
      <c r="F1664" s="1">
        <f ca="1">IFERROR(__xludf.DUMMYFUNCTION("""COMPUTED_VALUE"""),15913)</f>
        <v>15913</v>
      </c>
      <c r="G1664" s="1" t="str">
        <f ca="1">IFERROR(__xludf.DUMMYFUNCTION("""COMPUTED_VALUE"""),"12.9741/77.6297")</f>
        <v>12.9741/77.6297</v>
      </c>
      <c r="H1664" s="1" t="str">
        <f ca="1">IFERROR(__xludf.DUMMYFUNCTION("""COMPUTED_VALUE"""),"Jogupalya")</f>
        <v>Jogupalya</v>
      </c>
      <c r="I1664" s="1"/>
      <c r="J1664" s="1" t="str">
        <f ca="1">IFERROR(__xludf.DUMMYFUNCTION("""COMPUTED_VALUE"""),"0d 18h 17m")</f>
        <v>0d 18h 17m</v>
      </c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13.2">
      <c r="A1665" s="1">
        <f ca="1">IFERROR(__xludf.DUMMYFUNCTION("""COMPUTED_VALUE"""),33)</f>
        <v>33</v>
      </c>
      <c r="B1665" s="1" t="str">
        <f ca="1">IFERROR(__xludf.DUMMYFUNCTION("""COMPUTED_VALUE"""),"SE1_KA04C5154_Jetting")</f>
        <v>SE1_KA04C5154_Jetting</v>
      </c>
      <c r="C1665" s="1" t="str">
        <f ca="1">IFERROR(__xludf.DUMMYFUNCTION("""COMPUTED_VALUE"""),"se1_ka04c5154_jetting")</f>
        <v>se1_ka04c5154_jetting</v>
      </c>
      <c r="D1665" s="2">
        <f ca="1">IFERROR(__xludf.DUMMYFUNCTION("""COMPUTED_VALUE"""),44378)</f>
        <v>44378</v>
      </c>
      <c r="E1665" s="3">
        <f ca="1">IFERROR(__xludf.DUMMYFUNCTION("""COMPUTED_VALUE"""),0.566655092592554)</f>
        <v>0.56665509259255398</v>
      </c>
      <c r="F1665" s="1">
        <f ca="1">IFERROR(__xludf.DUMMYFUNCTION("""COMPUTED_VALUE"""),15913)</f>
        <v>15913</v>
      </c>
      <c r="G1665" s="1" t="str">
        <f ca="1">IFERROR(__xludf.DUMMYFUNCTION("""COMPUTED_VALUE"""),"12.9741/77.6297")</f>
        <v>12.9741/77.6297</v>
      </c>
      <c r="H1665" s="1" t="str">
        <f ca="1">IFERROR(__xludf.DUMMYFUNCTION("""COMPUTED_VALUE"""),"Jogupalya")</f>
        <v>Jogupalya</v>
      </c>
      <c r="I1665" s="1"/>
      <c r="J1665" s="1" t="str">
        <f ca="1">IFERROR(__xludf.DUMMYFUNCTION("""COMPUTED_VALUE"""),"0d 18h 18m")</f>
        <v>0d 18h 18m</v>
      </c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13.2">
      <c r="A1666" s="1">
        <f ca="1">IFERROR(__xludf.DUMMYFUNCTION("""COMPUTED_VALUE"""),33)</f>
        <v>33</v>
      </c>
      <c r="B1666" s="1" t="str">
        <f ca="1">IFERROR(__xludf.DUMMYFUNCTION("""COMPUTED_VALUE"""),"SE1_KA04C5154_Jetting")</f>
        <v>SE1_KA04C5154_Jetting</v>
      </c>
      <c r="C1666" s="1" t="str">
        <f ca="1">IFERROR(__xludf.DUMMYFUNCTION("""COMPUTED_VALUE"""),"se1_ka04c5154_jetting")</f>
        <v>se1_ka04c5154_jetting</v>
      </c>
      <c r="D1666" s="2">
        <f ca="1">IFERROR(__xludf.DUMMYFUNCTION("""COMPUTED_VALUE"""),44378)</f>
        <v>44378</v>
      </c>
      <c r="E1666" s="3">
        <f ca="1">IFERROR(__xludf.DUMMYFUNCTION("""COMPUTED_VALUE"""),0.566655092592554)</f>
        <v>0.56665509259255398</v>
      </c>
      <c r="F1666" s="1">
        <f ca="1">IFERROR(__xludf.DUMMYFUNCTION("""COMPUTED_VALUE"""),15913)</f>
        <v>15913</v>
      </c>
      <c r="G1666" s="1" t="str">
        <f ca="1">IFERROR(__xludf.DUMMYFUNCTION("""COMPUTED_VALUE"""),"12.9741/77.6297")</f>
        <v>12.9741/77.6297</v>
      </c>
      <c r="H1666" s="1" t="str">
        <f ca="1">IFERROR(__xludf.DUMMYFUNCTION("""COMPUTED_VALUE"""),"Jogupalya")</f>
        <v>Jogupalya</v>
      </c>
      <c r="I1666" s="1"/>
      <c r="J1666" s="1" t="str">
        <f ca="1">IFERROR(__xludf.DUMMYFUNCTION("""COMPUTED_VALUE"""),"0d 18h 19m")</f>
        <v>0d 18h 19m</v>
      </c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13.2">
      <c r="A1667" s="1">
        <f ca="1">IFERROR(__xludf.DUMMYFUNCTION("""COMPUTED_VALUE"""),33)</f>
        <v>33</v>
      </c>
      <c r="B1667" s="1" t="str">
        <f ca="1">IFERROR(__xludf.DUMMYFUNCTION("""COMPUTED_VALUE"""),"SE1_KA04C5154_Jetting")</f>
        <v>SE1_KA04C5154_Jetting</v>
      </c>
      <c r="C1667" s="1" t="str">
        <f ca="1">IFERROR(__xludf.DUMMYFUNCTION("""COMPUTED_VALUE"""),"se1_ka04c5154_jetting")</f>
        <v>se1_ka04c5154_jetting</v>
      </c>
      <c r="D1667" s="2">
        <f ca="1">IFERROR(__xludf.DUMMYFUNCTION("""COMPUTED_VALUE"""),44378)</f>
        <v>44378</v>
      </c>
      <c r="E1667" s="3">
        <f ca="1">IFERROR(__xludf.DUMMYFUNCTION("""COMPUTED_VALUE"""),0.566655092592554)</f>
        <v>0.56665509259255398</v>
      </c>
      <c r="F1667" s="1">
        <f ca="1">IFERROR(__xludf.DUMMYFUNCTION("""COMPUTED_VALUE"""),15913)</f>
        <v>15913</v>
      </c>
      <c r="G1667" s="1" t="str">
        <f ca="1">IFERROR(__xludf.DUMMYFUNCTION("""COMPUTED_VALUE"""),"12.9741/77.6297")</f>
        <v>12.9741/77.6297</v>
      </c>
      <c r="H1667" s="1" t="str">
        <f ca="1">IFERROR(__xludf.DUMMYFUNCTION("""COMPUTED_VALUE"""),"Jogupalya")</f>
        <v>Jogupalya</v>
      </c>
      <c r="I1667" s="1"/>
      <c r="J1667" s="1" t="str">
        <f ca="1">IFERROR(__xludf.DUMMYFUNCTION("""COMPUTED_VALUE"""),"0d 18h 19m")</f>
        <v>0d 18h 19m</v>
      </c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13.2">
      <c r="A1668" s="1">
        <f ca="1">IFERROR(__xludf.DUMMYFUNCTION("""COMPUTED_VALUE"""),147)</f>
        <v>147</v>
      </c>
      <c r="B1668" s="1" t="str">
        <f ca="1">IFERROR(__xludf.DUMMYFUNCTION("""COMPUTED_VALUE"""),"SE1_KA04C5154_Jetting")</f>
        <v>SE1_KA04C5154_Jetting</v>
      </c>
      <c r="C1668" s="1" t="str">
        <f ca="1">IFERROR(__xludf.DUMMYFUNCTION("""COMPUTED_VALUE"""),"se1_ka04c5154_jetting")</f>
        <v>se1_ka04c5154_jetting</v>
      </c>
      <c r="D1668" s="2">
        <f ca="1">IFERROR(__xludf.DUMMYFUNCTION("""COMPUTED_VALUE"""),44830)</f>
        <v>44830</v>
      </c>
      <c r="E1668" s="3">
        <f ca="1">IFERROR(__xludf.DUMMYFUNCTION("""COMPUTED_VALUE"""),0.62890046296161)</f>
        <v>0.62890046296160995</v>
      </c>
      <c r="F1668" s="1">
        <f ca="1">IFERROR(__xludf.DUMMYFUNCTION("""COMPUTED_VALUE"""),15954)</f>
        <v>15954</v>
      </c>
      <c r="G1668" s="1" t="str">
        <f ca="1">IFERROR(__xludf.DUMMYFUNCTION("""COMPUTED_VALUE"""),"12.9727/77.6214")</f>
        <v>12.9727/77.6214</v>
      </c>
      <c r="H1668" s="1" t="str">
        <f ca="1">IFERROR(__xludf.DUMMYFUNCTION("""COMPUTED_VALUE"""),"Trinity Circle")</f>
        <v>Trinity Circle</v>
      </c>
      <c r="I1668" s="1"/>
      <c r="J1668" s="1" t="str">
        <f ca="1">IFERROR(__xludf.DUMMYFUNCTION("""COMPUTED_VALUE"""),"0d 18h 20m")</f>
        <v>0d 18h 20m</v>
      </c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13.2">
      <c r="A1669" s="1">
        <f ca="1">IFERROR(__xludf.DUMMYFUNCTION("""COMPUTED_VALUE"""),140)</f>
        <v>140</v>
      </c>
      <c r="B1669" s="1" t="str">
        <f ca="1">IFERROR(__xludf.DUMMYFUNCTION("""COMPUTED_VALUE"""),"SE1_KA04C5154_Jetting")</f>
        <v>SE1_KA04C5154_Jetting</v>
      </c>
      <c r="C1669" s="1" t="str">
        <f ca="1">IFERROR(__xludf.DUMMYFUNCTION("""COMPUTED_VALUE"""),"se1_ka04c5154_jetting")</f>
        <v>se1_ka04c5154_jetting</v>
      </c>
      <c r="D1669" s="2">
        <f ca="1">IFERROR(__xludf.DUMMYFUNCTION("""COMPUTED_VALUE"""),44860)</f>
        <v>44860</v>
      </c>
      <c r="E1669" s="3">
        <f ca="1">IFERROR(__xludf.DUMMYFUNCTION("""COMPUTED_VALUE"""),0.707222222223208)</f>
        <v>0.70722222222320796</v>
      </c>
      <c r="F1669" s="1">
        <f ca="1">IFERROR(__xludf.DUMMYFUNCTION("""COMPUTED_VALUE"""),16090)</f>
        <v>16090</v>
      </c>
      <c r="G1669" s="1" t="str">
        <f ca="1">IFERROR(__xludf.DUMMYFUNCTION("""COMPUTED_VALUE"""),"12.9726/77.6213")</f>
        <v>12.9726/77.6213</v>
      </c>
      <c r="H1669" s="1" t="str">
        <f ca="1">IFERROR(__xludf.DUMMYFUNCTION("""COMPUTED_VALUE"""),"Trinity Circle")</f>
        <v>Trinity Circle</v>
      </c>
      <c r="I1669" s="1"/>
      <c r="J1669" s="1" t="str">
        <f ca="1">IFERROR(__xludf.DUMMYFUNCTION("""COMPUTED_VALUE"""),"0d 18h 21m")</f>
        <v>0d 18h 21m</v>
      </c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13.2">
      <c r="A1670" s="1">
        <f ca="1">IFERROR(__xludf.DUMMYFUNCTION("""COMPUTED_VALUE"""),125)</f>
        <v>125</v>
      </c>
      <c r="B1670" s="1" t="str">
        <f ca="1">IFERROR(__xludf.DUMMYFUNCTION("""COMPUTED_VALUE"""),"SE1_KA04D4110_Jetting")</f>
        <v>SE1_KA04D4110_Jetting</v>
      </c>
      <c r="C1670" s="1" t="str">
        <f ca="1">IFERROR(__xludf.DUMMYFUNCTION("""COMPUTED_VALUE"""),"se1_ka04d4110_jetting")</f>
        <v>se1_ka04d4110_jetting</v>
      </c>
      <c r="D1670" s="2">
        <f ca="1">IFERROR(__xludf.DUMMYFUNCTION("""COMPUTED_VALUE"""),44707)</f>
        <v>44707</v>
      </c>
      <c r="E1670" s="3">
        <f ca="1">IFERROR(__xludf.DUMMYFUNCTION("""COMPUTED_VALUE"""),0.530879629630362)</f>
        <v>0.53087962963036195</v>
      </c>
      <c r="F1670" s="1">
        <f ca="1">IFERROR(__xludf.DUMMYFUNCTION("""COMPUTED_VALUE"""),17181)</f>
        <v>17181</v>
      </c>
      <c r="G1670" s="1" t="str">
        <f ca="1">IFERROR(__xludf.DUMMYFUNCTION("""COMPUTED_VALUE"""),"12.9439/77.6272")</f>
        <v>12.9439/77.6272</v>
      </c>
      <c r="H1670" s="1" t="str">
        <f ca="1">IFERROR(__xludf.DUMMYFUNCTION("""COMPUTED_VALUE"""),"Easy Stay")</f>
        <v>Easy Stay</v>
      </c>
      <c r="I1670" s="1"/>
      <c r="J1670" s="1" t="str">
        <f ca="1">IFERROR(__xludf.DUMMYFUNCTION("""COMPUTED_VALUE"""),"0d 00h 08m")</f>
        <v>0d 00h 08m</v>
      </c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13.2">
      <c r="A1671" s="1">
        <f ca="1">IFERROR(__xludf.DUMMYFUNCTION("""COMPUTED_VALUE"""),134)</f>
        <v>134</v>
      </c>
      <c r="B1671" s="1" t="str">
        <f ca="1">IFERROR(__xludf.DUMMYFUNCTION("""COMPUTED_VALUE"""),"SE1_KA04D4110_Jetting")</f>
        <v>SE1_KA04D4110_Jetting</v>
      </c>
      <c r="C1671" s="1" t="str">
        <f ca="1">IFERROR(__xludf.DUMMYFUNCTION("""COMPUTED_VALUE"""),"se1_ka04d4110_jetting")</f>
        <v>se1_ka04d4110_jetting</v>
      </c>
      <c r="D1671" s="2">
        <f ca="1">IFERROR(__xludf.DUMMYFUNCTION("""COMPUTED_VALUE"""),44737)</f>
        <v>44737</v>
      </c>
      <c r="E1671" s="3">
        <f ca="1">IFERROR(__xludf.DUMMYFUNCTION("""COMPUTED_VALUE"""),0.682581018518249)</f>
        <v>0.68258101851824904</v>
      </c>
      <c r="F1671" s="1">
        <f ca="1">IFERROR(__xludf.DUMMYFUNCTION("""COMPUTED_VALUE"""),17262)</f>
        <v>17262</v>
      </c>
      <c r="G1671" s="1" t="str">
        <f ca="1">IFERROR(__xludf.DUMMYFUNCTION("""COMPUTED_VALUE"""),"12.9582/77.6122")</f>
        <v>12.9582/77.6122</v>
      </c>
      <c r="H1671" s="1" t="str">
        <f ca="1">IFERROR(__xludf.DUMMYFUNCTION("""COMPUTED_VALUE"""),"Hotel Royal Heritage")</f>
        <v>Hotel Royal Heritage</v>
      </c>
      <c r="I1671" s="1"/>
      <c r="J1671" s="1" t="str">
        <f ca="1">IFERROR(__xludf.DUMMYFUNCTION("""COMPUTED_VALUE"""),"0d 00h 09m")</f>
        <v>0d 00h 09m</v>
      </c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13.2">
      <c r="A1672" s="1">
        <f ca="1">IFERROR(__xludf.DUMMYFUNCTION("""COMPUTED_VALUE"""),129)</f>
        <v>129</v>
      </c>
      <c r="B1672" s="1" t="str">
        <f ca="1">IFERROR(__xludf.DUMMYFUNCTION("""COMPUTED_VALUE"""),"SE1_KA04D4110_Jetting")</f>
        <v>SE1_KA04D4110_Jetting</v>
      </c>
      <c r="C1672" s="1" t="str">
        <f ca="1">IFERROR(__xludf.DUMMYFUNCTION("""COMPUTED_VALUE"""),"se1_ka04d4110_jetting")</f>
        <v>se1_ka04d4110_jetting</v>
      </c>
      <c r="D1672" s="2">
        <f ca="1">IFERROR(__xludf.DUMMYFUNCTION("""COMPUTED_VALUE"""),44767)</f>
        <v>44767</v>
      </c>
      <c r="E1672" s="3">
        <f ca="1">IFERROR(__xludf.DUMMYFUNCTION("""COMPUTED_VALUE"""),0.70603009259139)</f>
        <v>0.70603009259139005</v>
      </c>
      <c r="F1672" s="1">
        <f ca="1">IFERROR(__xludf.DUMMYFUNCTION("""COMPUTED_VALUE"""),17724)</f>
        <v>17724</v>
      </c>
      <c r="G1672" s="1" t="str">
        <f ca="1">IFERROR(__xludf.DUMMYFUNCTION("""COMPUTED_VALUE"""),"12.9585/77.6121")</f>
        <v>12.9585/77.6121</v>
      </c>
      <c r="H1672" s="1" t="str">
        <f ca="1">IFERROR(__xludf.DUMMYFUNCTION("""COMPUTED_VALUE"""),"Hotel Royal Heritage")</f>
        <v>Hotel Royal Heritage</v>
      </c>
      <c r="I1672" s="1"/>
      <c r="J1672" s="1" t="str">
        <f ca="1">IFERROR(__xludf.DUMMYFUNCTION("""COMPUTED_VALUE"""),"0d 00h 09m")</f>
        <v>0d 00h 09m</v>
      </c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13.2">
      <c r="A1673" s="1">
        <f ca="1">IFERROR(__xludf.DUMMYFUNCTION("""COMPUTED_VALUE"""),149)</f>
        <v>149</v>
      </c>
      <c r="B1673" s="1" t="str">
        <f ca="1">IFERROR(__xludf.DUMMYFUNCTION("""COMPUTED_VALUE"""),"SE1_KA04D4110_Jetting")</f>
        <v>SE1_KA04D4110_Jetting</v>
      </c>
      <c r="C1673" s="1" t="str">
        <f ca="1">IFERROR(__xludf.DUMMYFUNCTION("""COMPUTED_VALUE"""),"se1_ka04d4110_jetting")</f>
        <v>se1_ka04d4110_jetting</v>
      </c>
      <c r="D1673" s="2">
        <f ca="1">IFERROR(__xludf.DUMMYFUNCTION("""COMPUTED_VALUE"""),44799)</f>
        <v>44799</v>
      </c>
      <c r="E1673" s="3">
        <f ca="1">IFERROR(__xludf.DUMMYFUNCTION("""COMPUTED_VALUE"""),0.560057870370656)</f>
        <v>0.56005787037065602</v>
      </c>
      <c r="F1673" s="1">
        <f ca="1">IFERROR(__xludf.DUMMYFUNCTION("""COMPUTED_VALUE"""),17845)</f>
        <v>17845</v>
      </c>
      <c r="G1673" s="1" t="str">
        <f ca="1">IFERROR(__xludf.DUMMYFUNCTION("""COMPUTED_VALUE"""),"12.9393/77.6282")</f>
        <v>12.9393/77.6282</v>
      </c>
      <c r="H1673" s="1" t="str">
        <f ca="1">IFERROR(__xludf.DUMMYFUNCTION("""COMPUTED_VALUE"""),"Ejipura")</f>
        <v>Ejipura</v>
      </c>
      <c r="I1673" s="1"/>
      <c r="J1673" s="1" t="str">
        <f ca="1">IFERROR(__xludf.DUMMYFUNCTION("""COMPUTED_VALUE"""),"0d 00h 10m")</f>
        <v>0d 00h 10m</v>
      </c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13.2">
      <c r="A1674" s="1">
        <f ca="1">IFERROR(__xludf.DUMMYFUNCTION("""COMPUTED_VALUE"""),148)</f>
        <v>148</v>
      </c>
      <c r="B1674" s="1" t="str">
        <f ca="1">IFERROR(__xludf.DUMMYFUNCTION("""COMPUTED_VALUE"""),"SE1_KA04D4110_Jetting")</f>
        <v>SE1_KA04D4110_Jetting</v>
      </c>
      <c r="C1674" s="1" t="str">
        <f ca="1">IFERROR(__xludf.DUMMYFUNCTION("""COMPUTED_VALUE"""),"se1_ka04d4110_jetting")</f>
        <v>se1_ka04d4110_jetting</v>
      </c>
      <c r="D1674" s="2">
        <f ca="1">IFERROR(__xludf.DUMMYFUNCTION("""COMPUTED_VALUE"""),44830)</f>
        <v>44830</v>
      </c>
      <c r="E1674" s="3">
        <f ca="1">IFERROR(__xludf.DUMMYFUNCTION("""COMPUTED_VALUE"""),0.670706018518103)</f>
        <v>0.67070601851810296</v>
      </c>
      <c r="F1674" s="1">
        <f ca="1">IFERROR(__xludf.DUMMYFUNCTION("""COMPUTED_VALUE"""),17935)</f>
        <v>17935</v>
      </c>
      <c r="G1674" s="1" t="str">
        <f ca="1">IFERROR(__xludf.DUMMYFUNCTION("""COMPUTED_VALUE"""),"12.9481/77.6265")</f>
        <v>12.9481/77.6265</v>
      </c>
      <c r="H1674" s="1" t="str">
        <f ca="1">IFERROR(__xludf.DUMMYFUNCTION("""COMPUTED_VALUE"""),"Vivek Nagar")</f>
        <v>Vivek Nagar</v>
      </c>
      <c r="I1674" s="1"/>
      <c r="J1674" s="1" t="str">
        <f ca="1">IFERROR(__xludf.DUMMYFUNCTION("""COMPUTED_VALUE"""),"0d 00h 11m")</f>
        <v>0d 00h 11m</v>
      </c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13.2">
      <c r="A1675" s="1">
        <f ca="1">IFERROR(__xludf.DUMMYFUNCTION("""COMPUTED_VALUE"""),139)</f>
        <v>139</v>
      </c>
      <c r="B1675" s="1" t="str">
        <f ca="1">IFERROR(__xludf.DUMMYFUNCTION("""COMPUTED_VALUE"""),"SE1_KA04D4110_Jetting")</f>
        <v>SE1_KA04D4110_Jetting</v>
      </c>
      <c r="C1675" s="1" t="str">
        <f ca="1">IFERROR(__xludf.DUMMYFUNCTION("""COMPUTED_VALUE"""),"se1_ka04d4110_jetting")</f>
        <v>se1_ka04d4110_jetting</v>
      </c>
      <c r="D1675" s="2">
        <f ca="1">IFERROR(__xludf.DUMMYFUNCTION("""COMPUTED_VALUE"""),44860)</f>
        <v>44860</v>
      </c>
      <c r="E1675" s="3">
        <f ca="1">IFERROR(__xludf.DUMMYFUNCTION("""COMPUTED_VALUE"""),0.682708333333721)</f>
        <v>0.68270833333372105</v>
      </c>
      <c r="F1675" s="1">
        <f ca="1">IFERROR(__xludf.DUMMYFUNCTION("""COMPUTED_VALUE"""),18116)</f>
        <v>18116</v>
      </c>
      <c r="G1675" s="1" t="str">
        <f ca="1">IFERROR(__xludf.DUMMYFUNCTION("""COMPUTED_VALUE"""),"12.9580/77.6121")</f>
        <v>12.9580/77.6121</v>
      </c>
      <c r="H1675" s="1" t="str">
        <f ca="1">IFERROR(__xludf.DUMMYFUNCTION("""COMPUTED_VALUE"""),"Hotel Royal Heritage")</f>
        <v>Hotel Royal Heritage</v>
      </c>
      <c r="I1675" s="1"/>
      <c r="J1675" s="1" t="str">
        <f ca="1">IFERROR(__xludf.DUMMYFUNCTION("""COMPUTED_VALUE"""),"0d 00h 12m")</f>
        <v>0d 00h 12m</v>
      </c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13.2">
      <c r="A1676" s="1">
        <f ca="1">IFERROR(__xludf.DUMMYFUNCTION("""COMPUTED_VALUE"""),144)</f>
        <v>144</v>
      </c>
      <c r="B1676" s="1" t="str">
        <f ca="1">IFERROR(__xludf.DUMMYFUNCTION("""COMPUTED_VALUE"""),"SE1_KA04D4110_JETTING")</f>
        <v>SE1_KA04D4110_JETTING</v>
      </c>
      <c r="C1676" s="1" t="str">
        <f ca="1">IFERROR(__xludf.DUMMYFUNCTION("""COMPUTED_VALUE"""),"se1_ka04d4110_jetting")</f>
        <v>se1_ka04d4110_jetting</v>
      </c>
      <c r="D1676" s="2">
        <f ca="1">IFERROR(__xludf.DUMMYFUNCTION("""COMPUTED_VALUE"""),44769)</f>
        <v>44769</v>
      </c>
      <c r="E1676" s="3">
        <f ca="1">IFERROR(__xludf.DUMMYFUNCTION("""COMPUTED_VALUE"""),0.733240740741166)</f>
        <v>0.73324074074116596</v>
      </c>
      <c r="F1676" s="1">
        <f ca="1">IFERROR(__xludf.DUMMYFUNCTION("""COMPUTED_VALUE"""),17728)</f>
        <v>17728</v>
      </c>
      <c r="G1676" s="1" t="str">
        <f ca="1">IFERROR(__xludf.DUMMYFUNCTION("""COMPUTED_VALUE"""),"12.9555/77.6174")</f>
        <v>12.9555/77.6174</v>
      </c>
      <c r="H1676" s="1" t="str">
        <f ca="1">IFERROR(__xludf.DUMMYFUNCTION("""COMPUTED_VALUE"""),"Vivek Nagar")</f>
        <v>Vivek Nagar</v>
      </c>
      <c r="I1676" s="1"/>
      <c r="J1676" s="1" t="str">
        <f ca="1">IFERROR(__xludf.DUMMYFUNCTION("""COMPUTED_VALUE"""),"0d 00h 07m")</f>
        <v>0d 00h 07m</v>
      </c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13.2">
      <c r="A1677" s="1">
        <f ca="1">IFERROR(__xludf.DUMMYFUNCTION("""COMPUTED_VALUE"""),138)</f>
        <v>138</v>
      </c>
      <c r="B1677" s="1" t="str">
        <f ca="1">IFERROR(__xludf.DUMMYFUNCTION("""COMPUTED_VALUE"""),"SE1_KA04D4110_JETTING")</f>
        <v>SE1_KA04D4110_JETTING</v>
      </c>
      <c r="C1677" s="1" t="str">
        <f ca="1">IFERROR(__xludf.DUMMYFUNCTION("""COMPUTED_VALUE"""),"se1_ka04d4110_jetting")</f>
        <v>se1_ka04d4110_jetting</v>
      </c>
      <c r="D1677" s="2">
        <f ca="1">IFERROR(__xludf.DUMMYFUNCTION("""COMPUTED_VALUE"""),44860)</f>
        <v>44860</v>
      </c>
      <c r="E1677" s="3">
        <f ca="1">IFERROR(__xludf.DUMMYFUNCTION("""COMPUTED_VALUE"""),0.682708333333721)</f>
        <v>0.68270833333372105</v>
      </c>
      <c r="F1677" s="1">
        <f ca="1">IFERROR(__xludf.DUMMYFUNCTION("""COMPUTED_VALUE"""),18116)</f>
        <v>18116</v>
      </c>
      <c r="G1677" s="1" t="str">
        <f ca="1">IFERROR(__xludf.DUMMYFUNCTION("""COMPUTED_VALUE"""),"12.9580/77.6121")</f>
        <v>12.9580/77.6121</v>
      </c>
      <c r="H1677" s="1" t="str">
        <f ca="1">IFERROR(__xludf.DUMMYFUNCTION("""COMPUTED_VALUE"""),"Hotel Royal Heritage")</f>
        <v>Hotel Royal Heritage</v>
      </c>
      <c r="I1677" s="1"/>
      <c r="J1677" s="1" t="str">
        <f ca="1">IFERROR(__xludf.DUMMYFUNCTION("""COMPUTED_VALUE"""),"0d 00h 08m")</f>
        <v>0d 00h 08m</v>
      </c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13.2">
      <c r="A1678" s="1">
        <f ca="1">IFERROR(__xludf.DUMMYFUNCTION("""COMPUTED_VALUE"""),143)</f>
        <v>143</v>
      </c>
      <c r="B1678" s="1" t="str">
        <f ca="1">IFERROR(__xludf.DUMMYFUNCTION("""COMPUTED_VALUE"""),"SE1_KA04D4110_JETTING")</f>
        <v>SE1_KA04D4110_JETTING</v>
      </c>
      <c r="C1678" s="1" t="str">
        <f ca="1">IFERROR(__xludf.DUMMYFUNCTION("""COMPUTED_VALUE"""),"se1_ka04d4110_jetting")</f>
        <v>se1_ka04d4110_jetting</v>
      </c>
      <c r="D1678" s="2">
        <f ca="1">IFERROR(__xludf.DUMMYFUNCTION("""COMPUTED_VALUE"""),44952)</f>
        <v>44952</v>
      </c>
      <c r="E1678" s="3">
        <f ca="1">IFERROR(__xludf.DUMMYFUNCTION("""COMPUTED_VALUE"""),0.635844907406863)</f>
        <v>0.63584490740686295</v>
      </c>
      <c r="F1678" s="1">
        <f ca="1">IFERROR(__xludf.DUMMYFUNCTION("""COMPUTED_VALUE"""),18494)</f>
        <v>18494</v>
      </c>
      <c r="G1678" s="1" t="str">
        <f ca="1">IFERROR(__xludf.DUMMYFUNCTION("""COMPUTED_VALUE"""),"12.9408/77.6274")</f>
        <v>12.9408/77.6274</v>
      </c>
      <c r="H1678" s="1" t="str">
        <f ca="1">IFERROR(__xludf.DUMMYFUNCTION("""COMPUTED_VALUE"""),"Easy Stay")</f>
        <v>Easy Stay</v>
      </c>
      <c r="I1678" s="1"/>
      <c r="J1678" s="1" t="str">
        <f ca="1">IFERROR(__xludf.DUMMYFUNCTION("""COMPUTED_VALUE"""),"0d 00h 11m")</f>
        <v>0d 00h 11m</v>
      </c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13.2">
      <c r="A1679" s="1">
        <f ca="1">IFERROR(__xludf.DUMMYFUNCTION("""COMPUTED_VALUE"""),148)</f>
        <v>148</v>
      </c>
      <c r="B1679" s="1" t="str">
        <f ca="1">IFERROR(__xludf.DUMMYFUNCTION("""COMPUTED_VALUE"""),"SE1_KA04D4110_JETTING")</f>
        <v>SE1_KA04D4110_JETTING</v>
      </c>
      <c r="C1679" s="1" t="str">
        <f ca="1">IFERROR(__xludf.DUMMYFUNCTION("""COMPUTED_VALUE"""),"se1_ka04d4110_jetting")</f>
        <v>se1_ka04d4110_jetting</v>
      </c>
      <c r="D1679" s="2">
        <f ca="1">IFERROR(__xludf.DUMMYFUNCTION("""COMPUTED_VALUE"""),45042)</f>
        <v>45042</v>
      </c>
      <c r="E1679" s="3">
        <f ca="1">IFERROR(__xludf.DUMMYFUNCTION("""COMPUTED_VALUE"""),0.487337962964375)</f>
        <v>0.48733796296437498</v>
      </c>
      <c r="F1679" s="1">
        <f ca="1">IFERROR(__xludf.DUMMYFUNCTION("""COMPUTED_VALUE"""),18894)</f>
        <v>18894</v>
      </c>
      <c r="G1679" s="1" t="str">
        <f ca="1">IFERROR(__xludf.DUMMYFUNCTION("""COMPUTED_VALUE"""),"12.9407/77.6309")</f>
        <v>12.9407/77.6309</v>
      </c>
      <c r="H1679" s="1" t="str">
        <f ca="1">IFERROR(__xludf.DUMMYFUNCTION("""COMPUTED_VALUE"""),"Ejipura")</f>
        <v>Ejipura</v>
      </c>
      <c r="I1679" s="1"/>
      <c r="J1679" s="1" t="str">
        <f ca="1">IFERROR(__xludf.DUMMYFUNCTION("""COMPUTED_VALUE"""),"0d 00h 12m")</f>
        <v>0d 00h 12m</v>
      </c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13.2">
      <c r="A1680" s="1">
        <f ca="1">IFERROR(__xludf.DUMMYFUNCTION("""COMPUTED_VALUE"""),148)</f>
        <v>148</v>
      </c>
      <c r="B1680" s="1" t="str">
        <f ca="1">IFERROR(__xludf.DUMMYFUNCTION("""COMPUTED_VALUE"""),"SE1_KA04D4110_JETTING")</f>
        <v>SE1_KA04D4110_JETTING</v>
      </c>
      <c r="C1680" s="1" t="str">
        <f ca="1">IFERROR(__xludf.DUMMYFUNCTION("""COMPUTED_VALUE"""),"se1_ka04d4110_jetting")</f>
        <v>se1_ka04d4110_jetting</v>
      </c>
      <c r="D1680" s="2">
        <f ca="1">IFERROR(__xludf.DUMMYFUNCTION("""COMPUTED_VALUE"""),45134)</f>
        <v>45134</v>
      </c>
      <c r="E1680" s="3">
        <f ca="1">IFERROR(__xludf.DUMMYFUNCTION("""COMPUTED_VALUE"""),0.571041666666133)</f>
        <v>0.57104166666613299</v>
      </c>
      <c r="F1680" s="1">
        <f ca="1">IFERROR(__xludf.DUMMYFUNCTION("""COMPUTED_VALUE"""),19142)</f>
        <v>19142</v>
      </c>
      <c r="G1680" s="1" t="str">
        <f ca="1">IFERROR(__xludf.DUMMYFUNCTION("""COMPUTED_VALUE"""),"12.9408/77.6311")</f>
        <v>12.9408/77.6311</v>
      </c>
      <c r="H1680" s="1" t="str">
        <f ca="1">IFERROR(__xludf.DUMMYFUNCTION("""COMPUTED_VALUE"""),"Ejipura")</f>
        <v>Ejipura</v>
      </c>
      <c r="I1680" s="1"/>
      <c r="J1680" s="1" t="str">
        <f ca="1">IFERROR(__xludf.DUMMYFUNCTION("""COMPUTED_VALUE"""),"0d 00h 13m")</f>
        <v>0d 00h 13m</v>
      </c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13.2">
      <c r="A1681" s="1">
        <f ca="1">IFERROR(__xludf.DUMMYFUNCTION("""COMPUTED_VALUE"""),148)</f>
        <v>148</v>
      </c>
      <c r="B1681" s="1" t="str">
        <f ca="1">IFERROR(__xludf.DUMMYFUNCTION("""COMPUTED_VALUE"""),"SE1_KA04D4110_JETTING")</f>
        <v>SE1_KA04D4110_JETTING</v>
      </c>
      <c r="C1681" s="1" t="str">
        <f ca="1">IFERROR(__xludf.DUMMYFUNCTION("""COMPUTED_VALUE"""),"se1_ka04d4110_jetting")</f>
        <v>se1_ka04d4110_jetting</v>
      </c>
      <c r="D1681" s="2">
        <f ca="1">IFERROR(__xludf.DUMMYFUNCTION("""COMPUTED_VALUE"""),45226)</f>
        <v>45226</v>
      </c>
      <c r="E1681" s="3">
        <f ca="1">IFERROR(__xludf.DUMMYFUNCTION("""COMPUTED_VALUE"""),0.327118055556638)</f>
        <v>0.32711805555663798</v>
      </c>
      <c r="F1681" s="1">
        <f ca="1">IFERROR(__xludf.DUMMYFUNCTION("""COMPUTED_VALUE"""),19403)</f>
        <v>19403</v>
      </c>
      <c r="G1681" s="1" t="str">
        <f ca="1">IFERROR(__xludf.DUMMYFUNCTION("""COMPUTED_VALUE"""),"12.9580/77.6124")</f>
        <v>12.9580/77.6124</v>
      </c>
      <c r="H1681" s="1" t="str">
        <f ca="1">IFERROR(__xludf.DUMMYFUNCTION("""COMPUTED_VALUE"""),"Hotel Royal Heritage")</f>
        <v>Hotel Royal Heritage</v>
      </c>
      <c r="I1681" s="1"/>
      <c r="J1681" s="1" t="str">
        <f ca="1">IFERROR(__xludf.DUMMYFUNCTION("""COMPUTED_VALUE"""),"0d 00h 14m")</f>
        <v>0d 00h 14m</v>
      </c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13.2">
      <c r="A1682" s="1">
        <f ca="1">IFERROR(__xludf.DUMMYFUNCTION("""COMPUTED_VALUE"""),157)</f>
        <v>157</v>
      </c>
      <c r="B1682" s="1" t="str">
        <f ca="1">IFERROR(__xludf.DUMMYFUNCTION("""COMPUTED_VALUE"""),"SE1_KA04D4110_JETTING")</f>
        <v>SE1_KA04D4110_JETTING</v>
      </c>
      <c r="C1682" s="1" t="str">
        <f ca="1">IFERROR(__xludf.DUMMYFUNCTION("""COMPUTED_VALUE"""),"se1_ka04d4110_jetting")</f>
        <v>se1_ka04d4110_jetting</v>
      </c>
      <c r="D1682" s="2">
        <f ca="1">IFERROR(__xludf.DUMMYFUNCTION("""COMPUTED_VALUE"""),45315)</f>
        <v>45315</v>
      </c>
      <c r="E1682" s="3">
        <f ca="1">IFERROR(__xludf.DUMMYFUNCTION("""COMPUTED_VALUE"""),0.549548611110367)</f>
        <v>0.54954861111036701</v>
      </c>
      <c r="F1682" s="1">
        <f ca="1">IFERROR(__xludf.DUMMYFUNCTION("""COMPUTED_VALUE"""),19889)</f>
        <v>19889</v>
      </c>
      <c r="G1682" s="1" t="str">
        <f ca="1">IFERROR(__xludf.DUMMYFUNCTION("""COMPUTED_VALUE"""),"12.9436/77.6287")</f>
        <v>12.9436/77.6287</v>
      </c>
      <c r="H1682" s="1" t="str">
        <f ca="1">IFERROR(__xludf.DUMMYFUNCTION("""COMPUTED_VALUE"""),"Easy Stay")</f>
        <v>Easy Stay</v>
      </c>
      <c r="I1682" s="1"/>
      <c r="J1682" s="1" t="str">
        <f ca="1">IFERROR(__xludf.DUMMYFUNCTION("""COMPUTED_VALUE"""),"0d 00h 15m")</f>
        <v>0d 00h 15m</v>
      </c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13.2">
      <c r="A1683" s="1">
        <f ca="1">IFERROR(__xludf.DUMMYFUNCTION("""COMPUTED_VALUE"""),35)</f>
        <v>35</v>
      </c>
      <c r="B1683" s="1" t="str">
        <f ca="1">IFERROR(__xludf.DUMMYFUNCTION("""COMPUTED_VALUE"""),"SE1_KA04D5303_Tanker")</f>
        <v>SE1_KA04D5303_Tanker</v>
      </c>
      <c r="C1683" s="1" t="str">
        <f ca="1">IFERROR(__xludf.DUMMYFUNCTION("""COMPUTED_VALUE"""),"se1_ka04d5303_tanker")</f>
        <v>se1_ka04d5303_tanker</v>
      </c>
      <c r="D1683" s="2">
        <f ca="1">IFERROR(__xludf.DUMMYFUNCTION("""COMPUTED_VALUE"""),44415)</f>
        <v>44415</v>
      </c>
      <c r="E1683" s="3">
        <f ca="1">IFERROR(__xludf.DUMMYFUNCTION("""COMPUTED_VALUE"""),0.538379629630071)</f>
        <v>0.53837962963007102</v>
      </c>
      <c r="F1683" s="1">
        <f ca="1">IFERROR(__xludf.DUMMYFUNCTION("""COMPUTED_VALUE"""),27982)</f>
        <v>27982</v>
      </c>
      <c r="G1683" s="1" t="str">
        <f ca="1">IFERROR(__xludf.DUMMYFUNCTION("""COMPUTED_VALUE"""),"12.9832/77.6490")</f>
        <v>12.9832/77.6490</v>
      </c>
      <c r="H1683" s="1" t="str">
        <f ca="1">IFERROR(__xludf.DUMMYFUNCTION("""COMPUTED_VALUE"""),"Thippasandra")</f>
        <v>Thippasandra</v>
      </c>
      <c r="I1683" s="1"/>
      <c r="J1683" s="1" t="str">
        <f ca="1">IFERROR(__xludf.DUMMYFUNCTION("""COMPUTED_VALUE"""),"97d 22h 13m")</f>
        <v>97d 22h 13m</v>
      </c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13.2">
      <c r="A1684" s="1">
        <f ca="1">IFERROR(__xludf.DUMMYFUNCTION("""COMPUTED_VALUE"""),163)</f>
        <v>163</v>
      </c>
      <c r="B1684" s="1" t="str">
        <f ca="1">IFERROR(__xludf.DUMMYFUNCTION("""COMPUTED_VALUE"""),"SE1_KA04D5303_Tanker")</f>
        <v>SE1_KA04D5303_Tanker</v>
      </c>
      <c r="C1684" s="1" t="str">
        <f ca="1">IFERROR(__xludf.DUMMYFUNCTION("""COMPUTED_VALUE"""),"se1_ka04d5303_tanker")</f>
        <v>se1_ka04d5303_tanker</v>
      </c>
      <c r="D1684" s="2">
        <f ca="1">IFERROR(__xludf.DUMMYFUNCTION("""COMPUTED_VALUE"""),44738)</f>
        <v>44738</v>
      </c>
      <c r="E1684" s="3">
        <f ca="1">IFERROR(__xludf.DUMMYFUNCTION("""COMPUTED_VALUE"""),0.99900462962978)</f>
        <v>0.99900462962977998</v>
      </c>
      <c r="F1684" s="1">
        <f ca="1">IFERROR(__xludf.DUMMYFUNCTION("""COMPUTED_VALUE"""),28174)</f>
        <v>28174</v>
      </c>
      <c r="G1684" s="1" t="str">
        <f ca="1">IFERROR(__xludf.DUMMYFUNCTION("""COMPUTED_VALUE"""),"12.9826/77.6494")</f>
        <v>12.9826/77.6494</v>
      </c>
      <c r="H1684" s="1" t="str">
        <f ca="1">IFERROR(__xludf.DUMMYFUNCTION("""COMPUTED_VALUE"""),"Thippasandra")</f>
        <v>Thippasandra</v>
      </c>
      <c r="I1684" s="1"/>
      <c r="J1684" s="1" t="str">
        <f ca="1">IFERROR(__xludf.DUMMYFUNCTION("""COMPUTED_VALUE"""),"97d 22h 14m")</f>
        <v>97d 22h 14m</v>
      </c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13.2">
      <c r="A1685" s="1">
        <f ca="1">IFERROR(__xludf.DUMMYFUNCTION("""COMPUTED_VALUE"""),164)</f>
        <v>164</v>
      </c>
      <c r="B1685" s="1" t="str">
        <f ca="1">IFERROR(__xludf.DUMMYFUNCTION("""COMPUTED_VALUE"""),"SE1_KA04D5303_Tanker")</f>
        <v>SE1_KA04D5303_Tanker</v>
      </c>
      <c r="C1685" s="1" t="str">
        <f ca="1">IFERROR(__xludf.DUMMYFUNCTION("""COMPUTED_VALUE"""),"se1_ka04d5303_tanker")</f>
        <v>se1_ka04d5303_tanker</v>
      </c>
      <c r="D1685" s="2">
        <f ca="1">IFERROR(__xludf.DUMMYFUNCTION("""COMPUTED_VALUE"""),44768)</f>
        <v>44768</v>
      </c>
      <c r="E1685" s="3">
        <f ca="1">IFERROR(__xludf.DUMMYFUNCTION("""COMPUTED_VALUE"""),0.998981481479859)</f>
        <v>0.99898148147985899</v>
      </c>
      <c r="F1685" s="1">
        <f ca="1">IFERROR(__xludf.DUMMYFUNCTION("""COMPUTED_VALUE"""),28681)</f>
        <v>28681</v>
      </c>
      <c r="G1685" s="1" t="str">
        <f ca="1">IFERROR(__xludf.DUMMYFUNCTION("""COMPUTED_VALUE"""),"12.9825/77.6494")</f>
        <v>12.9825/77.6494</v>
      </c>
      <c r="H1685" s="1" t="str">
        <f ca="1">IFERROR(__xludf.DUMMYFUNCTION("""COMPUTED_VALUE"""),"Thippasandra")</f>
        <v>Thippasandra</v>
      </c>
      <c r="I1685" s="1"/>
      <c r="J1685" s="1" t="str">
        <f ca="1">IFERROR(__xludf.DUMMYFUNCTION("""COMPUTED_VALUE"""),"97d 22h 15m")</f>
        <v>97d 22h 15m</v>
      </c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13.2">
      <c r="A1686" s="1">
        <f ca="1">IFERROR(__xludf.DUMMYFUNCTION("""COMPUTED_VALUE"""),129)</f>
        <v>129</v>
      </c>
      <c r="B1686" s="1" t="str">
        <f ca="1">IFERROR(__xludf.DUMMYFUNCTION("""COMPUTED_VALUE"""),"SE1_KA04D5303_Tanker")</f>
        <v>SE1_KA04D5303_Tanker</v>
      </c>
      <c r="C1686" s="1" t="str">
        <f ca="1">IFERROR(__xludf.DUMMYFUNCTION("""COMPUTED_VALUE"""),"se1_ka04d5303_tanker")</f>
        <v>se1_ka04d5303_tanker</v>
      </c>
      <c r="D1686" s="2">
        <f ca="1">IFERROR(__xludf.DUMMYFUNCTION("""COMPUTED_VALUE"""),44795)</f>
        <v>44795</v>
      </c>
      <c r="E1686" s="3">
        <f ca="1">IFERROR(__xludf.DUMMYFUNCTION("""COMPUTED_VALUE"""),0.291400462963792)</f>
        <v>0.29140046296379202</v>
      </c>
      <c r="F1686" s="1">
        <f ca="1">IFERROR(__xludf.DUMMYFUNCTION("""COMPUTED_VALUE"""),28954)</f>
        <v>28954</v>
      </c>
      <c r="G1686" s="1" t="str">
        <f ca="1">IFERROR(__xludf.DUMMYFUNCTION("""COMPUTED_VALUE"""),"12.9833/77.6493")</f>
        <v>12.9833/77.6493</v>
      </c>
      <c r="H1686" s="1" t="str">
        <f ca="1">IFERROR(__xludf.DUMMYFUNCTION("""COMPUTED_VALUE"""),"Thippasandra")</f>
        <v>Thippasandra</v>
      </c>
      <c r="I1686" s="1"/>
      <c r="J1686" s="1" t="str">
        <f ca="1">IFERROR(__xludf.DUMMYFUNCTION("""COMPUTED_VALUE"""),"97d 22h 16m")</f>
        <v>97d 22h 16m</v>
      </c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13.2">
      <c r="A1687" s="1">
        <f ca="1">IFERROR(__xludf.DUMMYFUNCTION("""COMPUTED_VALUE"""),103)</f>
        <v>103</v>
      </c>
      <c r="B1687" s="1" t="str">
        <f ca="1">IFERROR(__xludf.DUMMYFUNCTION("""COMPUTED_VALUE"""),"SE1_KA04D5303_Tanker")</f>
        <v>SE1_KA04D5303_Tanker</v>
      </c>
      <c r="C1687" s="1" t="str">
        <f ca="1">IFERROR(__xludf.DUMMYFUNCTION("""COMPUTED_VALUE"""),"se1_ka04d5303_tanker")</f>
        <v>se1_ka04d5303_tanker</v>
      </c>
      <c r="D1687" s="2">
        <f ca="1">IFERROR(__xludf.DUMMYFUNCTION("""COMPUTED_VALUE"""),44819)</f>
        <v>44819</v>
      </c>
      <c r="E1687" s="3">
        <f ca="1">IFERROR(__xludf.DUMMYFUNCTION("""COMPUTED_VALUE"""),0.512256944442924)</f>
        <v>0.51225694444292402</v>
      </c>
      <c r="F1687" s="1">
        <f ca="1">IFERROR(__xludf.DUMMYFUNCTION("""COMPUTED_VALUE"""),28965)</f>
        <v>28965</v>
      </c>
      <c r="G1687" s="1" t="str">
        <f ca="1">IFERROR(__xludf.DUMMYFUNCTION("""COMPUTED_VALUE"""),"12.9827/77.6494")</f>
        <v>12.9827/77.6494</v>
      </c>
      <c r="H1687" s="1" t="str">
        <f ca="1">IFERROR(__xludf.DUMMYFUNCTION("""COMPUTED_VALUE"""),"Thippasandra")</f>
        <v>Thippasandra</v>
      </c>
      <c r="I1687" s="1"/>
      <c r="J1687" s="1" t="str">
        <f ca="1">IFERROR(__xludf.DUMMYFUNCTION("""COMPUTED_VALUE"""),"97d 22h 17m")</f>
        <v>97d 22h 17m</v>
      </c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13.2">
      <c r="A1688" s="1">
        <f ca="1">IFERROR(__xludf.DUMMYFUNCTION("""COMPUTED_VALUE"""),67)</f>
        <v>67</v>
      </c>
      <c r="B1688" s="1" t="str">
        <f ca="1">IFERROR(__xludf.DUMMYFUNCTION("""COMPUTED_VALUE"""),"SE1_KA04D5303_Tanker")</f>
        <v>SE1_KA04D5303_Tanker</v>
      </c>
      <c r="C1688" s="1" t="str">
        <f ca="1">IFERROR(__xludf.DUMMYFUNCTION("""COMPUTED_VALUE"""),"se1_ka04d5303_tanker")</f>
        <v>se1_ka04d5303_tanker</v>
      </c>
      <c r="D1688" s="2">
        <f ca="1">IFERROR(__xludf.DUMMYFUNCTION("""COMPUTED_VALUE"""),44819)</f>
        <v>44819</v>
      </c>
      <c r="E1688" s="3">
        <f ca="1">IFERROR(__xludf.DUMMYFUNCTION("""COMPUTED_VALUE"""),0.512256944442924)</f>
        <v>0.51225694444292402</v>
      </c>
      <c r="F1688" s="1">
        <f ca="1">IFERROR(__xludf.DUMMYFUNCTION("""COMPUTED_VALUE"""),28965)</f>
        <v>28965</v>
      </c>
      <c r="G1688" s="1" t="str">
        <f ca="1">IFERROR(__xludf.DUMMYFUNCTION("""COMPUTED_VALUE"""),"12.9827/77.6494")</f>
        <v>12.9827/77.6494</v>
      </c>
      <c r="H1688" s="1" t="str">
        <f ca="1">IFERROR(__xludf.DUMMYFUNCTION("""COMPUTED_VALUE"""),"Thippasandra")</f>
        <v>Thippasandra</v>
      </c>
      <c r="I1688" s="1"/>
      <c r="J1688" s="1" t="str">
        <f ca="1">IFERROR(__xludf.DUMMYFUNCTION("""COMPUTED_VALUE"""),"97d 22h 17m")</f>
        <v>97d 22h 17m</v>
      </c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13.2">
      <c r="A1689" s="1">
        <f ca="1">IFERROR(__xludf.DUMMYFUNCTION("""COMPUTED_VALUE"""),147)</f>
        <v>147</v>
      </c>
      <c r="B1689" s="1" t="str">
        <f ca="1">IFERROR(__xludf.DUMMYFUNCTION("""COMPUTED_VALUE"""),"SE1_KA04D5303_TANKER")</f>
        <v>SE1_KA04D5303_TANKER</v>
      </c>
      <c r="C1689" s="1" t="str">
        <f ca="1">IFERROR(__xludf.DUMMYFUNCTION("""COMPUTED_VALUE"""),"se1_ka04d5303_tanker")</f>
        <v>se1_ka04d5303_tanker</v>
      </c>
      <c r="D1689" s="2">
        <f ca="1">IFERROR(__xludf.DUMMYFUNCTION("""COMPUTED_VALUE"""),44769)</f>
        <v>44769</v>
      </c>
      <c r="E1689" s="3">
        <f ca="1">IFERROR(__xludf.DUMMYFUNCTION("""COMPUTED_VALUE"""),0.998900462964229)</f>
        <v>0.99890046296422896</v>
      </c>
      <c r="F1689" s="1">
        <f ca="1">IFERROR(__xludf.DUMMYFUNCTION("""COMPUTED_VALUE"""),28710)</f>
        <v>28710</v>
      </c>
      <c r="G1689" s="1" t="str">
        <f ca="1">IFERROR(__xludf.DUMMYFUNCTION("""COMPUTED_VALUE"""),"12.9826/77.6493")</f>
        <v>12.9826/77.6493</v>
      </c>
      <c r="H1689" s="1" t="str">
        <f ca="1">IFERROR(__xludf.DUMMYFUNCTION("""COMPUTED_VALUE"""),"Thippasandra")</f>
        <v>Thippasandra</v>
      </c>
      <c r="I1689" s="1"/>
      <c r="J1689" s="1" t="str">
        <f ca="1">IFERROR(__xludf.DUMMYFUNCTION("""COMPUTED_VALUE"""),"0d 00h 00m")</f>
        <v>0d 00h 00m</v>
      </c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13.2">
      <c r="A1690" s="1">
        <f ca="1">IFERROR(__xludf.DUMMYFUNCTION("""COMPUTED_VALUE"""),131)</f>
        <v>131</v>
      </c>
      <c r="B1690" s="1" t="str">
        <f ca="1">IFERROR(__xludf.DUMMYFUNCTION("""COMPUTED_VALUE"""),"SE1_KA04D5303_TANKER")</f>
        <v>SE1_KA04D5303_TANKER</v>
      </c>
      <c r="C1690" s="1" t="str">
        <f ca="1">IFERROR(__xludf.DUMMYFUNCTION("""COMPUTED_VALUE"""),"se1_ka04d5303_tanker")</f>
        <v>se1_ka04d5303_tanker</v>
      </c>
      <c r="D1690" s="2">
        <f ca="1">IFERROR(__xludf.DUMMYFUNCTION("""COMPUTED_VALUE"""),44819)</f>
        <v>44819</v>
      </c>
      <c r="E1690" s="3">
        <f ca="1">IFERROR(__xludf.DUMMYFUNCTION("""COMPUTED_VALUE"""),0.512256944442924)</f>
        <v>0.51225694444292402</v>
      </c>
      <c r="F1690" s="1">
        <f ca="1">IFERROR(__xludf.DUMMYFUNCTION("""COMPUTED_VALUE"""),28965)</f>
        <v>28965</v>
      </c>
      <c r="G1690" s="1" t="str">
        <f ca="1">IFERROR(__xludf.DUMMYFUNCTION("""COMPUTED_VALUE"""),"12.9827/77.6494")</f>
        <v>12.9827/77.6494</v>
      </c>
      <c r="H1690" s="1" t="str">
        <f ca="1">IFERROR(__xludf.DUMMYFUNCTION("""COMPUTED_VALUE"""),"Thippasandra")</f>
        <v>Thippasandra</v>
      </c>
      <c r="I1690" s="1"/>
      <c r="J1690" s="1" t="str">
        <f ca="1">IFERROR(__xludf.DUMMYFUNCTION("""COMPUTED_VALUE"""),"0d 00h 00m")</f>
        <v>0d 00h 00m</v>
      </c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13.2">
      <c r="A1691" s="1">
        <f ca="1">IFERROR(__xludf.DUMMYFUNCTION("""COMPUTED_VALUE"""),125)</f>
        <v>125</v>
      </c>
      <c r="B1691" s="1" t="str">
        <f ca="1">IFERROR(__xludf.DUMMYFUNCTION("""COMPUTED_VALUE"""),"SE1_KA04D5303_TANKER")</f>
        <v>SE1_KA04D5303_TANKER</v>
      </c>
      <c r="C1691" s="1" t="str">
        <f ca="1">IFERROR(__xludf.DUMMYFUNCTION("""COMPUTED_VALUE"""),"se1_ka04d5303_tanker")</f>
        <v>se1_ka04d5303_tanker</v>
      </c>
      <c r="D1691" s="2">
        <f ca="1">IFERROR(__xludf.DUMMYFUNCTION("""COMPUTED_VALUE"""),44819)</f>
        <v>44819</v>
      </c>
      <c r="E1691" s="3">
        <f ca="1">IFERROR(__xludf.DUMMYFUNCTION("""COMPUTED_VALUE"""),0.512256944442924)</f>
        <v>0.51225694444292402</v>
      </c>
      <c r="F1691" s="1">
        <f ca="1">IFERROR(__xludf.DUMMYFUNCTION("""COMPUTED_VALUE"""),28965)</f>
        <v>28965</v>
      </c>
      <c r="G1691" s="1" t="str">
        <f ca="1">IFERROR(__xludf.DUMMYFUNCTION("""COMPUTED_VALUE"""),"12.9827/77.6494")</f>
        <v>12.9827/77.6494</v>
      </c>
      <c r="H1691" s="1" t="str">
        <f ca="1">IFERROR(__xludf.DUMMYFUNCTION("""COMPUTED_VALUE"""),"Thippasandra")</f>
        <v>Thippasandra</v>
      </c>
      <c r="I1691" s="1"/>
      <c r="J1691" s="1" t="str">
        <f ca="1">IFERROR(__xludf.DUMMYFUNCTION("""COMPUTED_VALUE"""),"0d 00h 00m")</f>
        <v>0d 00h 00m</v>
      </c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13.2">
      <c r="A1692" s="1">
        <f ca="1">IFERROR(__xludf.DUMMYFUNCTION("""COMPUTED_VALUE"""),125)</f>
        <v>125</v>
      </c>
      <c r="B1692" s="1" t="str">
        <f ca="1">IFERROR(__xludf.DUMMYFUNCTION("""COMPUTED_VALUE"""),"SE1_KA04D5303_TANKER")</f>
        <v>SE1_KA04D5303_TANKER</v>
      </c>
      <c r="C1692" s="1" t="str">
        <f ca="1">IFERROR(__xludf.DUMMYFUNCTION("""COMPUTED_VALUE"""),"se1_ka04d5303_tanker")</f>
        <v>se1_ka04d5303_tanker</v>
      </c>
      <c r="D1692" s="2">
        <f ca="1">IFERROR(__xludf.DUMMYFUNCTION("""COMPUTED_VALUE"""),44819)</f>
        <v>44819</v>
      </c>
      <c r="E1692" s="3">
        <f ca="1">IFERROR(__xludf.DUMMYFUNCTION("""COMPUTED_VALUE"""),0.512256944442924)</f>
        <v>0.51225694444292402</v>
      </c>
      <c r="F1692" s="1">
        <f ca="1">IFERROR(__xludf.DUMMYFUNCTION("""COMPUTED_VALUE"""),28965)</f>
        <v>28965</v>
      </c>
      <c r="G1692" s="1" t="str">
        <f ca="1">IFERROR(__xludf.DUMMYFUNCTION("""COMPUTED_VALUE"""),"12.9827/77.6494")</f>
        <v>12.9827/77.6494</v>
      </c>
      <c r="H1692" s="1" t="str">
        <f ca="1">IFERROR(__xludf.DUMMYFUNCTION("""COMPUTED_VALUE"""),"Thippasandra")</f>
        <v>Thippasandra</v>
      </c>
      <c r="I1692" s="1"/>
      <c r="J1692" s="1" t="str">
        <f ca="1">IFERROR(__xludf.DUMMYFUNCTION("""COMPUTED_VALUE"""),"0d 00h 00m")</f>
        <v>0d 00h 00m</v>
      </c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13.2">
      <c r="A1693" s="1">
        <f ca="1">IFERROR(__xludf.DUMMYFUNCTION("""COMPUTED_VALUE"""),123)</f>
        <v>123</v>
      </c>
      <c r="B1693" s="1" t="str">
        <f ca="1">IFERROR(__xludf.DUMMYFUNCTION("""COMPUTED_VALUE"""),"SE1_KA04D5303_TANKER")</f>
        <v>SE1_KA04D5303_TANKER</v>
      </c>
      <c r="C1693" s="1" t="str">
        <f ca="1">IFERROR(__xludf.DUMMYFUNCTION("""COMPUTED_VALUE"""),"se1_ka04d5303_tanker")</f>
        <v>se1_ka04d5303_tanker</v>
      </c>
      <c r="D1693" s="2">
        <f ca="1">IFERROR(__xludf.DUMMYFUNCTION("""COMPUTED_VALUE"""),44819)</f>
        <v>44819</v>
      </c>
      <c r="E1693" s="3">
        <f ca="1">IFERROR(__xludf.DUMMYFUNCTION("""COMPUTED_VALUE"""),0.512256944442924)</f>
        <v>0.51225694444292402</v>
      </c>
      <c r="F1693" s="1">
        <f ca="1">IFERROR(__xludf.DUMMYFUNCTION("""COMPUTED_VALUE"""),28965)</f>
        <v>28965</v>
      </c>
      <c r="G1693" s="1" t="str">
        <f ca="1">IFERROR(__xludf.DUMMYFUNCTION("""COMPUTED_VALUE"""),"12.9827/77.6494")</f>
        <v>12.9827/77.6494</v>
      </c>
      <c r="H1693" s="1" t="str">
        <f ca="1">IFERROR(__xludf.DUMMYFUNCTION("""COMPUTED_VALUE"""),"Thippasandra")</f>
        <v>Thippasandra</v>
      </c>
      <c r="I1693" s="1"/>
      <c r="J1693" s="1" t="str">
        <f ca="1">IFERROR(__xludf.DUMMYFUNCTION("""COMPUTED_VALUE"""),"0d 00h 00m")</f>
        <v>0d 00h 00m</v>
      </c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13.2">
      <c r="A1694" s="1">
        <f ca="1">IFERROR(__xludf.DUMMYFUNCTION("""COMPUTED_VALUE"""),173)</f>
        <v>173</v>
      </c>
      <c r="B1694" s="1" t="str">
        <f ca="1">IFERROR(__xludf.DUMMYFUNCTION("""COMPUTED_VALUE"""),"SE1_KA04D5303_TANKER")</f>
        <v>SE1_KA04D5303_TANKER</v>
      </c>
      <c r="C1694" s="1" t="str">
        <f ca="1">IFERROR(__xludf.DUMMYFUNCTION("""COMPUTED_VALUE"""),"se1_ka04d5303_tanker")</f>
        <v>se1_ka04d5303_tanker</v>
      </c>
      <c r="D1694" s="2">
        <f ca="1">IFERROR(__xludf.DUMMYFUNCTION("""COMPUTED_VALUE"""),45226)</f>
        <v>45226</v>
      </c>
      <c r="E1694" s="3">
        <f ca="1">IFERROR(__xludf.DUMMYFUNCTION("""COMPUTED_VALUE"""),0.999270833333866)</f>
        <v>0.99927083333386602</v>
      </c>
      <c r="F1694" s="1">
        <f ca="1">IFERROR(__xludf.DUMMYFUNCTION("""COMPUTED_VALUE"""),30423)</f>
        <v>30423</v>
      </c>
      <c r="G1694" s="1" t="str">
        <f ca="1">IFERROR(__xludf.DUMMYFUNCTION("""COMPUTED_VALUE"""),"12.9581/77.6125")</f>
        <v>12.9581/77.6125</v>
      </c>
      <c r="H1694" s="1" t="str">
        <f ca="1">IFERROR(__xludf.DUMMYFUNCTION("""COMPUTED_VALUE"""),"Hotel Royal Heritage")</f>
        <v>Hotel Royal Heritage</v>
      </c>
      <c r="I1694" s="1"/>
      <c r="J1694" s="1" t="str">
        <f ca="1">IFERROR(__xludf.DUMMYFUNCTION("""COMPUTED_VALUE"""),"0d 00h 00m")</f>
        <v>0d 00h 00m</v>
      </c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13.2">
      <c r="A1695" s="1">
        <f ca="1">IFERROR(__xludf.DUMMYFUNCTION("""COMPUTED_VALUE"""),178)</f>
        <v>178</v>
      </c>
      <c r="B1695" s="1" t="str">
        <f ca="1">IFERROR(__xludf.DUMMYFUNCTION("""COMPUTED_VALUE"""),"SE1_KA04D5303_TANKER")</f>
        <v>SE1_KA04D5303_TANKER</v>
      </c>
      <c r="C1695" s="1" t="str">
        <f ca="1">IFERROR(__xludf.DUMMYFUNCTION("""COMPUTED_VALUE"""),"se1_ka04d5303_tanker")</f>
        <v>se1_ka04d5303_tanker</v>
      </c>
      <c r="D1695" s="2">
        <f ca="1">IFERROR(__xludf.DUMMYFUNCTION("""COMPUTED_VALUE"""),45315)</f>
        <v>45315</v>
      </c>
      <c r="E1695" s="3">
        <f ca="1">IFERROR(__xludf.DUMMYFUNCTION("""COMPUTED_VALUE"""),0.787129629628907)</f>
        <v>0.78712962962890698</v>
      </c>
      <c r="F1695" s="1">
        <f ca="1">IFERROR(__xludf.DUMMYFUNCTION("""COMPUTED_VALUE"""),31452)</f>
        <v>31452</v>
      </c>
      <c r="G1695" s="1" t="str">
        <f ca="1">IFERROR(__xludf.DUMMYFUNCTION("""COMPUTED_VALUE"""),"12.9476/77.6194")</f>
        <v>12.9476/77.6194</v>
      </c>
      <c r="H1695" s="1" t="str">
        <f ca="1">IFERROR(__xludf.DUMMYFUNCTION("""COMPUTED_VALUE"""),"Kormangla 8th Block")</f>
        <v>Kormangla 8th Block</v>
      </c>
      <c r="I1695" s="1"/>
      <c r="J1695" s="1" t="str">
        <f ca="1">IFERROR(__xludf.DUMMYFUNCTION("""COMPUTED_VALUE"""),"0d 00h 01m")</f>
        <v>0d 00h 01m</v>
      </c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13.2">
      <c r="A1696" s="1">
        <f ca="1">IFERROR(__xludf.DUMMYFUNCTION("""COMPUTED_VALUE"""),80)</f>
        <v>80</v>
      </c>
      <c r="B1696" s="1" t="str">
        <f ca="1">IFERROR(__xludf.DUMMYFUNCTION("""COMPUTED_VALUE"""),"SE1_KA04D6651_Jetting")</f>
        <v>SE1_KA04D6651_Jetting</v>
      </c>
      <c r="C1696" s="1" t="str">
        <f ca="1">IFERROR(__xludf.DUMMYFUNCTION("""COMPUTED_VALUE"""),"se1_ka04d6651_jetting")</f>
        <v>se1_ka04d6651_jetting</v>
      </c>
      <c r="D1696" s="2">
        <f ca="1">IFERROR(__xludf.DUMMYFUNCTION("""COMPUTED_VALUE"""),44696)</f>
        <v>44696</v>
      </c>
      <c r="E1696" s="3">
        <f ca="1">IFERROR(__xludf.DUMMYFUNCTION("""COMPUTED_VALUE"""),0.69552083333474)</f>
        <v>0.69552083333474002</v>
      </c>
      <c r="F1696" s="1">
        <f ca="1">IFERROR(__xludf.DUMMYFUNCTION("""COMPUTED_VALUE"""),30649)</f>
        <v>30649</v>
      </c>
      <c r="G1696" s="1" t="str">
        <f ca="1">IFERROR(__xludf.DUMMYFUNCTION("""COMPUTED_VALUE"""),"12.9611/77.6385")</f>
        <v>12.9611/77.6385</v>
      </c>
      <c r="H1696" s="1" t="str">
        <f ca="1">IFERROR(__xludf.DUMMYFUNCTION("""COMPUTED_VALUE"""),"Domlur Bus Stop")</f>
        <v>Domlur Bus Stop</v>
      </c>
      <c r="I1696" s="1"/>
      <c r="J1696" s="1" t="str">
        <f ca="1">IFERROR(__xludf.DUMMYFUNCTION("""COMPUTED_VALUE"""),"0d 00h 00m")</f>
        <v>0d 00h 00m</v>
      </c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13.2">
      <c r="A1697" s="1">
        <f ca="1">IFERROR(__xludf.DUMMYFUNCTION("""COMPUTED_VALUE"""),200)</f>
        <v>200</v>
      </c>
      <c r="B1697" s="1" t="str">
        <f ca="1">IFERROR(__xludf.DUMMYFUNCTION("""COMPUTED_VALUE"""),"SE1_KA04D6651_Jetting")</f>
        <v>SE1_KA04D6651_Jetting</v>
      </c>
      <c r="C1697" s="1" t="str">
        <f ca="1">IFERROR(__xludf.DUMMYFUNCTION("""COMPUTED_VALUE"""),"se1_ka04d6651_jetting")</f>
        <v>se1_ka04d6651_jetting</v>
      </c>
      <c r="D1697" s="2">
        <f ca="1">IFERROR(__xludf.DUMMYFUNCTION("""COMPUTED_VALUE"""),44738)</f>
        <v>44738</v>
      </c>
      <c r="E1697" s="3">
        <f ca="1">IFERROR(__xludf.DUMMYFUNCTION("""COMPUTED_VALUE"""),0.999155092591536)</f>
        <v>0.99915509259153601</v>
      </c>
      <c r="F1697" s="1">
        <f ca="1">IFERROR(__xludf.DUMMYFUNCTION("""COMPUTED_VALUE"""),30689)</f>
        <v>30689</v>
      </c>
      <c r="G1697" s="1" t="str">
        <f ca="1">IFERROR(__xludf.DUMMYFUNCTION("""COMPUTED_VALUE"""),"12.9611/77.6383")</f>
        <v>12.9611/77.6383</v>
      </c>
      <c r="H1697" s="1" t="str">
        <f ca="1">IFERROR(__xludf.DUMMYFUNCTION("""COMPUTED_VALUE"""),"Domlur Bus Stop")</f>
        <v>Domlur Bus Stop</v>
      </c>
      <c r="I1697" s="1"/>
      <c r="J1697" s="1" t="str">
        <f ca="1">IFERROR(__xludf.DUMMYFUNCTION("""COMPUTED_VALUE"""),"0d 00h 00m")</f>
        <v>0d 00h 00m</v>
      </c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13.2">
      <c r="A1698" s="1">
        <f ca="1">IFERROR(__xludf.DUMMYFUNCTION("""COMPUTED_VALUE"""),225)</f>
        <v>225</v>
      </c>
      <c r="B1698" s="1" t="str">
        <f ca="1">IFERROR(__xludf.DUMMYFUNCTION("""COMPUTED_VALUE"""),"SE1_KA04D6651_Jetting")</f>
        <v>SE1_KA04D6651_Jetting</v>
      </c>
      <c r="C1698" s="1" t="str">
        <f ca="1">IFERROR(__xludf.DUMMYFUNCTION("""COMPUTED_VALUE"""),"se1_ka04d6651_jetting")</f>
        <v>se1_ka04d6651_jetting</v>
      </c>
      <c r="D1698" s="2">
        <f ca="1">IFERROR(__xludf.DUMMYFUNCTION("""COMPUTED_VALUE"""),44768)</f>
        <v>44768</v>
      </c>
      <c r="E1698" s="3">
        <f ca="1">IFERROR(__xludf.DUMMYFUNCTION("""COMPUTED_VALUE"""),0.999270833333866)</f>
        <v>0.99927083333386602</v>
      </c>
      <c r="F1698" s="1">
        <f ca="1">IFERROR(__xludf.DUMMYFUNCTION("""COMPUTED_VALUE"""),31288)</f>
        <v>31288</v>
      </c>
      <c r="G1698" s="1" t="str">
        <f ca="1">IFERROR(__xludf.DUMMYFUNCTION("""COMPUTED_VALUE"""),"12.9612/77.6384")</f>
        <v>12.9612/77.6384</v>
      </c>
      <c r="H1698" s="1" t="str">
        <f ca="1">IFERROR(__xludf.DUMMYFUNCTION("""COMPUTED_VALUE"""),"Domlur Bus Stop")</f>
        <v>Domlur Bus Stop</v>
      </c>
      <c r="I1698" s="1"/>
      <c r="J1698" s="1" t="str">
        <f ca="1">IFERROR(__xludf.DUMMYFUNCTION("""COMPUTED_VALUE"""),"0d 00h 00m")</f>
        <v>0d 00h 00m</v>
      </c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13.2">
      <c r="A1699" s="1">
        <f ca="1">IFERROR(__xludf.DUMMYFUNCTION("""COMPUTED_VALUE"""),195)</f>
        <v>195</v>
      </c>
      <c r="B1699" s="1" t="str">
        <f ca="1">IFERROR(__xludf.DUMMYFUNCTION("""COMPUTED_VALUE"""),"SE1_KA04D6651_Jetting")</f>
        <v>SE1_KA04D6651_Jetting</v>
      </c>
      <c r="C1699" s="1" t="str">
        <f ca="1">IFERROR(__xludf.DUMMYFUNCTION("""COMPUTED_VALUE"""),"se1_ka04d6651_jetting")</f>
        <v>se1_ka04d6651_jetting</v>
      </c>
      <c r="D1699" s="2">
        <f ca="1">IFERROR(__xludf.DUMMYFUNCTION("""COMPUTED_VALUE"""),44799)</f>
        <v>44799</v>
      </c>
      <c r="E1699" s="3">
        <f ca="1">IFERROR(__xludf.DUMMYFUNCTION("""COMPUTED_VALUE"""),0.999097222222189)</f>
        <v>0.999097222222189</v>
      </c>
      <c r="F1699" s="1">
        <f ca="1">IFERROR(__xludf.DUMMYFUNCTION("""COMPUTED_VALUE"""),31928)</f>
        <v>31928</v>
      </c>
      <c r="G1699" s="1" t="str">
        <f ca="1">IFERROR(__xludf.DUMMYFUNCTION("""COMPUTED_VALUE"""),"12.9612/77.6383")</f>
        <v>12.9612/77.6383</v>
      </c>
      <c r="H1699" s="1" t="str">
        <f ca="1">IFERROR(__xludf.DUMMYFUNCTION("""COMPUTED_VALUE"""),"Domlur Bus Stop")</f>
        <v>Domlur Bus Stop</v>
      </c>
      <c r="I1699" s="1"/>
      <c r="J1699" s="1" t="str">
        <f ca="1">IFERROR(__xludf.DUMMYFUNCTION("""COMPUTED_VALUE"""),"0d 00h 00m")</f>
        <v>0d 00h 00m</v>
      </c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13.2">
      <c r="A1700" s="1">
        <f ca="1">IFERROR(__xludf.DUMMYFUNCTION("""COMPUTED_VALUE"""),201)</f>
        <v>201</v>
      </c>
      <c r="B1700" s="1" t="str">
        <f ca="1">IFERROR(__xludf.DUMMYFUNCTION("""COMPUTED_VALUE"""),"SE1_KA04D6651_Jetting")</f>
        <v>SE1_KA04D6651_Jetting</v>
      </c>
      <c r="C1700" s="1" t="str">
        <f ca="1">IFERROR(__xludf.DUMMYFUNCTION("""COMPUTED_VALUE"""),"se1_ka04d6651_jetting")</f>
        <v>se1_ka04d6651_jetting</v>
      </c>
      <c r="D1700" s="2">
        <f ca="1">IFERROR(__xludf.DUMMYFUNCTION("""COMPUTED_VALUE"""),44830)</f>
        <v>44830</v>
      </c>
      <c r="E1700" s="3">
        <f ca="1">IFERROR(__xludf.DUMMYFUNCTION("""COMPUTED_VALUE"""),0.999143518518394)</f>
        <v>0.999143518518394</v>
      </c>
      <c r="F1700" s="1">
        <f ca="1">IFERROR(__xludf.DUMMYFUNCTION("""COMPUTED_VALUE"""),32644)</f>
        <v>32644</v>
      </c>
      <c r="G1700" s="1" t="str">
        <f ca="1">IFERROR(__xludf.DUMMYFUNCTION("""COMPUTED_VALUE"""),"12.9612/77.6381")</f>
        <v>12.9612/77.6381</v>
      </c>
      <c r="H1700" s="1" t="str">
        <f ca="1">IFERROR(__xludf.DUMMYFUNCTION("""COMPUTED_VALUE"""),"Domlur Bus Stop")</f>
        <v>Domlur Bus Stop</v>
      </c>
      <c r="I1700" s="1"/>
      <c r="J1700" s="1" t="str">
        <f ca="1">IFERROR(__xludf.DUMMYFUNCTION("""COMPUTED_VALUE"""),"0d 00h 00m")</f>
        <v>0d 00h 00m</v>
      </c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13.2">
      <c r="A1701" s="1">
        <f ca="1">IFERROR(__xludf.DUMMYFUNCTION("""COMPUTED_VALUE"""),227)</f>
        <v>227</v>
      </c>
      <c r="B1701" s="1" t="str">
        <f ca="1">IFERROR(__xludf.DUMMYFUNCTION("""COMPUTED_VALUE"""),"SE1_KA04D6651_Jetting")</f>
        <v>SE1_KA04D6651_Jetting</v>
      </c>
      <c r="C1701" s="1" t="str">
        <f ca="1">IFERROR(__xludf.DUMMYFUNCTION("""COMPUTED_VALUE"""),"se1_ka04d6651_jetting")</f>
        <v>se1_ka04d6651_jetting</v>
      </c>
      <c r="D1701" s="2">
        <f ca="1">IFERROR(__xludf.DUMMYFUNCTION("""COMPUTED_VALUE"""),44860)</f>
        <v>44860</v>
      </c>
      <c r="E1701" s="3">
        <f ca="1">IFERROR(__xludf.DUMMYFUNCTION("""COMPUTED_VALUE"""),0.999270833333866)</f>
        <v>0.99927083333386602</v>
      </c>
      <c r="F1701" s="1">
        <f ca="1">IFERROR(__xludf.DUMMYFUNCTION("""COMPUTED_VALUE"""),33199)</f>
        <v>33199</v>
      </c>
      <c r="G1701" s="1" t="str">
        <f ca="1">IFERROR(__xludf.DUMMYFUNCTION("""COMPUTED_VALUE"""),"12.9611/77.6384")</f>
        <v>12.9611/77.6384</v>
      </c>
      <c r="H1701" s="1" t="str">
        <f ca="1">IFERROR(__xludf.DUMMYFUNCTION("""COMPUTED_VALUE"""),"Domlur Bus Stop")</f>
        <v>Domlur Bus Stop</v>
      </c>
      <c r="I1701" s="1"/>
      <c r="J1701" s="1" t="str">
        <f ca="1">IFERROR(__xludf.DUMMYFUNCTION("""COMPUTED_VALUE"""),"0d 00h 00m")</f>
        <v>0d 00h 00m</v>
      </c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13.2">
      <c r="A1702" s="1">
        <f ca="1">IFERROR(__xludf.DUMMYFUNCTION("""COMPUTED_VALUE"""),151)</f>
        <v>151</v>
      </c>
      <c r="B1702" s="1" t="str">
        <f ca="1">IFERROR(__xludf.DUMMYFUNCTION("""COMPUTED_VALUE"""),"SE1_KA05AD2948_Desilting")</f>
        <v>SE1_KA05AD2948_Desilting</v>
      </c>
      <c r="C1702" s="1" t="str">
        <f ca="1">IFERROR(__xludf.DUMMYFUNCTION("""COMPUTED_VALUE"""),"se1_ka05ad2948_desilting")</f>
        <v>se1_ka05ad2948_desilting</v>
      </c>
      <c r="D1702" s="2">
        <f ca="1">IFERROR(__xludf.DUMMYFUNCTION("""COMPUTED_VALUE"""),44707)</f>
        <v>44707</v>
      </c>
      <c r="E1702" s="3">
        <f ca="1">IFERROR(__xludf.DUMMYFUNCTION("""COMPUTED_VALUE"""),0.998819444444961)</f>
        <v>0.99881944444496096</v>
      </c>
      <c r="F1702" s="1">
        <f ca="1">IFERROR(__xludf.DUMMYFUNCTION("""COMPUTED_VALUE"""),15091)</f>
        <v>15091</v>
      </c>
      <c r="G1702" s="1"/>
      <c r="H1702" s="1"/>
      <c r="I1702" s="1"/>
      <c r="J1702" s="1" t="str">
        <f ca="1">IFERROR(__xludf.DUMMYFUNCTION("""COMPUTED_VALUE"""),"0d 00h 00m")</f>
        <v>0d 00h 00m</v>
      </c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13.2">
      <c r="A1703" s="1">
        <f ca="1">IFERROR(__xludf.DUMMYFUNCTION("""COMPUTED_VALUE"""),201)</f>
        <v>201</v>
      </c>
      <c r="B1703" s="1" t="str">
        <f ca="1">IFERROR(__xludf.DUMMYFUNCTION("""COMPUTED_VALUE"""),"SE1_KA05AD2948_Desilting")</f>
        <v>SE1_KA05AD2948_Desilting</v>
      </c>
      <c r="C1703" s="1" t="str">
        <f ca="1">IFERROR(__xludf.DUMMYFUNCTION("""COMPUTED_VALUE"""),"se1_ka05ad2948_desilting")</f>
        <v>se1_ka05ad2948_desilting</v>
      </c>
      <c r="D1703" s="2">
        <f ca="1">IFERROR(__xludf.DUMMYFUNCTION("""COMPUTED_VALUE"""),44738)</f>
        <v>44738</v>
      </c>
      <c r="E1703" s="3">
        <f ca="1">IFERROR(__xludf.DUMMYFUNCTION("""COMPUTED_VALUE"""),0.999155092591536)</f>
        <v>0.99915509259153601</v>
      </c>
      <c r="F1703" s="1">
        <f ca="1">IFERROR(__xludf.DUMMYFUNCTION("""COMPUTED_VALUE"""),16551)</f>
        <v>16551</v>
      </c>
      <c r="G1703" s="1" t="str">
        <f ca="1">IFERROR(__xludf.DUMMYFUNCTION("""COMPUTED_VALUE"""),"12.9580/77.6124")</f>
        <v>12.9580/77.6124</v>
      </c>
      <c r="H1703" s="1" t="str">
        <f ca="1">IFERROR(__xludf.DUMMYFUNCTION("""COMPUTED_VALUE"""),"Hotel Royal Heritage")</f>
        <v>Hotel Royal Heritage</v>
      </c>
      <c r="I1703" s="1"/>
      <c r="J1703" s="1" t="str">
        <f ca="1">IFERROR(__xludf.DUMMYFUNCTION("""COMPUTED_VALUE"""),"0d 00h 00m")</f>
        <v>0d 00h 00m</v>
      </c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13.2">
      <c r="A1704" s="1">
        <f ca="1">IFERROR(__xludf.DUMMYFUNCTION("""COMPUTED_VALUE"""),230)</f>
        <v>230</v>
      </c>
      <c r="B1704" s="1" t="str">
        <f ca="1">IFERROR(__xludf.DUMMYFUNCTION("""COMPUTED_VALUE"""),"SE1_KA05AD2948_Desilting")</f>
        <v>SE1_KA05AD2948_Desilting</v>
      </c>
      <c r="C1704" s="1" t="str">
        <f ca="1">IFERROR(__xludf.DUMMYFUNCTION("""COMPUTED_VALUE"""),"se1_ka05ad2948_desilting")</f>
        <v>se1_ka05ad2948_desilting</v>
      </c>
      <c r="D1704" s="2">
        <f ca="1">IFERROR(__xludf.DUMMYFUNCTION("""COMPUTED_VALUE"""),44768)</f>
        <v>44768</v>
      </c>
      <c r="E1704" s="3">
        <f ca="1">IFERROR(__xludf.DUMMYFUNCTION("""COMPUTED_VALUE"""),0.999282407407008)</f>
        <v>0.99928240740700802</v>
      </c>
      <c r="F1704" s="1">
        <f ca="1">IFERROR(__xludf.DUMMYFUNCTION("""COMPUTED_VALUE"""),17014)</f>
        <v>17014</v>
      </c>
      <c r="G1704" s="1" t="str">
        <f ca="1">IFERROR(__xludf.DUMMYFUNCTION("""COMPUTED_VALUE"""),"12.9581/77.6124")</f>
        <v>12.9581/77.6124</v>
      </c>
      <c r="H1704" s="1" t="str">
        <f ca="1">IFERROR(__xludf.DUMMYFUNCTION("""COMPUTED_VALUE"""),"Hotel Royal Heritage")</f>
        <v>Hotel Royal Heritage</v>
      </c>
      <c r="I1704" s="1"/>
      <c r="J1704" s="1" t="str">
        <f ca="1">IFERROR(__xludf.DUMMYFUNCTION("""COMPUTED_VALUE"""),"0d 00h 00m")</f>
        <v>0d 00h 00m</v>
      </c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13.2">
      <c r="A1705" s="1">
        <f ca="1">IFERROR(__xludf.DUMMYFUNCTION("""COMPUTED_VALUE"""),174)</f>
        <v>174</v>
      </c>
      <c r="B1705" s="1" t="str">
        <f ca="1">IFERROR(__xludf.DUMMYFUNCTION("""COMPUTED_VALUE"""),"SE1_KA05AD2948_Desilting")</f>
        <v>SE1_KA05AD2948_Desilting</v>
      </c>
      <c r="C1705" s="1" t="str">
        <f ca="1">IFERROR(__xludf.DUMMYFUNCTION("""COMPUTED_VALUE"""),"se1_ka05ad2948_desilting")</f>
        <v>se1_ka05ad2948_desilting</v>
      </c>
      <c r="D1705" s="2">
        <f ca="1">IFERROR(__xludf.DUMMYFUNCTION("""COMPUTED_VALUE"""),44799)</f>
        <v>44799</v>
      </c>
      <c r="E1705" s="3">
        <f ca="1">IFERROR(__xludf.DUMMYFUNCTION("""COMPUTED_VALUE"""),0.998993055556638)</f>
        <v>0.99899305555663798</v>
      </c>
      <c r="F1705" s="1">
        <f ca="1">IFERROR(__xludf.DUMMYFUNCTION("""COMPUTED_VALUE"""),38771)</f>
        <v>38771</v>
      </c>
      <c r="G1705" s="1" t="str">
        <f ca="1">IFERROR(__xludf.DUMMYFUNCTION("""COMPUTED_VALUE"""),"12.9583/77.6122")</f>
        <v>12.9583/77.6122</v>
      </c>
      <c r="H1705" s="1" t="str">
        <f ca="1">IFERROR(__xludf.DUMMYFUNCTION("""COMPUTED_VALUE"""),"Hotel Royal Heritage")</f>
        <v>Hotel Royal Heritage</v>
      </c>
      <c r="I1705" s="1"/>
      <c r="J1705" s="1" t="str">
        <f ca="1">IFERROR(__xludf.DUMMYFUNCTION("""COMPUTED_VALUE"""),"0d 00h 00m")</f>
        <v>0d 00h 00m</v>
      </c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13.2">
      <c r="A1706" s="1">
        <f ca="1">IFERROR(__xludf.DUMMYFUNCTION("""COMPUTED_VALUE"""),161)</f>
        <v>161</v>
      </c>
      <c r="B1706" s="1" t="str">
        <f ca="1">IFERROR(__xludf.DUMMYFUNCTION("""COMPUTED_VALUE"""),"SE1_KA05AD2948_Desilting")</f>
        <v>SE1_KA05AD2948_Desilting</v>
      </c>
      <c r="C1706" s="1" t="str">
        <f ca="1">IFERROR(__xludf.DUMMYFUNCTION("""COMPUTED_VALUE"""),"se1_ka05ad2948_desilting")</f>
        <v>se1_ka05ad2948_desilting</v>
      </c>
      <c r="D1706" s="2">
        <f ca="1">IFERROR(__xludf.DUMMYFUNCTION("""COMPUTED_VALUE"""),44830)</f>
        <v>44830</v>
      </c>
      <c r="E1706" s="3">
        <f ca="1">IFERROR(__xludf.DUMMYFUNCTION("""COMPUTED_VALUE"""),0.998738425925694)</f>
        <v>0.99873842592569395</v>
      </c>
      <c r="F1706" s="1">
        <f ca="1">IFERROR(__xludf.DUMMYFUNCTION("""COMPUTED_VALUE"""),39585)</f>
        <v>39585</v>
      </c>
      <c r="G1706" s="1"/>
      <c r="H1706" s="1"/>
      <c r="I1706" s="1"/>
      <c r="J1706" s="1" t="str">
        <f ca="1">IFERROR(__xludf.DUMMYFUNCTION("""COMPUTED_VALUE"""),"0d 00h 00m")</f>
        <v>0d 00h 00m</v>
      </c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13.2">
      <c r="A1707" s="1">
        <f ca="1">IFERROR(__xludf.DUMMYFUNCTION("""COMPUTED_VALUE"""),161)</f>
        <v>161</v>
      </c>
      <c r="B1707" s="1" t="str">
        <f ca="1">IFERROR(__xludf.DUMMYFUNCTION("""COMPUTED_VALUE"""),"SE1_KA05AD2948_Desilting")</f>
        <v>SE1_KA05AD2948_Desilting</v>
      </c>
      <c r="C1707" s="1" t="str">
        <f ca="1">IFERROR(__xludf.DUMMYFUNCTION("""COMPUTED_VALUE"""),"se1_ka05ad2948_desilting")</f>
        <v>se1_ka05ad2948_desilting</v>
      </c>
      <c r="D1707" s="2">
        <f ca="1">IFERROR(__xludf.DUMMYFUNCTION("""COMPUTED_VALUE"""),44860)</f>
        <v>44860</v>
      </c>
      <c r="E1707" s="3">
        <f ca="1">IFERROR(__xludf.DUMMYFUNCTION("""COMPUTED_VALUE"""),0.998981481479859)</f>
        <v>0.99898148147985899</v>
      </c>
      <c r="F1707" s="1">
        <f ca="1">IFERROR(__xludf.DUMMYFUNCTION("""COMPUTED_VALUE"""),40516)</f>
        <v>40516</v>
      </c>
      <c r="G1707" s="1" t="str">
        <f ca="1">IFERROR(__xludf.DUMMYFUNCTION("""COMPUTED_VALUE"""),"12.9582/77.6122")</f>
        <v>12.9582/77.6122</v>
      </c>
      <c r="H1707" s="1" t="str">
        <f ca="1">IFERROR(__xludf.DUMMYFUNCTION("""COMPUTED_VALUE"""),"Hotel Royal Heritage")</f>
        <v>Hotel Royal Heritage</v>
      </c>
      <c r="I1707" s="1"/>
      <c r="J1707" s="1" t="str">
        <f ca="1">IFERROR(__xludf.DUMMYFUNCTION("""COMPUTED_VALUE"""),"0d 00h 00m")</f>
        <v>0d 00h 00m</v>
      </c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13.2">
      <c r="A1708" s="1">
        <f ca="1">IFERROR(__xludf.DUMMYFUNCTION("""COMPUTED_VALUE"""),199)</f>
        <v>199</v>
      </c>
      <c r="B1708" s="1" t="str">
        <f ca="1">IFERROR(__xludf.DUMMYFUNCTION("""COMPUTED_VALUE"""),"SE1_KA05D8227_Tanker")</f>
        <v>SE1_KA05D8227_Tanker</v>
      </c>
      <c r="C1708" s="1" t="str">
        <f ca="1">IFERROR(__xludf.DUMMYFUNCTION("""COMPUTED_VALUE"""),"se1_ka05d8227_tanker")</f>
        <v>se1_ka05d8227_tanker</v>
      </c>
      <c r="D1708" s="2">
        <f ca="1">IFERROR(__xludf.DUMMYFUNCTION("""COMPUTED_VALUE"""),44707)</f>
        <v>44707</v>
      </c>
      <c r="E1708" s="3">
        <f ca="1">IFERROR(__xludf.DUMMYFUNCTION("""COMPUTED_VALUE"""),0.99920138888774)</f>
        <v>0.99920138888774002</v>
      </c>
      <c r="F1708" s="1">
        <f ca="1">IFERROR(__xludf.DUMMYFUNCTION("""COMPUTED_VALUE"""),47471)</f>
        <v>47471</v>
      </c>
      <c r="G1708" s="1" t="str">
        <f ca="1">IFERROR(__xludf.DUMMYFUNCTION("""COMPUTED_VALUE"""),"12.9613/77.6383")</f>
        <v>12.9613/77.6383</v>
      </c>
      <c r="H1708" s="1" t="str">
        <f ca="1">IFERROR(__xludf.DUMMYFUNCTION("""COMPUTED_VALUE"""),"Domlur Bus Stop")</f>
        <v>Domlur Bus Stop</v>
      </c>
      <c r="I1708" s="1"/>
      <c r="J1708" s="1" t="str">
        <f ca="1">IFERROR(__xludf.DUMMYFUNCTION("""COMPUTED_VALUE"""),"0d 00h 00m")</f>
        <v>0d 00h 00m</v>
      </c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13.2">
      <c r="A1709" s="1">
        <f ca="1">IFERROR(__xludf.DUMMYFUNCTION("""COMPUTED_VALUE"""),212)</f>
        <v>212</v>
      </c>
      <c r="B1709" s="1" t="str">
        <f ca="1">IFERROR(__xludf.DUMMYFUNCTION("""COMPUTED_VALUE"""),"SE1_KA05D8227_Tanker")</f>
        <v>SE1_KA05D8227_Tanker</v>
      </c>
      <c r="C1709" s="1" t="str">
        <f ca="1">IFERROR(__xludf.DUMMYFUNCTION("""COMPUTED_VALUE"""),"se1_ka05d8227_tanker")</f>
        <v>se1_ka05d8227_tanker</v>
      </c>
      <c r="D1709" s="2">
        <f ca="1">IFERROR(__xludf.DUMMYFUNCTION("""COMPUTED_VALUE"""),44738)</f>
        <v>44738</v>
      </c>
      <c r="E1709" s="3">
        <f ca="1">IFERROR(__xludf.DUMMYFUNCTION("""COMPUTED_VALUE"""),0.99920138888774)</f>
        <v>0.99920138888774002</v>
      </c>
      <c r="F1709" s="1">
        <f ca="1">IFERROR(__xludf.DUMMYFUNCTION("""COMPUTED_VALUE"""),47819)</f>
        <v>47819</v>
      </c>
      <c r="G1709" s="1" t="str">
        <f ca="1">IFERROR(__xludf.DUMMYFUNCTION("""COMPUTED_VALUE"""),"12.9612/77.6384")</f>
        <v>12.9612/77.6384</v>
      </c>
      <c r="H1709" s="1" t="str">
        <f ca="1">IFERROR(__xludf.DUMMYFUNCTION("""COMPUTED_VALUE"""),"Domlur Bus Stop")</f>
        <v>Domlur Bus Stop</v>
      </c>
      <c r="I1709" s="1"/>
      <c r="J1709" s="1" t="str">
        <f ca="1">IFERROR(__xludf.DUMMYFUNCTION("""COMPUTED_VALUE"""),"0d 00h 00m")</f>
        <v>0d 00h 00m</v>
      </c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13.2">
      <c r="A1710" s="1">
        <f ca="1">IFERROR(__xludf.DUMMYFUNCTION("""COMPUTED_VALUE"""),125)</f>
        <v>125</v>
      </c>
      <c r="B1710" s="1" t="str">
        <f ca="1">IFERROR(__xludf.DUMMYFUNCTION("""COMPUTED_VALUE"""),"SE1_KA05D8227_Tanker")</f>
        <v>SE1_KA05D8227_Tanker</v>
      </c>
      <c r="C1710" s="1" t="str">
        <f ca="1">IFERROR(__xludf.DUMMYFUNCTION("""COMPUTED_VALUE"""),"se1_ka05d8227_tanker")</f>
        <v>se1_ka05d8227_tanker</v>
      </c>
      <c r="D1710" s="2">
        <f ca="1">IFERROR(__xludf.DUMMYFUNCTION("""COMPUTED_VALUE"""),44766)</f>
        <v>44766</v>
      </c>
      <c r="E1710" s="3">
        <f ca="1">IFERROR(__xludf.DUMMYFUNCTION("""COMPUTED_VALUE"""),0.969120370369637)</f>
        <v>0.96912037036963705</v>
      </c>
      <c r="F1710" s="1">
        <f ca="1">IFERROR(__xludf.DUMMYFUNCTION("""COMPUTED_VALUE"""),47824)</f>
        <v>47824</v>
      </c>
      <c r="G1710" s="1" t="str">
        <f ca="1">IFERROR(__xludf.DUMMYFUNCTION("""COMPUTED_VALUE"""),"12.9612/77.6383")</f>
        <v>12.9612/77.6383</v>
      </c>
      <c r="H1710" s="1" t="str">
        <f ca="1">IFERROR(__xludf.DUMMYFUNCTION("""COMPUTED_VALUE"""),"Domlur Bus Stop")</f>
        <v>Domlur Bus Stop</v>
      </c>
      <c r="I1710" s="1"/>
      <c r="J1710" s="1" t="str">
        <f ca="1">IFERROR(__xludf.DUMMYFUNCTION("""COMPUTED_VALUE"""),"0d 00h 00m")</f>
        <v>0d 00h 00m</v>
      </c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13.2">
      <c r="A1711" s="1">
        <f ca="1">IFERROR(__xludf.DUMMYFUNCTION("""COMPUTED_VALUE"""),90)</f>
        <v>90</v>
      </c>
      <c r="B1711" s="1" t="str">
        <f ca="1">IFERROR(__xludf.DUMMYFUNCTION("""COMPUTED_VALUE"""),"SE1_KA05D8227_Tanker")</f>
        <v>SE1_KA05D8227_Tanker</v>
      </c>
      <c r="C1711" s="1" t="str">
        <f ca="1">IFERROR(__xludf.DUMMYFUNCTION("""COMPUTED_VALUE"""),"se1_ka05d8227_tanker")</f>
        <v>se1_ka05d8227_tanker</v>
      </c>
      <c r="D1711" s="2">
        <f ca="1">IFERROR(__xludf.DUMMYFUNCTION("""COMPUTED_VALUE"""),44776)</f>
        <v>44776</v>
      </c>
      <c r="E1711" s="3">
        <f ca="1">IFERROR(__xludf.DUMMYFUNCTION("""COMPUTED_VALUE"""),0.348449074073869)</f>
        <v>0.34844907407386899</v>
      </c>
      <c r="F1711" s="1">
        <f ca="1">IFERROR(__xludf.DUMMYFUNCTION("""COMPUTED_VALUE"""),47824)</f>
        <v>47824</v>
      </c>
      <c r="G1711" s="1" t="str">
        <f ca="1">IFERROR(__xludf.DUMMYFUNCTION("""COMPUTED_VALUE"""),"12.9613/77.6385")</f>
        <v>12.9613/77.6385</v>
      </c>
      <c r="H1711" s="1" t="str">
        <f ca="1">IFERROR(__xludf.DUMMYFUNCTION("""COMPUTED_VALUE"""),"Domlur Bus Stop")</f>
        <v>Domlur Bus Stop</v>
      </c>
      <c r="I1711" s="1"/>
      <c r="J1711" s="1" t="str">
        <f ca="1">IFERROR(__xludf.DUMMYFUNCTION("""COMPUTED_VALUE"""),"0d 00h 00m")</f>
        <v>0d 00h 00m</v>
      </c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13.2">
      <c r="A1712" s="1">
        <f ca="1">IFERROR(__xludf.DUMMYFUNCTION("""COMPUTED_VALUE"""),63)</f>
        <v>63</v>
      </c>
      <c r="B1712" s="1" t="str">
        <f ca="1">IFERROR(__xludf.DUMMYFUNCTION("""COMPUTED_VALUE"""),"SE1_KA05D8227_Tanker")</f>
        <v>SE1_KA05D8227_Tanker</v>
      </c>
      <c r="C1712" s="1" t="str">
        <f ca="1">IFERROR(__xludf.DUMMYFUNCTION("""COMPUTED_VALUE"""),"se1_ka05d8227_tanker")</f>
        <v>se1_ka05d8227_tanker</v>
      </c>
      <c r="D1712" s="2">
        <f ca="1">IFERROR(__xludf.DUMMYFUNCTION("""COMPUTED_VALUE"""),44776)</f>
        <v>44776</v>
      </c>
      <c r="E1712" s="3">
        <f ca="1">IFERROR(__xludf.DUMMYFUNCTION("""COMPUTED_VALUE"""),0.348449074073869)</f>
        <v>0.34844907407386899</v>
      </c>
      <c r="F1712" s="1">
        <f ca="1">IFERROR(__xludf.DUMMYFUNCTION("""COMPUTED_VALUE"""),47824)</f>
        <v>47824</v>
      </c>
      <c r="G1712" s="1" t="str">
        <f ca="1">IFERROR(__xludf.DUMMYFUNCTION("""COMPUTED_VALUE"""),"12.9613/77.6385")</f>
        <v>12.9613/77.6385</v>
      </c>
      <c r="H1712" s="1" t="str">
        <f ca="1">IFERROR(__xludf.DUMMYFUNCTION("""COMPUTED_VALUE"""),"Domlur Bus Stop")</f>
        <v>Domlur Bus Stop</v>
      </c>
      <c r="I1712" s="1"/>
      <c r="J1712" s="1" t="str">
        <f ca="1">IFERROR(__xludf.DUMMYFUNCTION("""COMPUTED_VALUE"""),"0d 00h 00m")</f>
        <v>0d 00h 00m</v>
      </c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13.2">
      <c r="A1713" s="1">
        <f ca="1">IFERROR(__xludf.DUMMYFUNCTION("""COMPUTED_VALUE"""),190)</f>
        <v>190</v>
      </c>
      <c r="B1713" s="1" t="str">
        <f ca="1">IFERROR(__xludf.DUMMYFUNCTION("""COMPUTED_VALUE"""),"SE1_KA05D8227_Tanker")</f>
        <v>SE1_KA05D8227_Tanker</v>
      </c>
      <c r="C1713" s="1" t="str">
        <f ca="1">IFERROR(__xludf.DUMMYFUNCTION("""COMPUTED_VALUE"""),"se1_ka05d8227_tanker")</f>
        <v>se1_ka05d8227_tanker</v>
      </c>
      <c r="D1713" s="2">
        <f ca="1">IFERROR(__xludf.DUMMYFUNCTION("""COMPUTED_VALUE"""),44860)</f>
        <v>44860</v>
      </c>
      <c r="E1713" s="3">
        <f ca="1">IFERROR(__xludf.DUMMYFUNCTION("""COMPUTED_VALUE"""),0.999131944445252)</f>
        <v>0.999131944445252</v>
      </c>
      <c r="F1713" s="1">
        <f ca="1">IFERROR(__xludf.DUMMYFUNCTION("""COMPUTED_VALUE"""),47848)</f>
        <v>47848</v>
      </c>
      <c r="G1713" s="1" t="str">
        <f ca="1">IFERROR(__xludf.DUMMYFUNCTION("""COMPUTED_VALUE"""),"13.0102/77.5666")</f>
        <v>13.0102/77.5666</v>
      </c>
      <c r="H1713" s="1" t="str">
        <f ca="1">IFERROR(__xludf.DUMMYFUNCTION("""COMPUTED_VALUE"""),"Malleshwaram")</f>
        <v>Malleshwaram</v>
      </c>
      <c r="I1713" s="1"/>
      <c r="J1713" s="1" t="str">
        <f ca="1">IFERROR(__xludf.DUMMYFUNCTION("""COMPUTED_VALUE"""),"0d 00h 00m")</f>
        <v>0d 00h 00m</v>
      </c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13.2">
      <c r="A1714" s="1">
        <f ca="1">IFERROR(__xludf.DUMMYFUNCTION("""COMPUTED_VALUE"""),53)</f>
        <v>53</v>
      </c>
      <c r="B1714" s="1" t="str">
        <f ca="1">IFERROR(__xludf.DUMMYFUNCTION("""COMPUTED_VALUE"""),"SE2_KA03C5068_Tanker")</f>
        <v>SE2_KA03C5068_Tanker</v>
      </c>
      <c r="C1714" s="1" t="str">
        <f ca="1">IFERROR(__xludf.DUMMYFUNCTION("""COMPUTED_VALUE"""),"se2_ka03c5068_tanker")</f>
        <v>se2_ka03c5068_tanker</v>
      </c>
      <c r="D1714" s="2">
        <f ca="1">IFERROR(__xludf.DUMMYFUNCTION("""COMPUTED_VALUE"""),44623)</f>
        <v>44623</v>
      </c>
      <c r="E1714" s="3">
        <f ca="1">IFERROR(__xludf.DUMMYFUNCTION("""COMPUTED_VALUE"""),0.744409722221462)</f>
        <v>0.74440972222146196</v>
      </c>
      <c r="F1714" s="1">
        <f ca="1">IFERROR(__xludf.DUMMYFUNCTION("""COMPUTED_VALUE"""),1056415)</f>
        <v>1056415</v>
      </c>
      <c r="G1714" s="1" t="str">
        <f ca="1">IFERROR(__xludf.DUMMYFUNCTION("""COMPUTED_VALUE"""),"12.9705/77.5914")</f>
        <v>12.9705/77.5914</v>
      </c>
      <c r="H1714" s="1" t="str">
        <f ca="1">IFERROR(__xludf.DUMMYFUNCTION("""COMPUTED_VALUE"""),"Iris Hotel")</f>
        <v>Iris Hotel</v>
      </c>
      <c r="I1714" s="1"/>
      <c r="J1714" s="1" t="str">
        <f ca="1">IFERROR(__xludf.DUMMYFUNCTION("""COMPUTED_VALUE"""),"293d 16h 39m")</f>
        <v>293d 16h 39m</v>
      </c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13.2">
      <c r="A1715" s="1">
        <f ca="1">IFERROR(__xludf.DUMMYFUNCTION("""COMPUTED_VALUE"""),45)</f>
        <v>45</v>
      </c>
      <c r="B1715" s="1" t="str">
        <f ca="1">IFERROR(__xludf.DUMMYFUNCTION("""COMPUTED_VALUE"""),"SE2_KA03C5068_Tanker")</f>
        <v>SE2_KA03C5068_Tanker</v>
      </c>
      <c r="C1715" s="1" t="str">
        <f ca="1">IFERROR(__xludf.DUMMYFUNCTION("""COMPUTED_VALUE"""),"se2_ka03c5068_tanker")</f>
        <v>se2_ka03c5068_tanker</v>
      </c>
      <c r="D1715" s="2">
        <f ca="1">IFERROR(__xludf.DUMMYFUNCTION("""COMPUTED_VALUE"""),44623)</f>
        <v>44623</v>
      </c>
      <c r="E1715" s="3">
        <f ca="1">IFERROR(__xludf.DUMMYFUNCTION("""COMPUTED_VALUE"""),0.744409722221462)</f>
        <v>0.74440972222146196</v>
      </c>
      <c r="F1715" s="1">
        <f ca="1">IFERROR(__xludf.DUMMYFUNCTION("""COMPUTED_VALUE"""),1056415)</f>
        <v>1056415</v>
      </c>
      <c r="G1715" s="1" t="str">
        <f ca="1">IFERROR(__xludf.DUMMYFUNCTION("""COMPUTED_VALUE"""),"12.9705/77.5914")</f>
        <v>12.9705/77.5914</v>
      </c>
      <c r="H1715" s="1" t="str">
        <f ca="1">IFERROR(__xludf.DUMMYFUNCTION("""COMPUTED_VALUE"""),"Iris Hotel")</f>
        <v>Iris Hotel</v>
      </c>
      <c r="I1715" s="1"/>
      <c r="J1715" s="1" t="str">
        <f ca="1">IFERROR(__xludf.DUMMYFUNCTION("""COMPUTED_VALUE"""),"293d 16h 40m")</f>
        <v>293d 16h 40m</v>
      </c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13.2">
      <c r="A1716" s="1">
        <f ca="1">IFERROR(__xludf.DUMMYFUNCTION("""COMPUTED_VALUE"""),44)</f>
        <v>44</v>
      </c>
      <c r="B1716" s="1" t="str">
        <f ca="1">IFERROR(__xludf.DUMMYFUNCTION("""COMPUTED_VALUE"""),"SE2_KA03C5068_Tanker")</f>
        <v>SE2_KA03C5068_Tanker</v>
      </c>
      <c r="C1716" s="1" t="str">
        <f ca="1">IFERROR(__xludf.DUMMYFUNCTION("""COMPUTED_VALUE"""),"se2_ka03c5068_tanker")</f>
        <v>se2_ka03c5068_tanker</v>
      </c>
      <c r="D1716" s="2">
        <f ca="1">IFERROR(__xludf.DUMMYFUNCTION("""COMPUTED_VALUE"""),44623)</f>
        <v>44623</v>
      </c>
      <c r="E1716" s="3">
        <f ca="1">IFERROR(__xludf.DUMMYFUNCTION("""COMPUTED_VALUE"""),0.744409722221462)</f>
        <v>0.74440972222146196</v>
      </c>
      <c r="F1716" s="1">
        <f ca="1">IFERROR(__xludf.DUMMYFUNCTION("""COMPUTED_VALUE"""),1056415)</f>
        <v>1056415</v>
      </c>
      <c r="G1716" s="1" t="str">
        <f ca="1">IFERROR(__xludf.DUMMYFUNCTION("""COMPUTED_VALUE"""),"12.9705/77.5914")</f>
        <v>12.9705/77.5914</v>
      </c>
      <c r="H1716" s="1" t="str">
        <f ca="1">IFERROR(__xludf.DUMMYFUNCTION("""COMPUTED_VALUE"""),"Iris Hotel")</f>
        <v>Iris Hotel</v>
      </c>
      <c r="I1716" s="1"/>
      <c r="J1716" s="1" t="str">
        <f ca="1">IFERROR(__xludf.DUMMYFUNCTION("""COMPUTED_VALUE"""),"293d 16h 41m")</f>
        <v>293d 16h 41m</v>
      </c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13.2">
      <c r="A1717" s="1">
        <f ca="1">IFERROR(__xludf.DUMMYFUNCTION("""COMPUTED_VALUE"""),44)</f>
        <v>44</v>
      </c>
      <c r="B1717" s="1" t="str">
        <f ca="1">IFERROR(__xludf.DUMMYFUNCTION("""COMPUTED_VALUE"""),"SE2_KA03C5068_Tanker")</f>
        <v>SE2_KA03C5068_Tanker</v>
      </c>
      <c r="C1717" s="1" t="str">
        <f ca="1">IFERROR(__xludf.DUMMYFUNCTION("""COMPUTED_VALUE"""),"se2_ka03c5068_tanker")</f>
        <v>se2_ka03c5068_tanker</v>
      </c>
      <c r="D1717" s="2">
        <f ca="1">IFERROR(__xludf.DUMMYFUNCTION("""COMPUTED_VALUE"""),44623)</f>
        <v>44623</v>
      </c>
      <c r="E1717" s="3">
        <f ca="1">IFERROR(__xludf.DUMMYFUNCTION("""COMPUTED_VALUE"""),0.744409722221462)</f>
        <v>0.74440972222146196</v>
      </c>
      <c r="F1717" s="1">
        <f ca="1">IFERROR(__xludf.DUMMYFUNCTION("""COMPUTED_VALUE"""),1056415)</f>
        <v>1056415</v>
      </c>
      <c r="G1717" s="1" t="str">
        <f ca="1">IFERROR(__xludf.DUMMYFUNCTION("""COMPUTED_VALUE"""),"12.9705/77.5914")</f>
        <v>12.9705/77.5914</v>
      </c>
      <c r="H1717" s="1" t="str">
        <f ca="1">IFERROR(__xludf.DUMMYFUNCTION("""COMPUTED_VALUE"""),"Iris Hotel")</f>
        <v>Iris Hotel</v>
      </c>
      <c r="I1717" s="1"/>
      <c r="J1717" s="1" t="str">
        <f ca="1">IFERROR(__xludf.DUMMYFUNCTION("""COMPUTED_VALUE"""),"293d 16h 42m")</f>
        <v>293d 16h 42m</v>
      </c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13.2">
      <c r="A1718" s="1">
        <f ca="1">IFERROR(__xludf.DUMMYFUNCTION("""COMPUTED_VALUE"""),41)</f>
        <v>41</v>
      </c>
      <c r="B1718" s="1" t="str">
        <f ca="1">IFERROR(__xludf.DUMMYFUNCTION("""COMPUTED_VALUE"""),"SE2_KA03C5068_Tanker")</f>
        <v>SE2_KA03C5068_Tanker</v>
      </c>
      <c r="C1718" s="1" t="str">
        <f ca="1">IFERROR(__xludf.DUMMYFUNCTION("""COMPUTED_VALUE"""),"se2_ka03c5068_tanker")</f>
        <v>se2_ka03c5068_tanker</v>
      </c>
      <c r="D1718" s="2">
        <f ca="1">IFERROR(__xludf.DUMMYFUNCTION("""COMPUTED_VALUE"""),44623)</f>
        <v>44623</v>
      </c>
      <c r="E1718" s="3">
        <f ca="1">IFERROR(__xludf.DUMMYFUNCTION("""COMPUTED_VALUE"""),0.744409722221462)</f>
        <v>0.74440972222146196</v>
      </c>
      <c r="F1718" s="1">
        <f ca="1">IFERROR(__xludf.DUMMYFUNCTION("""COMPUTED_VALUE"""),1056415)</f>
        <v>1056415</v>
      </c>
      <c r="G1718" s="1" t="str">
        <f ca="1">IFERROR(__xludf.DUMMYFUNCTION("""COMPUTED_VALUE"""),"12.9705/77.5914")</f>
        <v>12.9705/77.5914</v>
      </c>
      <c r="H1718" s="1" t="str">
        <f ca="1">IFERROR(__xludf.DUMMYFUNCTION("""COMPUTED_VALUE"""),"Iris Hotel")</f>
        <v>Iris Hotel</v>
      </c>
      <c r="I1718" s="1"/>
      <c r="J1718" s="1" t="str">
        <f ca="1">IFERROR(__xludf.DUMMYFUNCTION("""COMPUTED_VALUE"""),"293d 16h 43m")</f>
        <v>293d 16h 43m</v>
      </c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13.2">
      <c r="A1719" s="1">
        <f ca="1">IFERROR(__xludf.DUMMYFUNCTION("""COMPUTED_VALUE"""),41)</f>
        <v>41</v>
      </c>
      <c r="B1719" s="1" t="str">
        <f ca="1">IFERROR(__xludf.DUMMYFUNCTION("""COMPUTED_VALUE"""),"SE2_KA03C5068_Tanker")</f>
        <v>SE2_KA03C5068_Tanker</v>
      </c>
      <c r="C1719" s="1" t="str">
        <f ca="1">IFERROR(__xludf.DUMMYFUNCTION("""COMPUTED_VALUE"""),"se2_ka03c5068_tanker")</f>
        <v>se2_ka03c5068_tanker</v>
      </c>
      <c r="D1719" s="2">
        <f ca="1">IFERROR(__xludf.DUMMYFUNCTION("""COMPUTED_VALUE"""),44623)</f>
        <v>44623</v>
      </c>
      <c r="E1719" s="3">
        <f ca="1">IFERROR(__xludf.DUMMYFUNCTION("""COMPUTED_VALUE"""),0.744409722221462)</f>
        <v>0.74440972222146196</v>
      </c>
      <c r="F1719" s="1">
        <f ca="1">IFERROR(__xludf.DUMMYFUNCTION("""COMPUTED_VALUE"""),1056415)</f>
        <v>1056415</v>
      </c>
      <c r="G1719" s="1" t="str">
        <f ca="1">IFERROR(__xludf.DUMMYFUNCTION("""COMPUTED_VALUE"""),"12.9705/77.5914")</f>
        <v>12.9705/77.5914</v>
      </c>
      <c r="H1719" s="1" t="str">
        <f ca="1">IFERROR(__xludf.DUMMYFUNCTION("""COMPUTED_VALUE"""),"Iris Hotel")</f>
        <v>Iris Hotel</v>
      </c>
      <c r="I1719" s="1"/>
      <c r="J1719" s="1" t="str">
        <f ca="1">IFERROR(__xludf.DUMMYFUNCTION("""COMPUTED_VALUE"""),"293d 16h 43m")</f>
        <v>293d 16h 43m</v>
      </c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13.2">
      <c r="A1720" s="1">
        <f ca="1">IFERROR(__xludf.DUMMYFUNCTION("""COMPUTED_VALUE"""),139)</f>
        <v>139</v>
      </c>
      <c r="B1720" s="1" t="str">
        <f ca="1">IFERROR(__xludf.DUMMYFUNCTION("""COMPUTED_VALUE"""),"SE2_KA049409_JETTING")</f>
        <v>SE2_KA049409_JETTING</v>
      </c>
      <c r="C1720" s="1" t="str">
        <f ca="1">IFERROR(__xludf.DUMMYFUNCTION("""COMPUTED_VALUE"""),"se2_ka049409_jetting")</f>
        <v>se2_ka049409_jetting</v>
      </c>
      <c r="D1720" s="2">
        <f ca="1">IFERROR(__xludf.DUMMYFUNCTION("""COMPUTED_VALUE"""),45156)</f>
        <v>45156</v>
      </c>
      <c r="E1720" s="3">
        <f ca="1">IFERROR(__xludf.DUMMYFUNCTION("""COMPUTED_VALUE"""),0.619826388887304)</f>
        <v>0.61982638888730401</v>
      </c>
      <c r="F1720" s="1">
        <f ca="1">IFERROR(__xludf.DUMMYFUNCTION("""COMPUTED_VALUE"""),12202)</f>
        <v>12202</v>
      </c>
      <c r="G1720" s="1" t="str">
        <f ca="1">IFERROR(__xludf.DUMMYFUNCTION("""COMPUTED_VALUE"""),"12.9868/77.6478")</f>
        <v>12.9868/77.6478</v>
      </c>
      <c r="H1720" s="1" t="str">
        <f ca="1">IFERROR(__xludf.DUMMYFUNCTION("""COMPUTED_VALUE"""),"Baiyyappanahalli")</f>
        <v>Baiyyappanahalli</v>
      </c>
      <c r="I1720" s="1"/>
      <c r="J1720" s="1" t="str">
        <f ca="1">IFERROR(__xludf.DUMMYFUNCTION("""COMPUTED_VALUE"""),"150d 01h 40m")</f>
        <v>150d 01h 40m</v>
      </c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13.2">
      <c r="A1721" s="1">
        <f ca="1">IFERROR(__xludf.DUMMYFUNCTION("""COMPUTED_VALUE"""),136)</f>
        <v>136</v>
      </c>
      <c r="B1721" s="1" t="str">
        <f ca="1">IFERROR(__xludf.DUMMYFUNCTION("""COMPUTED_VALUE"""),"SE2_KA049409_JETTING")</f>
        <v>SE2_KA049409_JETTING</v>
      </c>
      <c r="C1721" s="1" t="str">
        <f ca="1">IFERROR(__xludf.DUMMYFUNCTION("""COMPUTED_VALUE"""),"se2_ka049409_jetting")</f>
        <v>se2_ka049409_jetting</v>
      </c>
      <c r="D1721" s="2">
        <f ca="1">IFERROR(__xludf.DUMMYFUNCTION("""COMPUTED_VALUE"""),45156)</f>
        <v>45156</v>
      </c>
      <c r="E1721" s="3">
        <f ca="1">IFERROR(__xludf.DUMMYFUNCTION("""COMPUTED_VALUE"""),0.619826388887304)</f>
        <v>0.61982638888730401</v>
      </c>
      <c r="F1721" s="1">
        <f ca="1">IFERROR(__xludf.DUMMYFUNCTION("""COMPUTED_VALUE"""),12202)</f>
        <v>12202</v>
      </c>
      <c r="G1721" s="1" t="str">
        <f ca="1">IFERROR(__xludf.DUMMYFUNCTION("""COMPUTED_VALUE"""),"12.9868/77.6478")</f>
        <v>12.9868/77.6478</v>
      </c>
      <c r="H1721" s="1" t="str">
        <f ca="1">IFERROR(__xludf.DUMMYFUNCTION("""COMPUTED_VALUE"""),"Baiyyappanahalli")</f>
        <v>Baiyyappanahalli</v>
      </c>
      <c r="I1721" s="1"/>
      <c r="J1721" s="1" t="str">
        <f ca="1">IFERROR(__xludf.DUMMYFUNCTION("""COMPUTED_VALUE"""),"150d 01h 41m")</f>
        <v>150d 01h 41m</v>
      </c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13.2">
      <c r="A1722" s="1">
        <f ca="1">IFERROR(__xludf.DUMMYFUNCTION("""COMPUTED_VALUE"""),154)</f>
        <v>154</v>
      </c>
      <c r="B1722" s="1" t="str">
        <f ca="1">IFERROR(__xludf.DUMMYFUNCTION("""COMPUTED_VALUE"""),"SE2_KA04A3282_Jetting")</f>
        <v>SE2_KA04A3282_Jetting</v>
      </c>
      <c r="C1722" s="1" t="str">
        <f ca="1">IFERROR(__xludf.DUMMYFUNCTION("""COMPUTED_VALUE"""),"se2_ka04a3282_jetting")</f>
        <v>se2_ka04a3282_jetting</v>
      </c>
      <c r="D1722" s="2">
        <f ca="1">IFERROR(__xludf.DUMMYFUNCTION("""COMPUTED_VALUE"""),44707)</f>
        <v>44707</v>
      </c>
      <c r="E1722" s="3">
        <f ca="1">IFERROR(__xludf.DUMMYFUNCTION("""COMPUTED_VALUE"""),0.998981481479859)</f>
        <v>0.99898148147985899</v>
      </c>
      <c r="F1722" s="1">
        <f ca="1">IFERROR(__xludf.DUMMYFUNCTION("""COMPUTED_VALUE"""),21686)</f>
        <v>21686</v>
      </c>
      <c r="G1722" s="1" t="str">
        <f ca="1">IFERROR(__xludf.DUMMYFUNCTION("""COMPUTED_VALUE"""),"12.9827/77.6497")</f>
        <v>12.9827/77.6497</v>
      </c>
      <c r="H1722" s="1" t="str">
        <f ca="1">IFERROR(__xludf.DUMMYFUNCTION("""COMPUTED_VALUE"""),"Thippasandra")</f>
        <v>Thippasandra</v>
      </c>
      <c r="I1722" s="1"/>
      <c r="J1722" s="1" t="str">
        <f ca="1">IFERROR(__xludf.DUMMYFUNCTION("""COMPUTED_VALUE"""),"0d 01h 01m")</f>
        <v>0d 01h 01m</v>
      </c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13.2">
      <c r="A1723" s="1">
        <f ca="1">IFERROR(__xludf.DUMMYFUNCTION("""COMPUTED_VALUE"""),160)</f>
        <v>160</v>
      </c>
      <c r="B1723" s="1" t="str">
        <f ca="1">IFERROR(__xludf.DUMMYFUNCTION("""COMPUTED_VALUE"""),"SE2_KA04A3282_Jetting")</f>
        <v>SE2_KA04A3282_Jetting</v>
      </c>
      <c r="C1723" s="1" t="str">
        <f ca="1">IFERROR(__xludf.DUMMYFUNCTION("""COMPUTED_VALUE"""),"se2_ka04a3282_jetting")</f>
        <v>se2_ka04a3282_jetting</v>
      </c>
      <c r="D1723" s="2">
        <f ca="1">IFERROR(__xludf.DUMMYFUNCTION("""COMPUTED_VALUE"""),44738)</f>
        <v>44738</v>
      </c>
      <c r="E1723" s="3">
        <f ca="1">IFERROR(__xludf.DUMMYFUNCTION("""COMPUTED_VALUE"""),0.998969907406717)</f>
        <v>0.99896990740671698</v>
      </c>
      <c r="F1723" s="1">
        <f ca="1">IFERROR(__xludf.DUMMYFUNCTION("""COMPUTED_VALUE"""),22087)</f>
        <v>22087</v>
      </c>
      <c r="G1723" s="1" t="str">
        <f ca="1">IFERROR(__xludf.DUMMYFUNCTION("""COMPUTED_VALUE"""),"12.9826/77.6498")</f>
        <v>12.9826/77.6498</v>
      </c>
      <c r="H1723" s="1" t="str">
        <f ca="1">IFERROR(__xludf.DUMMYFUNCTION("""COMPUTED_VALUE"""),"Thippasandra")</f>
        <v>Thippasandra</v>
      </c>
      <c r="I1723" s="1"/>
      <c r="J1723" s="1" t="str">
        <f ca="1">IFERROR(__xludf.DUMMYFUNCTION("""COMPUTED_VALUE"""),"0d 01h 02m")</f>
        <v>0d 01h 02m</v>
      </c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13.2">
      <c r="A1724" s="1">
        <f ca="1">IFERROR(__xludf.DUMMYFUNCTION("""COMPUTED_VALUE"""),228)</f>
        <v>228</v>
      </c>
      <c r="B1724" s="1" t="str">
        <f ca="1">IFERROR(__xludf.DUMMYFUNCTION("""COMPUTED_VALUE"""),"SE2_KA04A3282_Jetting")</f>
        <v>SE2_KA04A3282_Jetting</v>
      </c>
      <c r="C1724" s="1" t="str">
        <f ca="1">IFERROR(__xludf.DUMMYFUNCTION("""COMPUTED_VALUE"""),"se2_ka04a3282_jetting")</f>
        <v>se2_ka04a3282_jetting</v>
      </c>
      <c r="D1724" s="2">
        <f ca="1">IFERROR(__xludf.DUMMYFUNCTION("""COMPUTED_VALUE"""),44768)</f>
        <v>44768</v>
      </c>
      <c r="E1724" s="3">
        <f ca="1">IFERROR(__xludf.DUMMYFUNCTION("""COMPUTED_VALUE"""),0.999282407407008)</f>
        <v>0.99928240740700802</v>
      </c>
      <c r="F1724" s="1">
        <f ca="1">IFERROR(__xludf.DUMMYFUNCTION("""COMPUTED_VALUE"""),22191)</f>
        <v>22191</v>
      </c>
      <c r="G1724" s="1" t="str">
        <f ca="1">IFERROR(__xludf.DUMMYFUNCTION("""COMPUTED_VALUE"""),"12.9828/77.6500")</f>
        <v>12.9828/77.6500</v>
      </c>
      <c r="H1724" s="1" t="str">
        <f ca="1">IFERROR(__xludf.DUMMYFUNCTION("""COMPUTED_VALUE"""),"Thippasandra")</f>
        <v>Thippasandra</v>
      </c>
      <c r="I1724" s="1"/>
      <c r="J1724" s="1" t="str">
        <f ca="1">IFERROR(__xludf.DUMMYFUNCTION("""COMPUTED_VALUE"""),"0d 01h 02m")</f>
        <v>0d 01h 02m</v>
      </c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13.2">
      <c r="A1725" s="1">
        <f ca="1">IFERROR(__xludf.DUMMYFUNCTION("""COMPUTED_VALUE"""),117)</f>
        <v>117</v>
      </c>
      <c r="B1725" s="1" t="str">
        <f ca="1">IFERROR(__xludf.DUMMYFUNCTION("""COMPUTED_VALUE"""),"SE2_KA04A3282_Jetting")</f>
        <v>SE2_KA04A3282_Jetting</v>
      </c>
      <c r="C1725" s="1" t="str">
        <f ca="1">IFERROR(__xludf.DUMMYFUNCTION("""COMPUTED_VALUE"""),"se2_ka04a3282_jetting")</f>
        <v>se2_ka04a3282_jetting</v>
      </c>
      <c r="D1725" s="2">
        <f ca="1">IFERROR(__xludf.DUMMYFUNCTION("""COMPUTED_VALUE"""),44790)</f>
        <v>44790</v>
      </c>
      <c r="E1725" s="3">
        <f ca="1">IFERROR(__xludf.DUMMYFUNCTION("""COMPUTED_VALUE"""),0.531064814815181)</f>
        <v>0.53106481481518097</v>
      </c>
      <c r="F1725" s="1">
        <f ca="1">IFERROR(__xludf.DUMMYFUNCTION("""COMPUTED_VALUE"""),22429)</f>
        <v>22429</v>
      </c>
      <c r="G1725" s="1" t="str">
        <f ca="1">IFERROR(__xludf.DUMMYFUNCTION("""COMPUTED_VALUE"""),"12.9699/77.6564")</f>
        <v>12.9699/77.6564</v>
      </c>
      <c r="H1725" s="1" t="str">
        <f ca="1">IFERROR(__xludf.DUMMYFUNCTION("""COMPUTED_VALUE"""),"LIC Colony")</f>
        <v>LIC Colony</v>
      </c>
      <c r="I1725" s="1"/>
      <c r="J1725" s="1" t="str">
        <f ca="1">IFERROR(__xludf.DUMMYFUNCTION("""COMPUTED_VALUE"""),"0d 01h 03m")</f>
        <v>0d 01h 03m</v>
      </c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13.2">
      <c r="A1726" s="1">
        <f ca="1">IFERROR(__xludf.DUMMYFUNCTION("""COMPUTED_VALUE"""),78)</f>
        <v>78</v>
      </c>
      <c r="B1726" s="1" t="str">
        <f ca="1">IFERROR(__xludf.DUMMYFUNCTION("""COMPUTED_VALUE"""),"SE2_KA04A3282_Jetting")</f>
        <v>SE2_KA04A3282_Jetting</v>
      </c>
      <c r="C1726" s="1" t="str">
        <f ca="1">IFERROR(__xludf.DUMMYFUNCTION("""COMPUTED_VALUE"""),"se2_ka04a3282_jetting")</f>
        <v>se2_ka04a3282_jetting</v>
      </c>
      <c r="D1726" s="2">
        <f ca="1">IFERROR(__xludf.DUMMYFUNCTION("""COMPUTED_VALUE"""),44790)</f>
        <v>44790</v>
      </c>
      <c r="E1726" s="3">
        <f ca="1">IFERROR(__xludf.DUMMYFUNCTION("""COMPUTED_VALUE"""),0.531064814815181)</f>
        <v>0.53106481481518097</v>
      </c>
      <c r="F1726" s="1">
        <f ca="1">IFERROR(__xludf.DUMMYFUNCTION("""COMPUTED_VALUE"""),22429)</f>
        <v>22429</v>
      </c>
      <c r="G1726" s="1" t="str">
        <f ca="1">IFERROR(__xludf.DUMMYFUNCTION("""COMPUTED_VALUE"""),"12.9699/77.6564")</f>
        <v>12.9699/77.6564</v>
      </c>
      <c r="H1726" s="1" t="str">
        <f ca="1">IFERROR(__xludf.DUMMYFUNCTION("""COMPUTED_VALUE"""),"LIC Colony")</f>
        <v>LIC Colony</v>
      </c>
      <c r="I1726" s="1"/>
      <c r="J1726" s="1" t="str">
        <f ca="1">IFERROR(__xludf.DUMMYFUNCTION("""COMPUTED_VALUE"""),"0d 01h 04m")</f>
        <v>0d 01h 04m</v>
      </c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13.2">
      <c r="A1727" s="1">
        <f ca="1">IFERROR(__xludf.DUMMYFUNCTION("""COMPUTED_VALUE"""),123)</f>
        <v>123</v>
      </c>
      <c r="B1727" s="1" t="str">
        <f ca="1">IFERROR(__xludf.DUMMYFUNCTION("""COMPUTED_VALUE"""),"SE2_KA04A3282_Jetting")</f>
        <v>SE2_KA04A3282_Jetting</v>
      </c>
      <c r="C1727" s="1" t="str">
        <f ca="1">IFERROR(__xludf.DUMMYFUNCTION("""COMPUTED_VALUE"""),"se2_ka04a3282_jetting")</f>
        <v>se2_ka04a3282_jetting</v>
      </c>
      <c r="D1727" s="2">
        <f ca="1">IFERROR(__xludf.DUMMYFUNCTION("""COMPUTED_VALUE"""),44860)</f>
        <v>44860</v>
      </c>
      <c r="E1727" s="3">
        <f ca="1">IFERROR(__xludf.DUMMYFUNCTION("""COMPUTED_VALUE"""),0.437453703703795)</f>
        <v>0.43745370370379499</v>
      </c>
      <c r="F1727" s="1">
        <f ca="1">IFERROR(__xludf.DUMMYFUNCTION("""COMPUTED_VALUE"""),22562)</f>
        <v>22562</v>
      </c>
      <c r="G1727" s="1" t="str">
        <f ca="1">IFERROR(__xludf.DUMMYFUNCTION("""COMPUTED_VALUE"""),"12.9725/77.6510")</f>
        <v>12.9725/77.6510</v>
      </c>
      <c r="H1727" s="1" t="str">
        <f ca="1">IFERROR(__xludf.DUMMYFUNCTION("""COMPUTED_VALUE"""),"Thippasandra")</f>
        <v>Thippasandra</v>
      </c>
      <c r="I1727" s="1"/>
      <c r="J1727" s="1" t="str">
        <f ca="1">IFERROR(__xludf.DUMMYFUNCTION("""COMPUTED_VALUE"""),"0d 01h 05m")</f>
        <v>0d 01h 05m</v>
      </c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13.2">
      <c r="A1728" s="1">
        <f ca="1">IFERROR(__xludf.DUMMYFUNCTION("""COMPUTED_VALUE"""),205)</f>
        <v>205</v>
      </c>
      <c r="B1728" s="1" t="str">
        <f ca="1">IFERROR(__xludf.DUMMYFUNCTION("""COMPUTED_VALUE"""),"SE2_KA04AA7681_Desilting")</f>
        <v>SE2_KA04AA7681_Desilting</v>
      </c>
      <c r="C1728" s="1" t="str">
        <f ca="1">IFERROR(__xludf.DUMMYFUNCTION("""COMPUTED_VALUE"""),"se2_ka04aa7681_desilting")</f>
        <v>se2_ka04aa7681_desilting</v>
      </c>
      <c r="D1728" s="2">
        <f ca="1">IFERROR(__xludf.DUMMYFUNCTION("""COMPUTED_VALUE"""),44707)</f>
        <v>44707</v>
      </c>
      <c r="E1728" s="3">
        <f ca="1">IFERROR(__xludf.DUMMYFUNCTION("""COMPUTED_VALUE"""),0.99921296296452)</f>
        <v>0.99921296296452</v>
      </c>
      <c r="F1728" s="1">
        <f ca="1">IFERROR(__xludf.DUMMYFUNCTION("""COMPUTED_VALUE"""),8725)</f>
        <v>8725</v>
      </c>
      <c r="G1728" s="1" t="str">
        <f ca="1">IFERROR(__xludf.DUMMYFUNCTION("""COMPUTED_VALUE"""),"12.9833/77.6492")</f>
        <v>12.9833/77.6492</v>
      </c>
      <c r="H1728" s="1" t="str">
        <f ca="1">IFERROR(__xludf.DUMMYFUNCTION("""COMPUTED_VALUE"""),"Thippasandra")</f>
        <v>Thippasandra</v>
      </c>
      <c r="I1728" s="1"/>
      <c r="J1728" s="1" t="str">
        <f ca="1">IFERROR(__xludf.DUMMYFUNCTION("""COMPUTED_VALUE"""),"0d 00h 00m")</f>
        <v>0d 00h 00m</v>
      </c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13.2">
      <c r="A1729" s="1">
        <f ca="1">IFERROR(__xludf.DUMMYFUNCTION("""COMPUTED_VALUE"""),168)</f>
        <v>168</v>
      </c>
      <c r="B1729" s="1" t="str">
        <f ca="1">IFERROR(__xludf.DUMMYFUNCTION("""COMPUTED_VALUE"""),"SE2_KA04AA7681_Desilting")</f>
        <v>SE2_KA04AA7681_Desilting</v>
      </c>
      <c r="C1729" s="1" t="str">
        <f ca="1">IFERROR(__xludf.DUMMYFUNCTION("""COMPUTED_VALUE"""),"se2_ka04aa7681_desilting")</f>
        <v>se2_ka04aa7681_desilting</v>
      </c>
      <c r="D1729" s="2">
        <f ca="1">IFERROR(__xludf.DUMMYFUNCTION("""COMPUTED_VALUE"""),44738)</f>
        <v>44738</v>
      </c>
      <c r="E1729" s="3">
        <f ca="1">IFERROR(__xludf.DUMMYFUNCTION("""COMPUTED_VALUE"""),0.999016203702922)</f>
        <v>0.99901620370292199</v>
      </c>
      <c r="F1729" s="1">
        <f ca="1">IFERROR(__xludf.DUMMYFUNCTION("""COMPUTED_VALUE"""),8991)</f>
        <v>8991</v>
      </c>
      <c r="G1729" s="1"/>
      <c r="H1729" s="1"/>
      <c r="I1729" s="1"/>
      <c r="J1729" s="1" t="str">
        <f ca="1">IFERROR(__xludf.DUMMYFUNCTION("""COMPUTED_VALUE"""),"0d 00h 00m")</f>
        <v>0d 00h 00m</v>
      </c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13.2">
      <c r="A1730" s="1">
        <f ca="1">IFERROR(__xludf.DUMMYFUNCTION("""COMPUTED_VALUE"""),183)</f>
        <v>183</v>
      </c>
      <c r="B1730" s="1" t="str">
        <f ca="1">IFERROR(__xludf.DUMMYFUNCTION("""COMPUTED_VALUE"""),"SE2_KA04AA7681_Desilting")</f>
        <v>SE2_KA04AA7681_Desilting</v>
      </c>
      <c r="C1730" s="1" t="str">
        <f ca="1">IFERROR(__xludf.DUMMYFUNCTION("""COMPUTED_VALUE"""),"se2_ka04aa7681_desilting")</f>
        <v>se2_ka04aa7681_desilting</v>
      </c>
      <c r="D1730" s="2">
        <f ca="1">IFERROR(__xludf.DUMMYFUNCTION("""COMPUTED_VALUE"""),44768)</f>
        <v>44768</v>
      </c>
      <c r="E1730" s="3">
        <f ca="1">IFERROR(__xludf.DUMMYFUNCTION("""COMPUTED_VALUE"""),0.999039351852843)</f>
        <v>0.99903935185284298</v>
      </c>
      <c r="F1730" s="1">
        <f ca="1">IFERROR(__xludf.DUMMYFUNCTION("""COMPUTED_VALUE"""),9083)</f>
        <v>9083</v>
      </c>
      <c r="G1730" s="1" t="str">
        <f ca="1">IFERROR(__xludf.DUMMYFUNCTION("""COMPUTED_VALUE"""),"13.0101/77.5663")</f>
        <v>13.0101/77.5663</v>
      </c>
      <c r="H1730" s="1" t="str">
        <f ca="1">IFERROR(__xludf.DUMMYFUNCTION("""COMPUTED_VALUE"""),"Malleshwaram")</f>
        <v>Malleshwaram</v>
      </c>
      <c r="I1730" s="1"/>
      <c r="J1730" s="1" t="str">
        <f ca="1">IFERROR(__xludf.DUMMYFUNCTION("""COMPUTED_VALUE"""),"0d 00h 00m")</f>
        <v>0d 00h 00m</v>
      </c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13.2">
      <c r="A1731" s="1">
        <f ca="1">IFERROR(__xludf.DUMMYFUNCTION("""COMPUTED_VALUE"""),197)</f>
        <v>197</v>
      </c>
      <c r="B1731" s="1" t="str">
        <f ca="1">IFERROR(__xludf.DUMMYFUNCTION("""COMPUTED_VALUE"""),"SE2_KA04AA7681_Desilting")</f>
        <v>SE2_KA04AA7681_Desilting</v>
      </c>
      <c r="C1731" s="1" t="str">
        <f ca="1">IFERROR(__xludf.DUMMYFUNCTION("""COMPUTED_VALUE"""),"se2_ka04aa7681_desilting")</f>
        <v>se2_ka04aa7681_desilting</v>
      </c>
      <c r="D1731" s="2">
        <f ca="1">IFERROR(__xludf.DUMMYFUNCTION("""COMPUTED_VALUE"""),44799)</f>
        <v>44799</v>
      </c>
      <c r="E1731" s="3">
        <f ca="1">IFERROR(__xludf.DUMMYFUNCTION("""COMPUTED_VALUE"""),0.999097222222189)</f>
        <v>0.999097222222189</v>
      </c>
      <c r="F1731" s="1">
        <f ca="1">IFERROR(__xludf.DUMMYFUNCTION("""COMPUTED_VALUE"""),9365)</f>
        <v>9365</v>
      </c>
      <c r="G1731" s="1" t="str">
        <f ca="1">IFERROR(__xludf.DUMMYFUNCTION("""COMPUTED_VALUE"""),"12.9827/77.6495")</f>
        <v>12.9827/77.6495</v>
      </c>
      <c r="H1731" s="1" t="str">
        <f ca="1">IFERROR(__xludf.DUMMYFUNCTION("""COMPUTED_VALUE"""),"Thippasandra")</f>
        <v>Thippasandra</v>
      </c>
      <c r="I1731" s="1"/>
      <c r="J1731" s="1" t="str">
        <f ca="1">IFERROR(__xludf.DUMMYFUNCTION("""COMPUTED_VALUE"""),"0d 00h 00m")</f>
        <v>0d 00h 00m</v>
      </c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13.2">
      <c r="A1732" s="1">
        <f ca="1">IFERROR(__xludf.DUMMYFUNCTION("""COMPUTED_VALUE"""),178)</f>
        <v>178</v>
      </c>
      <c r="B1732" s="1" t="str">
        <f ca="1">IFERROR(__xludf.DUMMYFUNCTION("""COMPUTED_VALUE"""),"SE2_KA04AA7681_Desilting")</f>
        <v>SE2_KA04AA7681_Desilting</v>
      </c>
      <c r="C1732" s="1" t="str">
        <f ca="1">IFERROR(__xludf.DUMMYFUNCTION("""COMPUTED_VALUE"""),"se2_ka04aa7681_desilting")</f>
        <v>se2_ka04aa7681_desilting</v>
      </c>
      <c r="D1732" s="2">
        <f ca="1">IFERROR(__xludf.DUMMYFUNCTION("""COMPUTED_VALUE"""),44830)</f>
        <v>44830</v>
      </c>
      <c r="E1732" s="3">
        <f ca="1">IFERROR(__xludf.DUMMYFUNCTION("""COMPUTED_VALUE"""),0.999050925925985)</f>
        <v>0.99905092592598499</v>
      </c>
      <c r="F1732" s="1">
        <f ca="1">IFERROR(__xludf.DUMMYFUNCTION("""COMPUTED_VALUE"""),9517)</f>
        <v>9517</v>
      </c>
      <c r="G1732" s="1" t="str">
        <f ca="1">IFERROR(__xludf.DUMMYFUNCTION("""COMPUTED_VALUE"""),"12.9832/77.6490")</f>
        <v>12.9832/77.6490</v>
      </c>
      <c r="H1732" s="1" t="str">
        <f ca="1">IFERROR(__xludf.DUMMYFUNCTION("""COMPUTED_VALUE"""),"Thippasandra")</f>
        <v>Thippasandra</v>
      </c>
      <c r="I1732" s="1"/>
      <c r="J1732" s="1" t="str">
        <f ca="1">IFERROR(__xludf.DUMMYFUNCTION("""COMPUTED_VALUE"""),"0d 00h 00m")</f>
        <v>0d 00h 00m</v>
      </c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13.2">
      <c r="A1733" s="1">
        <f ca="1">IFERROR(__xludf.DUMMYFUNCTION("""COMPUTED_VALUE"""),115)</f>
        <v>115</v>
      </c>
      <c r="B1733" s="1" t="str">
        <f ca="1">IFERROR(__xludf.DUMMYFUNCTION("""COMPUTED_VALUE"""),"SE2_KA04AA7681_Desilting")</f>
        <v>SE2_KA04AA7681_Desilting</v>
      </c>
      <c r="C1733" s="1" t="str">
        <f ca="1">IFERROR(__xludf.DUMMYFUNCTION("""COMPUTED_VALUE"""),"se2_ka04aa7681_desilting")</f>
        <v>se2_ka04aa7681_desilting</v>
      </c>
      <c r="D1733" s="2">
        <f ca="1">IFERROR(__xludf.DUMMYFUNCTION("""COMPUTED_VALUE"""),44859)</f>
        <v>44859</v>
      </c>
      <c r="E1733" s="3">
        <f ca="1">IFERROR(__xludf.DUMMYFUNCTION("""COMPUTED_VALUE"""),0.718622685184527)</f>
        <v>0.71862268518452699</v>
      </c>
      <c r="F1733" s="1">
        <f ca="1">IFERROR(__xludf.DUMMYFUNCTION("""COMPUTED_VALUE"""),9634)</f>
        <v>9634</v>
      </c>
      <c r="G1733" s="1" t="str">
        <f ca="1">IFERROR(__xludf.DUMMYFUNCTION("""COMPUTED_VALUE"""),"13.0102/77.5665")</f>
        <v>13.0102/77.5665</v>
      </c>
      <c r="H1733" s="1" t="str">
        <f ca="1">IFERROR(__xludf.DUMMYFUNCTION("""COMPUTED_VALUE"""),"Malleshwaram")</f>
        <v>Malleshwaram</v>
      </c>
      <c r="I1733" s="1"/>
      <c r="J1733" s="1" t="str">
        <f ca="1">IFERROR(__xludf.DUMMYFUNCTION("""COMPUTED_VALUE"""),"0d 00h 00m")</f>
        <v>0d 00h 00m</v>
      </c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13.2">
      <c r="A1734" s="1">
        <f ca="1">IFERROR(__xludf.DUMMYFUNCTION("""COMPUTED_VALUE"""),173)</f>
        <v>173</v>
      </c>
      <c r="B1734" s="1" t="str">
        <f ca="1">IFERROR(__xludf.DUMMYFUNCTION("""COMPUTED_VALUE"""),"SE2_KA04C2090_Jetting")</f>
        <v>SE2_KA04C2090_Jetting</v>
      </c>
      <c r="C1734" s="1" t="str">
        <f ca="1">IFERROR(__xludf.DUMMYFUNCTION("""COMPUTED_VALUE"""),"se2_ka04c2090_jetting")</f>
        <v>se2_ka04c2090_jetting</v>
      </c>
      <c r="D1734" s="2">
        <f ca="1">IFERROR(__xludf.DUMMYFUNCTION("""COMPUTED_VALUE"""),44707)</f>
        <v>44707</v>
      </c>
      <c r="E1734" s="3">
        <f ca="1">IFERROR(__xludf.DUMMYFUNCTION("""COMPUTED_VALUE"""),0.999062499999126)</f>
        <v>0.999062499999126</v>
      </c>
      <c r="F1734" s="1">
        <f ca="1">IFERROR(__xludf.DUMMYFUNCTION("""COMPUTED_VALUE"""),29589)</f>
        <v>29589</v>
      </c>
      <c r="G1734" s="1" t="str">
        <f ca="1">IFERROR(__xludf.DUMMYFUNCTION("""COMPUTED_VALUE"""),"12.9830/77.6496")</f>
        <v>12.9830/77.6496</v>
      </c>
      <c r="H1734" s="1" t="str">
        <f ca="1">IFERROR(__xludf.DUMMYFUNCTION("""COMPUTED_VALUE"""),"Thippasandra")</f>
        <v>Thippasandra</v>
      </c>
      <c r="I1734" s="1"/>
      <c r="J1734" s="1" t="str">
        <f ca="1">IFERROR(__xludf.DUMMYFUNCTION("""COMPUTED_VALUE"""),"0d 00h 00m")</f>
        <v>0d 00h 00m</v>
      </c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13.2">
      <c r="A1735" s="1">
        <f ca="1">IFERROR(__xludf.DUMMYFUNCTION("""COMPUTED_VALUE"""),158)</f>
        <v>158</v>
      </c>
      <c r="B1735" s="1" t="str">
        <f ca="1">IFERROR(__xludf.DUMMYFUNCTION("""COMPUTED_VALUE"""),"SE2_KA04C2090_Jetting")</f>
        <v>SE2_KA04C2090_Jetting</v>
      </c>
      <c r="C1735" s="1" t="str">
        <f ca="1">IFERROR(__xludf.DUMMYFUNCTION("""COMPUTED_VALUE"""),"se2_ka04c2090_jetting")</f>
        <v>se2_ka04c2090_jetting</v>
      </c>
      <c r="D1735" s="2">
        <f ca="1">IFERROR(__xludf.DUMMYFUNCTION("""COMPUTED_VALUE"""),44738)</f>
        <v>44738</v>
      </c>
      <c r="E1735" s="3">
        <f ca="1">IFERROR(__xludf.DUMMYFUNCTION("""COMPUTED_VALUE"""),0.99880787037182)</f>
        <v>0.99880787037181995</v>
      </c>
      <c r="F1735" s="1">
        <f ca="1">IFERROR(__xludf.DUMMYFUNCTION("""COMPUTED_VALUE"""),30013)</f>
        <v>30013</v>
      </c>
      <c r="G1735" s="1" t="str">
        <f ca="1">IFERROR(__xludf.DUMMYFUNCTION("""COMPUTED_VALUE"""),"12.9831/77.6495")</f>
        <v>12.9831/77.6495</v>
      </c>
      <c r="H1735" s="1" t="str">
        <f ca="1">IFERROR(__xludf.DUMMYFUNCTION("""COMPUTED_VALUE"""),"Thippasandra")</f>
        <v>Thippasandra</v>
      </c>
      <c r="I1735" s="1"/>
      <c r="J1735" s="1" t="str">
        <f ca="1">IFERROR(__xludf.DUMMYFUNCTION("""COMPUTED_VALUE"""),"0d 00h 00m")</f>
        <v>0d 00h 00m</v>
      </c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13.2">
      <c r="A1736" s="1">
        <f ca="1">IFERROR(__xludf.DUMMYFUNCTION("""COMPUTED_VALUE"""),185)</f>
        <v>185</v>
      </c>
      <c r="B1736" s="1" t="str">
        <f ca="1">IFERROR(__xludf.DUMMYFUNCTION("""COMPUTED_VALUE"""),"SE2_KA04C2090_Jetting")</f>
        <v>SE2_KA04C2090_Jetting</v>
      </c>
      <c r="C1736" s="1" t="str">
        <f ca="1">IFERROR(__xludf.DUMMYFUNCTION("""COMPUTED_VALUE"""),"se2_ka04c2090_jetting")</f>
        <v>se2_ka04c2090_jetting</v>
      </c>
      <c r="D1736" s="2">
        <f ca="1">IFERROR(__xludf.DUMMYFUNCTION("""COMPUTED_VALUE"""),44768)</f>
        <v>44768</v>
      </c>
      <c r="E1736" s="3">
        <f ca="1">IFERROR(__xludf.DUMMYFUNCTION("""COMPUTED_VALUE"""),0.999050925925985)</f>
        <v>0.99905092592598499</v>
      </c>
      <c r="F1736" s="1">
        <f ca="1">IFERROR(__xludf.DUMMYFUNCTION("""COMPUTED_VALUE"""),30448)</f>
        <v>30448</v>
      </c>
      <c r="G1736" s="1" t="str">
        <f ca="1">IFERROR(__xludf.DUMMYFUNCTION("""COMPUTED_VALUE"""),"12.9831/77.6495")</f>
        <v>12.9831/77.6495</v>
      </c>
      <c r="H1736" s="1" t="str">
        <f ca="1">IFERROR(__xludf.DUMMYFUNCTION("""COMPUTED_VALUE"""),"Thippasandra")</f>
        <v>Thippasandra</v>
      </c>
      <c r="I1736" s="1"/>
      <c r="J1736" s="1" t="str">
        <f ca="1">IFERROR(__xludf.DUMMYFUNCTION("""COMPUTED_VALUE"""),"0d 00h 00m")</f>
        <v>0d 00h 00m</v>
      </c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13.2">
      <c r="A1737" s="1">
        <f ca="1">IFERROR(__xludf.DUMMYFUNCTION("""COMPUTED_VALUE"""),171)</f>
        <v>171</v>
      </c>
      <c r="B1737" s="1" t="str">
        <f ca="1">IFERROR(__xludf.DUMMYFUNCTION("""COMPUTED_VALUE"""),"SE2_KA04C2090_Jetting")</f>
        <v>SE2_KA04C2090_Jetting</v>
      </c>
      <c r="C1737" s="1" t="str">
        <f ca="1">IFERROR(__xludf.DUMMYFUNCTION("""COMPUTED_VALUE"""),"se2_ka04c2090_jetting")</f>
        <v>se2_ka04c2090_jetting</v>
      </c>
      <c r="D1737" s="2">
        <f ca="1">IFERROR(__xludf.DUMMYFUNCTION("""COMPUTED_VALUE"""),44799)</f>
        <v>44799</v>
      </c>
      <c r="E1737" s="3">
        <f ca="1">IFERROR(__xludf.DUMMYFUNCTION("""COMPUTED_VALUE"""),0.998969907406717)</f>
        <v>0.99896990740671698</v>
      </c>
      <c r="F1737" s="1">
        <f ca="1">IFERROR(__xludf.DUMMYFUNCTION("""COMPUTED_VALUE"""),30895)</f>
        <v>30895</v>
      </c>
      <c r="G1737" s="1" t="str">
        <f ca="1">IFERROR(__xludf.DUMMYFUNCTION("""COMPUTED_VALUE"""),"12.9829/77.6496")</f>
        <v>12.9829/77.6496</v>
      </c>
      <c r="H1737" s="1" t="str">
        <f ca="1">IFERROR(__xludf.DUMMYFUNCTION("""COMPUTED_VALUE"""),"Thippasandra")</f>
        <v>Thippasandra</v>
      </c>
      <c r="I1737" s="1"/>
      <c r="J1737" s="1" t="str">
        <f ca="1">IFERROR(__xludf.DUMMYFUNCTION("""COMPUTED_VALUE"""),"0d 00h 00m")</f>
        <v>0d 00h 00m</v>
      </c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13.2">
      <c r="A1738" s="1">
        <f ca="1">IFERROR(__xludf.DUMMYFUNCTION("""COMPUTED_VALUE"""),193)</f>
        <v>193</v>
      </c>
      <c r="B1738" s="1" t="str">
        <f ca="1">IFERROR(__xludf.DUMMYFUNCTION("""COMPUTED_VALUE"""),"SE2_KA04C2090_Jetting")</f>
        <v>SE2_KA04C2090_Jetting</v>
      </c>
      <c r="C1738" s="1" t="str">
        <f ca="1">IFERROR(__xludf.DUMMYFUNCTION("""COMPUTED_VALUE"""),"se2_ka04c2090_jetting")</f>
        <v>se2_ka04c2090_jetting</v>
      </c>
      <c r="D1738" s="2">
        <f ca="1">IFERROR(__xludf.DUMMYFUNCTION("""COMPUTED_VALUE"""),44830)</f>
        <v>44830</v>
      </c>
      <c r="E1738" s="3">
        <f ca="1">IFERROR(__xludf.DUMMYFUNCTION("""COMPUTED_VALUE"""),0.999108796295331)</f>
        <v>0.999108796295331</v>
      </c>
      <c r="F1738" s="1">
        <f ca="1">IFERROR(__xludf.DUMMYFUNCTION("""COMPUTED_VALUE"""),31426)</f>
        <v>31426</v>
      </c>
      <c r="G1738" s="1" t="str">
        <f ca="1">IFERROR(__xludf.DUMMYFUNCTION("""COMPUTED_VALUE"""),"12.9827/77.6495")</f>
        <v>12.9827/77.6495</v>
      </c>
      <c r="H1738" s="1" t="str">
        <f ca="1">IFERROR(__xludf.DUMMYFUNCTION("""COMPUTED_VALUE"""),"Thippasandra")</f>
        <v>Thippasandra</v>
      </c>
      <c r="I1738" s="1"/>
      <c r="J1738" s="1" t="str">
        <f ca="1">IFERROR(__xludf.DUMMYFUNCTION("""COMPUTED_VALUE"""),"0d 00h 00m")</f>
        <v>0d 00h 00m</v>
      </c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13.2">
      <c r="A1739" s="1">
        <f ca="1">IFERROR(__xludf.DUMMYFUNCTION("""COMPUTED_VALUE"""),160)</f>
        <v>160</v>
      </c>
      <c r="B1739" s="1" t="str">
        <f ca="1">IFERROR(__xludf.DUMMYFUNCTION("""COMPUTED_VALUE"""),"SE2_KA04C2090_Jetting")</f>
        <v>SE2_KA04C2090_Jetting</v>
      </c>
      <c r="C1739" s="1" t="str">
        <f ca="1">IFERROR(__xludf.DUMMYFUNCTION("""COMPUTED_VALUE"""),"se2_ka04c2090_jetting")</f>
        <v>se2_ka04c2090_jetting</v>
      </c>
      <c r="D1739" s="2">
        <f ca="1">IFERROR(__xludf.DUMMYFUNCTION("""COMPUTED_VALUE"""),44860)</f>
        <v>44860</v>
      </c>
      <c r="E1739" s="3">
        <f ca="1">IFERROR(__xludf.DUMMYFUNCTION("""COMPUTED_VALUE"""),0.998935185183654)</f>
        <v>0.99893518518365398</v>
      </c>
      <c r="F1739" s="1">
        <f ca="1">IFERROR(__xludf.DUMMYFUNCTION("""COMPUTED_VALUE"""),31867)</f>
        <v>31867</v>
      </c>
      <c r="G1739" s="1" t="str">
        <f ca="1">IFERROR(__xludf.DUMMYFUNCTION("""COMPUTED_VALUE"""),"12.9830/77.6496")</f>
        <v>12.9830/77.6496</v>
      </c>
      <c r="H1739" s="1" t="str">
        <f ca="1">IFERROR(__xludf.DUMMYFUNCTION("""COMPUTED_VALUE"""),"Thippasandra")</f>
        <v>Thippasandra</v>
      </c>
      <c r="I1739" s="1"/>
      <c r="J1739" s="1" t="str">
        <f ca="1">IFERROR(__xludf.DUMMYFUNCTION("""COMPUTED_VALUE"""),"0d 00h 00m")</f>
        <v>0d 00h 00m</v>
      </c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13.2">
      <c r="A1740" s="1">
        <f ca="1">IFERROR(__xludf.DUMMYFUNCTION("""COMPUTED_VALUE"""),78)</f>
        <v>78</v>
      </c>
      <c r="B1740" s="1" t="str">
        <f ca="1">IFERROR(__xludf.DUMMYFUNCTION("""COMPUTED_VALUE"""),"SE2_KA04C5154_JETTING")</f>
        <v>SE2_KA04C5154_JETTING</v>
      </c>
      <c r="C1740" s="1" t="str">
        <f ca="1">IFERROR(__xludf.DUMMYFUNCTION("""COMPUTED_VALUE"""),"se2_ka04c5154_jetting")</f>
        <v>se2_ka04c5154_jetting</v>
      </c>
      <c r="D1740" s="2">
        <f ca="1">IFERROR(__xludf.DUMMYFUNCTION("""COMPUTED_VALUE"""),41640)</f>
        <v>41640</v>
      </c>
      <c r="E1740" s="3">
        <f ca="1">IFERROR(__xludf.DUMMYFUNCTION("""COMPUTED_VALUE"""),0.656712962962046)</f>
        <v>0.65671296296204595</v>
      </c>
      <c r="F1740" s="1">
        <f ca="1">IFERROR(__xludf.DUMMYFUNCTION("""COMPUTED_VALUE"""),18526)</f>
        <v>18526</v>
      </c>
      <c r="G1740" s="1" t="str">
        <f ca="1">IFERROR(__xludf.DUMMYFUNCTION("""COMPUTED_VALUE"""),"12.9754/77.6231")</f>
        <v>12.9754/77.6231</v>
      </c>
      <c r="H1740" s="1" t="str">
        <f ca="1">IFERROR(__xludf.DUMMYFUNCTION("""COMPUTED_VALUE"""),"Ulsoor")</f>
        <v>Ulsoor</v>
      </c>
      <c r="I1740" s="1"/>
      <c r="J1740" s="1" t="str">
        <f ca="1">IFERROR(__xludf.DUMMYFUNCTION("""COMPUTED_VALUE"""),"0d 01h 30m")</f>
        <v>0d 01h 30m</v>
      </c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13.2">
      <c r="A1741" s="1">
        <f ca="1">IFERROR(__xludf.DUMMYFUNCTION("""COMPUTED_VALUE"""),78)</f>
        <v>78</v>
      </c>
      <c r="B1741" s="1" t="str">
        <f ca="1">IFERROR(__xludf.DUMMYFUNCTION("""COMPUTED_VALUE"""),"SE2_KA04C5154_JETTING")</f>
        <v>SE2_KA04C5154_JETTING</v>
      </c>
      <c r="C1741" s="1" t="str">
        <f ca="1">IFERROR(__xludf.DUMMYFUNCTION("""COMPUTED_VALUE"""),"se2_ka04c5154_jetting")</f>
        <v>se2_ka04c5154_jetting</v>
      </c>
      <c r="D1741" s="2">
        <f ca="1">IFERROR(__xludf.DUMMYFUNCTION("""COMPUTED_VALUE"""),41640)</f>
        <v>41640</v>
      </c>
      <c r="E1741" s="3">
        <f ca="1">IFERROR(__xludf.DUMMYFUNCTION("""COMPUTED_VALUE"""),0.656712962962046)</f>
        <v>0.65671296296204595</v>
      </c>
      <c r="F1741" s="1">
        <f ca="1">IFERROR(__xludf.DUMMYFUNCTION("""COMPUTED_VALUE"""),18526)</f>
        <v>18526</v>
      </c>
      <c r="G1741" s="1" t="str">
        <f ca="1">IFERROR(__xludf.DUMMYFUNCTION("""COMPUTED_VALUE"""),"12.9754/77.6231")</f>
        <v>12.9754/77.6231</v>
      </c>
      <c r="H1741" s="1" t="str">
        <f ca="1">IFERROR(__xludf.DUMMYFUNCTION("""COMPUTED_VALUE"""),"Ulsoor")</f>
        <v>Ulsoor</v>
      </c>
      <c r="I1741" s="1"/>
      <c r="J1741" s="1" t="str">
        <f ca="1">IFERROR(__xludf.DUMMYFUNCTION("""COMPUTED_VALUE"""),"0d 01h 31m")</f>
        <v>0d 01h 31m</v>
      </c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13.2">
      <c r="A1742" s="1">
        <f ca="1">IFERROR(__xludf.DUMMYFUNCTION("""COMPUTED_VALUE"""),76)</f>
        <v>76</v>
      </c>
      <c r="B1742" s="1" t="str">
        <f ca="1">IFERROR(__xludf.DUMMYFUNCTION("""COMPUTED_VALUE"""),"SE2_KA04C5154_JETTING")</f>
        <v>SE2_KA04C5154_JETTING</v>
      </c>
      <c r="C1742" s="1" t="str">
        <f ca="1">IFERROR(__xludf.DUMMYFUNCTION("""COMPUTED_VALUE"""),"se2_ka04c5154_jetting")</f>
        <v>se2_ka04c5154_jetting</v>
      </c>
      <c r="D1742" s="2">
        <f ca="1">IFERROR(__xludf.DUMMYFUNCTION("""COMPUTED_VALUE"""),41640)</f>
        <v>41640</v>
      </c>
      <c r="E1742" s="3">
        <f ca="1">IFERROR(__xludf.DUMMYFUNCTION("""COMPUTED_VALUE"""),0.656712962962046)</f>
        <v>0.65671296296204595</v>
      </c>
      <c r="F1742" s="1">
        <f ca="1">IFERROR(__xludf.DUMMYFUNCTION("""COMPUTED_VALUE"""),18526)</f>
        <v>18526</v>
      </c>
      <c r="G1742" s="1" t="str">
        <f ca="1">IFERROR(__xludf.DUMMYFUNCTION("""COMPUTED_VALUE"""),"12.9754/77.6231")</f>
        <v>12.9754/77.6231</v>
      </c>
      <c r="H1742" s="1" t="str">
        <f ca="1">IFERROR(__xludf.DUMMYFUNCTION("""COMPUTED_VALUE"""),"Ulsoor")</f>
        <v>Ulsoor</v>
      </c>
      <c r="I1742" s="1"/>
      <c r="J1742" s="1" t="str">
        <f ca="1">IFERROR(__xludf.DUMMYFUNCTION("""COMPUTED_VALUE"""),"0d 01h 34m")</f>
        <v>0d 01h 34m</v>
      </c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13.2">
      <c r="A1743" s="1">
        <f ca="1">IFERROR(__xludf.DUMMYFUNCTION("""COMPUTED_VALUE"""),76)</f>
        <v>76</v>
      </c>
      <c r="B1743" s="1" t="str">
        <f ca="1">IFERROR(__xludf.DUMMYFUNCTION("""COMPUTED_VALUE"""),"SE2_KA04C5154_JETTING")</f>
        <v>SE2_KA04C5154_JETTING</v>
      </c>
      <c r="C1743" s="1" t="str">
        <f ca="1">IFERROR(__xludf.DUMMYFUNCTION("""COMPUTED_VALUE"""),"se2_ka04c5154_jetting")</f>
        <v>se2_ka04c5154_jetting</v>
      </c>
      <c r="D1743" s="2">
        <f ca="1">IFERROR(__xludf.DUMMYFUNCTION("""COMPUTED_VALUE"""),41640)</f>
        <v>41640</v>
      </c>
      <c r="E1743" s="3">
        <f ca="1">IFERROR(__xludf.DUMMYFUNCTION("""COMPUTED_VALUE"""),0.656712962962046)</f>
        <v>0.65671296296204595</v>
      </c>
      <c r="F1743" s="1">
        <f ca="1">IFERROR(__xludf.DUMMYFUNCTION("""COMPUTED_VALUE"""),18526)</f>
        <v>18526</v>
      </c>
      <c r="G1743" s="1" t="str">
        <f ca="1">IFERROR(__xludf.DUMMYFUNCTION("""COMPUTED_VALUE"""),"12.9754/77.6231")</f>
        <v>12.9754/77.6231</v>
      </c>
      <c r="H1743" s="1" t="str">
        <f ca="1">IFERROR(__xludf.DUMMYFUNCTION("""COMPUTED_VALUE"""),"Ulsoor")</f>
        <v>Ulsoor</v>
      </c>
      <c r="I1743" s="1"/>
      <c r="J1743" s="1" t="str">
        <f ca="1">IFERROR(__xludf.DUMMYFUNCTION("""COMPUTED_VALUE"""),"0d 01h 35m")</f>
        <v>0d 01h 35m</v>
      </c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13.2">
      <c r="A1744" s="1">
        <f ca="1">IFERROR(__xludf.DUMMYFUNCTION("""COMPUTED_VALUE"""),76)</f>
        <v>76</v>
      </c>
      <c r="B1744" s="1" t="str">
        <f ca="1">IFERROR(__xludf.DUMMYFUNCTION("""COMPUTED_VALUE"""),"SE2_KA04C5154_JETTING")</f>
        <v>SE2_KA04C5154_JETTING</v>
      </c>
      <c r="C1744" s="1" t="str">
        <f ca="1">IFERROR(__xludf.DUMMYFUNCTION("""COMPUTED_VALUE"""),"se2_ka04c5154_jetting")</f>
        <v>se2_ka04c5154_jetting</v>
      </c>
      <c r="D1744" s="2">
        <f ca="1">IFERROR(__xludf.DUMMYFUNCTION("""COMPUTED_VALUE"""),41640)</f>
        <v>41640</v>
      </c>
      <c r="E1744" s="3">
        <f ca="1">IFERROR(__xludf.DUMMYFUNCTION("""COMPUTED_VALUE"""),0.656712962962046)</f>
        <v>0.65671296296204595</v>
      </c>
      <c r="F1744" s="1">
        <f ca="1">IFERROR(__xludf.DUMMYFUNCTION("""COMPUTED_VALUE"""),18526)</f>
        <v>18526</v>
      </c>
      <c r="G1744" s="1" t="str">
        <f ca="1">IFERROR(__xludf.DUMMYFUNCTION("""COMPUTED_VALUE"""),"12.9754/77.6231")</f>
        <v>12.9754/77.6231</v>
      </c>
      <c r="H1744" s="1" t="str">
        <f ca="1">IFERROR(__xludf.DUMMYFUNCTION("""COMPUTED_VALUE"""),"Ulsoor")</f>
        <v>Ulsoor</v>
      </c>
      <c r="I1744" s="1"/>
      <c r="J1744" s="1" t="str">
        <f ca="1">IFERROR(__xludf.DUMMYFUNCTION("""COMPUTED_VALUE"""),"0d 01h 36m")</f>
        <v>0d 01h 36m</v>
      </c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13.2">
      <c r="A1745" s="1">
        <f ca="1">IFERROR(__xludf.DUMMYFUNCTION("""COMPUTED_VALUE"""),76)</f>
        <v>76</v>
      </c>
      <c r="B1745" s="1" t="str">
        <f ca="1">IFERROR(__xludf.DUMMYFUNCTION("""COMPUTED_VALUE"""),"SE2_KA04C5154_JETTING")</f>
        <v>SE2_KA04C5154_JETTING</v>
      </c>
      <c r="C1745" s="1" t="str">
        <f ca="1">IFERROR(__xludf.DUMMYFUNCTION("""COMPUTED_VALUE"""),"se2_ka04c5154_jetting")</f>
        <v>se2_ka04c5154_jetting</v>
      </c>
      <c r="D1745" s="2">
        <f ca="1">IFERROR(__xludf.DUMMYFUNCTION("""COMPUTED_VALUE"""),41640)</f>
        <v>41640</v>
      </c>
      <c r="E1745" s="3">
        <f ca="1">IFERROR(__xludf.DUMMYFUNCTION("""COMPUTED_VALUE"""),0.656712962962046)</f>
        <v>0.65671296296204595</v>
      </c>
      <c r="F1745" s="1">
        <f ca="1">IFERROR(__xludf.DUMMYFUNCTION("""COMPUTED_VALUE"""),18526)</f>
        <v>18526</v>
      </c>
      <c r="G1745" s="1" t="str">
        <f ca="1">IFERROR(__xludf.DUMMYFUNCTION("""COMPUTED_VALUE"""),"12.9754/77.6231")</f>
        <v>12.9754/77.6231</v>
      </c>
      <c r="H1745" s="1" t="str">
        <f ca="1">IFERROR(__xludf.DUMMYFUNCTION("""COMPUTED_VALUE"""),"Ulsoor")</f>
        <v>Ulsoor</v>
      </c>
      <c r="I1745" s="1"/>
      <c r="J1745" s="1" t="str">
        <f ca="1">IFERROR(__xludf.DUMMYFUNCTION("""COMPUTED_VALUE"""),"0d 01h 37m")</f>
        <v>0d 01h 37m</v>
      </c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13.2">
      <c r="A1746" s="1">
        <f ca="1">IFERROR(__xludf.DUMMYFUNCTION("""COMPUTED_VALUE"""),76)</f>
        <v>76</v>
      </c>
      <c r="B1746" s="1" t="str">
        <f ca="1">IFERROR(__xludf.DUMMYFUNCTION("""COMPUTED_VALUE"""),"SE2_KA04C5154_JETTING")</f>
        <v>SE2_KA04C5154_JETTING</v>
      </c>
      <c r="C1746" s="1" t="str">
        <f ca="1">IFERROR(__xludf.DUMMYFUNCTION("""COMPUTED_VALUE"""),"se2_ka04c5154_jetting")</f>
        <v>se2_ka04c5154_jetting</v>
      </c>
      <c r="D1746" s="2">
        <f ca="1">IFERROR(__xludf.DUMMYFUNCTION("""COMPUTED_VALUE"""),41640)</f>
        <v>41640</v>
      </c>
      <c r="E1746" s="3">
        <f ca="1">IFERROR(__xludf.DUMMYFUNCTION("""COMPUTED_VALUE"""),0.656712962962046)</f>
        <v>0.65671296296204595</v>
      </c>
      <c r="F1746" s="1">
        <f ca="1">IFERROR(__xludf.DUMMYFUNCTION("""COMPUTED_VALUE"""),18526)</f>
        <v>18526</v>
      </c>
      <c r="G1746" s="1" t="str">
        <f ca="1">IFERROR(__xludf.DUMMYFUNCTION("""COMPUTED_VALUE"""),"12.9754/77.6231")</f>
        <v>12.9754/77.6231</v>
      </c>
      <c r="H1746" s="1" t="str">
        <f ca="1">IFERROR(__xludf.DUMMYFUNCTION("""COMPUTED_VALUE"""),"Ulsoor")</f>
        <v>Ulsoor</v>
      </c>
      <c r="I1746" s="1"/>
      <c r="J1746" s="1" t="str">
        <f ca="1">IFERROR(__xludf.DUMMYFUNCTION("""COMPUTED_VALUE"""),"0d 01h 38m")</f>
        <v>0d 01h 38m</v>
      </c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13.2">
      <c r="A1747" s="1">
        <f ca="1">IFERROR(__xludf.DUMMYFUNCTION("""COMPUTED_VALUE"""),213)</f>
        <v>213</v>
      </c>
      <c r="B1747" s="1" t="str">
        <f ca="1">IFERROR(__xludf.DUMMYFUNCTION("""COMPUTED_VALUE"""),"SE2_KA04D4611_Jetting")</f>
        <v>SE2_KA04D4611_Jetting</v>
      </c>
      <c r="C1747" s="1" t="str">
        <f ca="1">IFERROR(__xludf.DUMMYFUNCTION("""COMPUTED_VALUE"""),"se2_ka04d4611_jetting")</f>
        <v>se2_ka04d4611_jetting</v>
      </c>
      <c r="D1747" s="2">
        <f ca="1">IFERROR(__xludf.DUMMYFUNCTION("""COMPUTED_VALUE"""),44707)</f>
        <v>44707</v>
      </c>
      <c r="E1747" s="3">
        <f ca="1">IFERROR(__xludf.DUMMYFUNCTION("""COMPUTED_VALUE"""),0.999236111110803)</f>
        <v>0.99923611111080302</v>
      </c>
      <c r="F1747" s="1">
        <f ca="1">IFERROR(__xludf.DUMMYFUNCTION("""COMPUTED_VALUE"""),30566)</f>
        <v>30566</v>
      </c>
      <c r="G1747" s="1" t="str">
        <f ca="1">IFERROR(__xludf.DUMMYFUNCTION("""COMPUTED_VALUE"""),"12.9827/77.6496")</f>
        <v>12.9827/77.6496</v>
      </c>
      <c r="H1747" s="1" t="str">
        <f ca="1">IFERROR(__xludf.DUMMYFUNCTION("""COMPUTED_VALUE"""),"Thippasandra")</f>
        <v>Thippasandra</v>
      </c>
      <c r="I1747" s="1"/>
      <c r="J1747" s="1" t="str">
        <f ca="1">IFERROR(__xludf.DUMMYFUNCTION("""COMPUTED_VALUE"""),"0d 00h 00m")</f>
        <v>0d 00h 00m</v>
      </c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13.2">
      <c r="A1748" s="1">
        <f ca="1">IFERROR(__xludf.DUMMYFUNCTION("""COMPUTED_VALUE"""),99)</f>
        <v>99</v>
      </c>
      <c r="B1748" s="1" t="str">
        <f ca="1">IFERROR(__xludf.DUMMYFUNCTION("""COMPUTED_VALUE"""),"SE2_KA04D4611_Jetting")</f>
        <v>SE2_KA04D4611_Jetting</v>
      </c>
      <c r="C1748" s="1" t="str">
        <f ca="1">IFERROR(__xludf.DUMMYFUNCTION("""COMPUTED_VALUE"""),"se2_ka04d4611_jetting")</f>
        <v>se2_ka04d4611_jetting</v>
      </c>
      <c r="D1748" s="2">
        <f ca="1">IFERROR(__xludf.DUMMYFUNCTION("""COMPUTED_VALUE"""),44733)</f>
        <v>44733</v>
      </c>
      <c r="E1748" s="3">
        <f ca="1">IFERROR(__xludf.DUMMYFUNCTION("""COMPUTED_VALUE"""),0.55459490740759)</f>
        <v>0.55459490740758999</v>
      </c>
      <c r="F1748" s="1">
        <f ca="1">IFERROR(__xludf.DUMMYFUNCTION("""COMPUTED_VALUE"""),30797)</f>
        <v>30797</v>
      </c>
      <c r="G1748" s="1" t="str">
        <f ca="1">IFERROR(__xludf.DUMMYFUNCTION("""COMPUTED_VALUE"""),"12.9012/77.6621")</f>
        <v>12.9012/77.6621</v>
      </c>
      <c r="H1748" s="1" t="str">
        <f ca="1">IFERROR(__xludf.DUMMYFUNCTION("""COMPUTED_VALUE"""),"Kassavanahalli")</f>
        <v>Kassavanahalli</v>
      </c>
      <c r="I1748" s="1"/>
      <c r="J1748" s="1" t="str">
        <f ca="1">IFERROR(__xludf.DUMMYFUNCTION("""COMPUTED_VALUE"""),"0d 00h 00m")</f>
        <v>0d 00h 00m</v>
      </c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13.2">
      <c r="A1749" s="1">
        <f ca="1">IFERROR(__xludf.DUMMYFUNCTION("""COMPUTED_VALUE"""),67)</f>
        <v>67</v>
      </c>
      <c r="B1749" s="1" t="str">
        <f ca="1">IFERROR(__xludf.DUMMYFUNCTION("""COMPUTED_VALUE"""),"SE2_KA04D4611_Jetting")</f>
        <v>SE2_KA04D4611_Jetting</v>
      </c>
      <c r="C1749" s="1" t="str">
        <f ca="1">IFERROR(__xludf.DUMMYFUNCTION("""COMPUTED_VALUE"""),"se2_ka04d4611_jetting")</f>
        <v>se2_ka04d4611_jetting</v>
      </c>
      <c r="D1749" s="2">
        <f ca="1">IFERROR(__xludf.DUMMYFUNCTION("""COMPUTED_VALUE"""),44733)</f>
        <v>44733</v>
      </c>
      <c r="E1749" s="3">
        <f ca="1">IFERROR(__xludf.DUMMYFUNCTION("""COMPUTED_VALUE"""),0.55459490740759)</f>
        <v>0.55459490740758999</v>
      </c>
      <c r="F1749" s="1">
        <f ca="1">IFERROR(__xludf.DUMMYFUNCTION("""COMPUTED_VALUE"""),30797)</f>
        <v>30797</v>
      </c>
      <c r="G1749" s="1" t="str">
        <f ca="1">IFERROR(__xludf.DUMMYFUNCTION("""COMPUTED_VALUE"""),"12.9012/77.6621")</f>
        <v>12.9012/77.6621</v>
      </c>
      <c r="H1749" s="1" t="str">
        <f ca="1">IFERROR(__xludf.DUMMYFUNCTION("""COMPUTED_VALUE"""),"Kassavanahalli")</f>
        <v>Kassavanahalli</v>
      </c>
      <c r="I1749" s="1"/>
      <c r="J1749" s="1" t="str">
        <f ca="1">IFERROR(__xludf.DUMMYFUNCTION("""COMPUTED_VALUE"""),"0d 00h 00m")</f>
        <v>0d 00h 00m</v>
      </c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13.2">
      <c r="A1750" s="1">
        <f ca="1">IFERROR(__xludf.DUMMYFUNCTION("""COMPUTED_VALUE"""),61)</f>
        <v>61</v>
      </c>
      <c r="B1750" s="1" t="str">
        <f ca="1">IFERROR(__xludf.DUMMYFUNCTION("""COMPUTED_VALUE"""),"SE2_KA04D4611_Jetting")</f>
        <v>SE2_KA04D4611_Jetting</v>
      </c>
      <c r="C1750" s="1" t="str">
        <f ca="1">IFERROR(__xludf.DUMMYFUNCTION("""COMPUTED_VALUE"""),"se2_ka04d4611_jetting")</f>
        <v>se2_ka04d4611_jetting</v>
      </c>
      <c r="D1750" s="2">
        <f ca="1">IFERROR(__xludf.DUMMYFUNCTION("""COMPUTED_VALUE"""),44733)</f>
        <v>44733</v>
      </c>
      <c r="E1750" s="3">
        <f ca="1">IFERROR(__xludf.DUMMYFUNCTION("""COMPUTED_VALUE"""),0.55459490740759)</f>
        <v>0.55459490740758999</v>
      </c>
      <c r="F1750" s="1">
        <f ca="1">IFERROR(__xludf.DUMMYFUNCTION("""COMPUTED_VALUE"""),30797)</f>
        <v>30797</v>
      </c>
      <c r="G1750" s="1" t="str">
        <f ca="1">IFERROR(__xludf.DUMMYFUNCTION("""COMPUTED_VALUE"""),"12.9012/77.6621")</f>
        <v>12.9012/77.6621</v>
      </c>
      <c r="H1750" s="1" t="str">
        <f ca="1">IFERROR(__xludf.DUMMYFUNCTION("""COMPUTED_VALUE"""),"Kassavanahalli")</f>
        <v>Kassavanahalli</v>
      </c>
      <c r="I1750" s="1"/>
      <c r="J1750" s="1" t="str">
        <f ca="1">IFERROR(__xludf.DUMMYFUNCTION("""COMPUTED_VALUE"""),"0d 00h 00m")</f>
        <v>0d 00h 00m</v>
      </c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13.2">
      <c r="A1751" s="1">
        <f ca="1">IFERROR(__xludf.DUMMYFUNCTION("""COMPUTED_VALUE"""),209)</f>
        <v>209</v>
      </c>
      <c r="B1751" s="1" t="str">
        <f ca="1">IFERROR(__xludf.DUMMYFUNCTION("""COMPUTED_VALUE"""),"SE2_KA04D4611_Jetting")</f>
        <v>SE2_KA04D4611_Jetting</v>
      </c>
      <c r="C1751" s="1" t="str">
        <f ca="1">IFERROR(__xludf.DUMMYFUNCTION("""COMPUTED_VALUE"""),"se2_ka04d4611_jetting")</f>
        <v>se2_ka04d4611_jetting</v>
      </c>
      <c r="D1751" s="2">
        <f ca="1">IFERROR(__xludf.DUMMYFUNCTION("""COMPUTED_VALUE"""),44830)</f>
        <v>44830</v>
      </c>
      <c r="E1751" s="3">
        <f ca="1">IFERROR(__xludf.DUMMYFUNCTION("""COMPUTED_VALUE"""),0.999189814814599)</f>
        <v>0.99918981481459901</v>
      </c>
      <c r="F1751" s="1">
        <f ca="1">IFERROR(__xludf.DUMMYFUNCTION("""COMPUTED_VALUE"""),30986)</f>
        <v>30986</v>
      </c>
      <c r="G1751" s="1" t="str">
        <f ca="1">IFERROR(__xludf.DUMMYFUNCTION("""COMPUTED_VALUE"""),"12.9827/77.6497")</f>
        <v>12.9827/77.6497</v>
      </c>
      <c r="H1751" s="1" t="str">
        <f ca="1">IFERROR(__xludf.DUMMYFUNCTION("""COMPUTED_VALUE"""),"Thippasandra")</f>
        <v>Thippasandra</v>
      </c>
      <c r="I1751" s="1"/>
      <c r="J1751" s="1" t="str">
        <f ca="1">IFERROR(__xludf.DUMMYFUNCTION("""COMPUTED_VALUE"""),"0d 00h 00m")</f>
        <v>0d 00h 00m</v>
      </c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13.2">
      <c r="A1752" s="1">
        <f ca="1">IFERROR(__xludf.DUMMYFUNCTION("""COMPUTED_VALUE"""),195)</f>
        <v>195</v>
      </c>
      <c r="B1752" s="1" t="str">
        <f ca="1">IFERROR(__xludf.DUMMYFUNCTION("""COMPUTED_VALUE"""),"SE2_KA04D4611_Jetting")</f>
        <v>SE2_KA04D4611_Jetting</v>
      </c>
      <c r="C1752" s="1" t="str">
        <f ca="1">IFERROR(__xludf.DUMMYFUNCTION("""COMPUTED_VALUE"""),"se2_ka04d4611_jetting")</f>
        <v>se2_ka04d4611_jetting</v>
      </c>
      <c r="D1752" s="2">
        <f ca="1">IFERROR(__xludf.DUMMYFUNCTION("""COMPUTED_VALUE"""),44860)</f>
        <v>44860</v>
      </c>
      <c r="E1752" s="3">
        <f ca="1">IFERROR(__xludf.DUMMYFUNCTION("""COMPUTED_VALUE"""),0.999131944445252)</f>
        <v>0.999131944445252</v>
      </c>
      <c r="F1752" s="1">
        <f ca="1">IFERROR(__xludf.DUMMYFUNCTION("""COMPUTED_VALUE"""),31477)</f>
        <v>31477</v>
      </c>
      <c r="G1752" s="1" t="str">
        <f ca="1">IFERROR(__xludf.DUMMYFUNCTION("""COMPUTED_VALUE"""),"12.9827/77.6497")</f>
        <v>12.9827/77.6497</v>
      </c>
      <c r="H1752" s="1" t="str">
        <f ca="1">IFERROR(__xludf.DUMMYFUNCTION("""COMPUTED_VALUE"""),"Thippasandra")</f>
        <v>Thippasandra</v>
      </c>
      <c r="I1752" s="1"/>
      <c r="J1752" s="1" t="str">
        <f ca="1">IFERROR(__xludf.DUMMYFUNCTION("""COMPUTED_VALUE"""),"0d 00h 00m")</f>
        <v>0d 00h 00m</v>
      </c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13.2">
      <c r="A1753" s="1">
        <f ca="1">IFERROR(__xludf.DUMMYFUNCTION("""COMPUTED_VALUE"""),28)</f>
        <v>28</v>
      </c>
      <c r="B1753" s="1" t="str">
        <f ca="1">IFERROR(__xludf.DUMMYFUNCTION("""COMPUTED_VALUE"""),"SE2_KA04D6651_JETTING")</f>
        <v>SE2_KA04D6651_JETTING</v>
      </c>
      <c r="C1753" s="1" t="str">
        <f ca="1">IFERROR(__xludf.DUMMYFUNCTION("""COMPUTED_VALUE"""),"se2_ka04d6651_jetting")</f>
        <v>se2_ka04d6651_jetting</v>
      </c>
      <c r="D1753" s="2">
        <f ca="1">IFERROR(__xludf.DUMMYFUNCTION("""COMPUTED_VALUE"""),41640)</f>
        <v>41640</v>
      </c>
      <c r="E1753" s="3">
        <f ca="1">IFERROR(__xludf.DUMMYFUNCTION("""COMPUTED_VALUE"""),0.230196759257523)</f>
        <v>0.230196759257523</v>
      </c>
      <c r="F1753" s="1">
        <f ca="1">IFERROR(__xludf.DUMMYFUNCTION("""COMPUTED_VALUE"""),30487)</f>
        <v>30487</v>
      </c>
      <c r="G1753" s="1"/>
      <c r="H1753" s="1"/>
      <c r="I1753" s="1"/>
      <c r="J1753" s="1" t="str">
        <f ca="1">IFERROR(__xludf.DUMMYFUNCTION("""COMPUTED_VALUE"""),"0d 00h 00m")</f>
        <v>0d 00h 00m</v>
      </c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13.2">
      <c r="A1754" s="1">
        <f ca="1">IFERROR(__xludf.DUMMYFUNCTION("""COMPUTED_VALUE"""),28)</f>
        <v>28</v>
      </c>
      <c r="B1754" s="1" t="str">
        <f ca="1">IFERROR(__xludf.DUMMYFUNCTION("""COMPUTED_VALUE"""),"SE2_KA04D6651_JETTING")</f>
        <v>SE2_KA04D6651_JETTING</v>
      </c>
      <c r="C1754" s="1" t="str">
        <f ca="1">IFERROR(__xludf.DUMMYFUNCTION("""COMPUTED_VALUE"""),"se2_ka04d6651_jetting")</f>
        <v>se2_ka04d6651_jetting</v>
      </c>
      <c r="D1754" s="2">
        <f ca="1">IFERROR(__xludf.DUMMYFUNCTION("""COMPUTED_VALUE"""),41640)</f>
        <v>41640</v>
      </c>
      <c r="E1754" s="3">
        <f ca="1">IFERROR(__xludf.DUMMYFUNCTION("""COMPUTED_VALUE"""),0.230196759257523)</f>
        <v>0.230196759257523</v>
      </c>
      <c r="F1754" s="1">
        <f ca="1">IFERROR(__xludf.DUMMYFUNCTION("""COMPUTED_VALUE"""),30487)</f>
        <v>30487</v>
      </c>
      <c r="G1754" s="1"/>
      <c r="H1754" s="1"/>
      <c r="I1754" s="1"/>
      <c r="J1754" s="1" t="str">
        <f ca="1">IFERROR(__xludf.DUMMYFUNCTION("""COMPUTED_VALUE"""),"0d 00h 00m")</f>
        <v>0d 00h 00m</v>
      </c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13.2">
      <c r="A1755" s="1">
        <f ca="1">IFERROR(__xludf.DUMMYFUNCTION("""COMPUTED_VALUE"""),28)</f>
        <v>28</v>
      </c>
      <c r="B1755" s="1" t="str">
        <f ca="1">IFERROR(__xludf.DUMMYFUNCTION("""COMPUTED_VALUE"""),"SE2_KA04D6651_JETTING")</f>
        <v>SE2_KA04D6651_JETTING</v>
      </c>
      <c r="C1755" s="1" t="str">
        <f ca="1">IFERROR(__xludf.DUMMYFUNCTION("""COMPUTED_VALUE"""),"se2_ka04d6651_jetting")</f>
        <v>se2_ka04d6651_jetting</v>
      </c>
      <c r="D1755" s="2">
        <f ca="1">IFERROR(__xludf.DUMMYFUNCTION("""COMPUTED_VALUE"""),41640)</f>
        <v>41640</v>
      </c>
      <c r="E1755" s="3">
        <f ca="1">IFERROR(__xludf.DUMMYFUNCTION("""COMPUTED_VALUE"""),0.230196759257523)</f>
        <v>0.230196759257523</v>
      </c>
      <c r="F1755" s="1">
        <f ca="1">IFERROR(__xludf.DUMMYFUNCTION("""COMPUTED_VALUE"""),30487)</f>
        <v>30487</v>
      </c>
      <c r="G1755" s="1"/>
      <c r="H1755" s="1"/>
      <c r="I1755" s="1"/>
      <c r="J1755" s="1" t="str">
        <f ca="1">IFERROR(__xludf.DUMMYFUNCTION("""COMPUTED_VALUE"""),"0d 00h 00m")</f>
        <v>0d 00h 00m</v>
      </c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13.2">
      <c r="A1756" s="1">
        <f ca="1">IFERROR(__xludf.DUMMYFUNCTION("""COMPUTED_VALUE"""),28)</f>
        <v>28</v>
      </c>
      <c r="B1756" s="1" t="str">
        <f ca="1">IFERROR(__xludf.DUMMYFUNCTION("""COMPUTED_VALUE"""),"SE2_KA04D6651_JETTING")</f>
        <v>SE2_KA04D6651_JETTING</v>
      </c>
      <c r="C1756" s="1" t="str">
        <f ca="1">IFERROR(__xludf.DUMMYFUNCTION("""COMPUTED_VALUE"""),"se2_ka04d6651_jetting")</f>
        <v>se2_ka04d6651_jetting</v>
      </c>
      <c r="D1756" s="2">
        <f ca="1">IFERROR(__xludf.DUMMYFUNCTION("""COMPUTED_VALUE"""),41640)</f>
        <v>41640</v>
      </c>
      <c r="E1756" s="3">
        <f ca="1">IFERROR(__xludf.DUMMYFUNCTION("""COMPUTED_VALUE"""),0.230196759257523)</f>
        <v>0.230196759257523</v>
      </c>
      <c r="F1756" s="1">
        <f ca="1">IFERROR(__xludf.DUMMYFUNCTION("""COMPUTED_VALUE"""),30487)</f>
        <v>30487</v>
      </c>
      <c r="G1756" s="1"/>
      <c r="H1756" s="1"/>
      <c r="I1756" s="1"/>
      <c r="J1756" s="1" t="str">
        <f ca="1">IFERROR(__xludf.DUMMYFUNCTION("""COMPUTED_VALUE"""),"0d 00h 00m")</f>
        <v>0d 00h 00m</v>
      </c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13.2">
      <c r="A1757" s="1">
        <f ca="1">IFERROR(__xludf.DUMMYFUNCTION("""COMPUTED_VALUE"""),28)</f>
        <v>28</v>
      </c>
      <c r="B1757" s="1" t="str">
        <f ca="1">IFERROR(__xludf.DUMMYFUNCTION("""COMPUTED_VALUE"""),"SE2_KA04D6651_JETTING")</f>
        <v>SE2_KA04D6651_JETTING</v>
      </c>
      <c r="C1757" s="1" t="str">
        <f ca="1">IFERROR(__xludf.DUMMYFUNCTION("""COMPUTED_VALUE"""),"se2_ka04d6651_jetting")</f>
        <v>se2_ka04d6651_jetting</v>
      </c>
      <c r="D1757" s="2">
        <f ca="1">IFERROR(__xludf.DUMMYFUNCTION("""COMPUTED_VALUE"""),41640)</f>
        <v>41640</v>
      </c>
      <c r="E1757" s="3">
        <f ca="1">IFERROR(__xludf.DUMMYFUNCTION("""COMPUTED_VALUE"""),0.230196759257523)</f>
        <v>0.230196759257523</v>
      </c>
      <c r="F1757" s="1">
        <f ca="1">IFERROR(__xludf.DUMMYFUNCTION("""COMPUTED_VALUE"""),30487)</f>
        <v>30487</v>
      </c>
      <c r="G1757" s="1"/>
      <c r="H1757" s="1"/>
      <c r="I1757" s="1"/>
      <c r="J1757" s="1" t="str">
        <f ca="1">IFERROR(__xludf.DUMMYFUNCTION("""COMPUTED_VALUE"""),"0d 00h 00m")</f>
        <v>0d 00h 00m</v>
      </c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13.2">
      <c r="A1758" s="1">
        <f ca="1">IFERROR(__xludf.DUMMYFUNCTION("""COMPUTED_VALUE"""),28)</f>
        <v>28</v>
      </c>
      <c r="B1758" s="1" t="str">
        <f ca="1">IFERROR(__xludf.DUMMYFUNCTION("""COMPUTED_VALUE"""),"SE2_KA04D6651_JETTING")</f>
        <v>SE2_KA04D6651_JETTING</v>
      </c>
      <c r="C1758" s="1" t="str">
        <f ca="1">IFERROR(__xludf.DUMMYFUNCTION("""COMPUTED_VALUE"""),"se2_ka04d6651_jetting")</f>
        <v>se2_ka04d6651_jetting</v>
      </c>
      <c r="D1758" s="2">
        <f ca="1">IFERROR(__xludf.DUMMYFUNCTION("""COMPUTED_VALUE"""),41640)</f>
        <v>41640</v>
      </c>
      <c r="E1758" s="3">
        <f ca="1">IFERROR(__xludf.DUMMYFUNCTION("""COMPUTED_VALUE"""),0.230196759257523)</f>
        <v>0.230196759257523</v>
      </c>
      <c r="F1758" s="1">
        <f ca="1">IFERROR(__xludf.DUMMYFUNCTION("""COMPUTED_VALUE"""),30487)</f>
        <v>30487</v>
      </c>
      <c r="G1758" s="1"/>
      <c r="H1758" s="1"/>
      <c r="I1758" s="1"/>
      <c r="J1758" s="1" t="str">
        <f ca="1">IFERROR(__xludf.DUMMYFUNCTION("""COMPUTED_VALUE"""),"0d 00h 00m")</f>
        <v>0d 00h 00m</v>
      </c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13.2">
      <c r="A1759" s="1">
        <f ca="1">IFERROR(__xludf.DUMMYFUNCTION("""COMPUTED_VALUE"""),28)</f>
        <v>28</v>
      </c>
      <c r="B1759" s="1" t="str">
        <f ca="1">IFERROR(__xludf.DUMMYFUNCTION("""COMPUTED_VALUE"""),"SE2_KA04D6651_JETTING")</f>
        <v>SE2_KA04D6651_JETTING</v>
      </c>
      <c r="C1759" s="1" t="str">
        <f ca="1">IFERROR(__xludf.DUMMYFUNCTION("""COMPUTED_VALUE"""),"se2_ka04d6651_jetting")</f>
        <v>se2_ka04d6651_jetting</v>
      </c>
      <c r="D1759" s="2">
        <f ca="1">IFERROR(__xludf.DUMMYFUNCTION("""COMPUTED_VALUE"""),41640)</f>
        <v>41640</v>
      </c>
      <c r="E1759" s="3">
        <f ca="1">IFERROR(__xludf.DUMMYFUNCTION("""COMPUTED_VALUE"""),0.230196759257523)</f>
        <v>0.230196759257523</v>
      </c>
      <c r="F1759" s="1">
        <f ca="1">IFERROR(__xludf.DUMMYFUNCTION("""COMPUTED_VALUE"""),30487)</f>
        <v>30487</v>
      </c>
      <c r="G1759" s="1"/>
      <c r="H1759" s="1"/>
      <c r="I1759" s="1"/>
      <c r="J1759" s="1" t="str">
        <f ca="1">IFERROR(__xludf.DUMMYFUNCTION("""COMPUTED_VALUE"""),"0d 00h 00m")</f>
        <v>0d 00h 00m</v>
      </c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13.2">
      <c r="A1760" s="1">
        <f ca="1">IFERROR(__xludf.DUMMYFUNCTION("""COMPUTED_VALUE"""),30)</f>
        <v>30</v>
      </c>
      <c r="B1760" s="1" t="str">
        <f ca="1">IFERROR(__xludf.DUMMYFUNCTION("""COMPUTED_VALUE"""),"SE2_KA05D8227_TANKER")</f>
        <v>SE2_KA05D8227_TANKER</v>
      </c>
      <c r="C1760" s="1" t="str">
        <f ca="1">IFERROR(__xludf.DUMMYFUNCTION("""COMPUTED_VALUE"""),"se2_ka05d8227_tanker")</f>
        <v>se2_ka05d8227_tanker</v>
      </c>
      <c r="D1760" s="2">
        <f ca="1">IFERROR(__xludf.DUMMYFUNCTION("""COMPUTED_VALUE"""),41640)</f>
        <v>41640</v>
      </c>
      <c r="E1760" s="3">
        <f ca="1">IFERROR(__xludf.DUMMYFUNCTION("""COMPUTED_VALUE"""),0.230324074072996)</f>
        <v>0.23032407407299599</v>
      </c>
      <c r="F1760" s="1">
        <f ca="1">IFERROR(__xludf.DUMMYFUNCTION("""COMPUTED_VALUE"""),50156)</f>
        <v>50156</v>
      </c>
      <c r="G1760" s="1"/>
      <c r="H1760" s="1"/>
      <c r="I1760" s="1"/>
      <c r="J1760" s="1" t="str">
        <f ca="1">IFERROR(__xludf.DUMMYFUNCTION("""COMPUTED_VALUE"""),"0d 00h 00m")</f>
        <v>0d 00h 00m</v>
      </c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13.2">
      <c r="A1761" s="1">
        <f ca="1">IFERROR(__xludf.DUMMYFUNCTION("""COMPUTED_VALUE"""),30)</f>
        <v>30</v>
      </c>
      <c r="B1761" s="1" t="str">
        <f ca="1">IFERROR(__xludf.DUMMYFUNCTION("""COMPUTED_VALUE"""),"SE2_KA05D8227_TANKER")</f>
        <v>SE2_KA05D8227_TANKER</v>
      </c>
      <c r="C1761" s="1" t="str">
        <f ca="1">IFERROR(__xludf.DUMMYFUNCTION("""COMPUTED_VALUE"""),"se2_ka05d8227_tanker")</f>
        <v>se2_ka05d8227_tanker</v>
      </c>
      <c r="D1761" s="2">
        <f ca="1">IFERROR(__xludf.DUMMYFUNCTION("""COMPUTED_VALUE"""),41640)</f>
        <v>41640</v>
      </c>
      <c r="E1761" s="3">
        <f ca="1">IFERROR(__xludf.DUMMYFUNCTION("""COMPUTED_VALUE"""),0.230324074072996)</f>
        <v>0.23032407407299599</v>
      </c>
      <c r="F1761" s="1">
        <f ca="1">IFERROR(__xludf.DUMMYFUNCTION("""COMPUTED_VALUE"""),50156)</f>
        <v>50156</v>
      </c>
      <c r="G1761" s="1"/>
      <c r="H1761" s="1"/>
      <c r="I1761" s="1"/>
      <c r="J1761" s="1" t="str">
        <f ca="1">IFERROR(__xludf.DUMMYFUNCTION("""COMPUTED_VALUE"""),"0d 00h 00m")</f>
        <v>0d 00h 00m</v>
      </c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13.2">
      <c r="A1762" s="1">
        <f ca="1">IFERROR(__xludf.DUMMYFUNCTION("""COMPUTED_VALUE"""),30)</f>
        <v>30</v>
      </c>
      <c r="B1762" s="1" t="str">
        <f ca="1">IFERROR(__xludf.DUMMYFUNCTION("""COMPUTED_VALUE"""),"SE2_KA05D8227_TANKER")</f>
        <v>SE2_KA05D8227_TANKER</v>
      </c>
      <c r="C1762" s="1" t="str">
        <f ca="1">IFERROR(__xludf.DUMMYFUNCTION("""COMPUTED_VALUE"""),"se2_ka05d8227_tanker")</f>
        <v>se2_ka05d8227_tanker</v>
      </c>
      <c r="D1762" s="2">
        <f ca="1">IFERROR(__xludf.DUMMYFUNCTION("""COMPUTED_VALUE"""),41640)</f>
        <v>41640</v>
      </c>
      <c r="E1762" s="3">
        <f ca="1">IFERROR(__xludf.DUMMYFUNCTION("""COMPUTED_VALUE"""),0.230324074072996)</f>
        <v>0.23032407407299599</v>
      </c>
      <c r="F1762" s="1">
        <f ca="1">IFERROR(__xludf.DUMMYFUNCTION("""COMPUTED_VALUE"""),50156)</f>
        <v>50156</v>
      </c>
      <c r="G1762" s="1"/>
      <c r="H1762" s="1"/>
      <c r="I1762" s="1"/>
      <c r="J1762" s="1" t="str">
        <f ca="1">IFERROR(__xludf.DUMMYFUNCTION("""COMPUTED_VALUE"""),"0d 00h 00m")</f>
        <v>0d 00h 00m</v>
      </c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13.2">
      <c r="A1763" s="1">
        <f ca="1">IFERROR(__xludf.DUMMYFUNCTION("""COMPUTED_VALUE"""),30)</f>
        <v>30</v>
      </c>
      <c r="B1763" s="1" t="str">
        <f ca="1">IFERROR(__xludf.DUMMYFUNCTION("""COMPUTED_VALUE"""),"SE2_KA05D8227_TANKER")</f>
        <v>SE2_KA05D8227_TANKER</v>
      </c>
      <c r="C1763" s="1" t="str">
        <f ca="1">IFERROR(__xludf.DUMMYFUNCTION("""COMPUTED_VALUE"""),"se2_ka05d8227_tanker")</f>
        <v>se2_ka05d8227_tanker</v>
      </c>
      <c r="D1763" s="2">
        <f ca="1">IFERROR(__xludf.DUMMYFUNCTION("""COMPUTED_VALUE"""),41640)</f>
        <v>41640</v>
      </c>
      <c r="E1763" s="3">
        <f ca="1">IFERROR(__xludf.DUMMYFUNCTION("""COMPUTED_VALUE"""),0.230324074072996)</f>
        <v>0.23032407407299599</v>
      </c>
      <c r="F1763" s="1">
        <f ca="1">IFERROR(__xludf.DUMMYFUNCTION("""COMPUTED_VALUE"""),50156)</f>
        <v>50156</v>
      </c>
      <c r="G1763" s="1"/>
      <c r="H1763" s="1"/>
      <c r="I1763" s="1"/>
      <c r="J1763" s="1" t="str">
        <f ca="1">IFERROR(__xludf.DUMMYFUNCTION("""COMPUTED_VALUE"""),"0d 00h 00m")</f>
        <v>0d 00h 00m</v>
      </c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13.2">
      <c r="A1764" s="1">
        <f ca="1">IFERROR(__xludf.DUMMYFUNCTION("""COMPUTED_VALUE"""),30)</f>
        <v>30</v>
      </c>
      <c r="B1764" s="1" t="str">
        <f ca="1">IFERROR(__xludf.DUMMYFUNCTION("""COMPUTED_VALUE"""),"SE2_KA05D8227_TANKER")</f>
        <v>SE2_KA05D8227_TANKER</v>
      </c>
      <c r="C1764" s="1" t="str">
        <f ca="1">IFERROR(__xludf.DUMMYFUNCTION("""COMPUTED_VALUE"""),"se2_ka05d8227_tanker")</f>
        <v>se2_ka05d8227_tanker</v>
      </c>
      <c r="D1764" s="2">
        <f ca="1">IFERROR(__xludf.DUMMYFUNCTION("""COMPUTED_VALUE"""),41640)</f>
        <v>41640</v>
      </c>
      <c r="E1764" s="3">
        <f ca="1">IFERROR(__xludf.DUMMYFUNCTION("""COMPUTED_VALUE"""),0.230324074072996)</f>
        <v>0.23032407407299599</v>
      </c>
      <c r="F1764" s="1">
        <f ca="1">IFERROR(__xludf.DUMMYFUNCTION("""COMPUTED_VALUE"""),50156)</f>
        <v>50156</v>
      </c>
      <c r="G1764" s="1"/>
      <c r="H1764" s="1"/>
      <c r="I1764" s="1"/>
      <c r="J1764" s="1" t="str">
        <f ca="1">IFERROR(__xludf.DUMMYFUNCTION("""COMPUTED_VALUE"""),"0d 00h 00m")</f>
        <v>0d 00h 00m</v>
      </c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13.2">
      <c r="A1765" s="1">
        <f ca="1">IFERROR(__xludf.DUMMYFUNCTION("""COMPUTED_VALUE"""),30)</f>
        <v>30</v>
      </c>
      <c r="B1765" s="1" t="str">
        <f ca="1">IFERROR(__xludf.DUMMYFUNCTION("""COMPUTED_VALUE"""),"SE2_KA05D8227_TANKER")</f>
        <v>SE2_KA05D8227_TANKER</v>
      </c>
      <c r="C1765" s="1" t="str">
        <f ca="1">IFERROR(__xludf.DUMMYFUNCTION("""COMPUTED_VALUE"""),"se2_ka05d8227_tanker")</f>
        <v>se2_ka05d8227_tanker</v>
      </c>
      <c r="D1765" s="2">
        <f ca="1">IFERROR(__xludf.DUMMYFUNCTION("""COMPUTED_VALUE"""),41640)</f>
        <v>41640</v>
      </c>
      <c r="E1765" s="3">
        <f ca="1">IFERROR(__xludf.DUMMYFUNCTION("""COMPUTED_VALUE"""),0.230324074072996)</f>
        <v>0.23032407407299599</v>
      </c>
      <c r="F1765" s="1">
        <f ca="1">IFERROR(__xludf.DUMMYFUNCTION("""COMPUTED_VALUE"""),50156)</f>
        <v>50156</v>
      </c>
      <c r="G1765" s="1"/>
      <c r="H1765" s="1"/>
      <c r="I1765" s="1"/>
      <c r="J1765" s="1" t="str">
        <f ca="1">IFERROR(__xludf.DUMMYFUNCTION("""COMPUTED_VALUE"""),"0d 00h 00m")</f>
        <v>0d 00h 00m</v>
      </c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13.2">
      <c r="A1766" s="1">
        <f ca="1">IFERROR(__xludf.DUMMYFUNCTION("""COMPUTED_VALUE"""),30)</f>
        <v>30</v>
      </c>
      <c r="B1766" s="1" t="str">
        <f ca="1">IFERROR(__xludf.DUMMYFUNCTION("""COMPUTED_VALUE"""),"SE2_KA05D8227_TANKER")</f>
        <v>SE2_KA05D8227_TANKER</v>
      </c>
      <c r="C1766" s="1" t="str">
        <f ca="1">IFERROR(__xludf.DUMMYFUNCTION("""COMPUTED_VALUE"""),"se2_ka05d8227_tanker")</f>
        <v>se2_ka05d8227_tanker</v>
      </c>
      <c r="D1766" s="2">
        <f ca="1">IFERROR(__xludf.DUMMYFUNCTION("""COMPUTED_VALUE"""),41640)</f>
        <v>41640</v>
      </c>
      <c r="E1766" s="3">
        <f ca="1">IFERROR(__xludf.DUMMYFUNCTION("""COMPUTED_VALUE"""),0.230324074072996)</f>
        <v>0.23032407407299599</v>
      </c>
      <c r="F1766" s="1">
        <f ca="1">IFERROR(__xludf.DUMMYFUNCTION("""COMPUTED_VALUE"""),50156)</f>
        <v>50156</v>
      </c>
      <c r="G1766" s="1"/>
      <c r="H1766" s="1"/>
      <c r="I1766" s="1"/>
      <c r="J1766" s="1" t="str">
        <f ca="1">IFERROR(__xludf.DUMMYFUNCTION("""COMPUTED_VALUE"""),"0d 00h 00m")</f>
        <v>0d 00h 00m</v>
      </c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13.2">
      <c r="A1767" s="1">
        <f ca="1">IFERROR(__xludf.DUMMYFUNCTION("""COMPUTED_VALUE"""),105)</f>
        <v>105</v>
      </c>
      <c r="B1767" s="1" t="str">
        <f ca="1">IFERROR(__xludf.DUMMYFUNCTION("""COMPUTED_VALUE"""),"SE3_KA02AC5940_Jetting")</f>
        <v>SE3_KA02AC5940_Jetting</v>
      </c>
      <c r="C1767" s="1" t="str">
        <f ca="1">IFERROR(__xludf.DUMMYFUNCTION("""COMPUTED_VALUE"""),"se3_ka02ac5940_jetting")</f>
        <v>se3_ka02ac5940_jetting</v>
      </c>
      <c r="D1767" s="2">
        <f ca="1">IFERROR(__xludf.DUMMYFUNCTION("""COMPUTED_VALUE"""),44705)</f>
        <v>44705</v>
      </c>
      <c r="E1767" s="3">
        <f ca="1">IFERROR(__xludf.DUMMYFUNCTION("""COMPUTED_VALUE"""),0.345543981482478)</f>
        <v>0.345543981482478</v>
      </c>
      <c r="F1767" s="1">
        <f ca="1">IFERROR(__xludf.DUMMYFUNCTION("""COMPUTED_VALUE"""),15983)</f>
        <v>15983</v>
      </c>
      <c r="G1767" s="1" t="str">
        <f ca="1">IFERROR(__xludf.DUMMYFUNCTION("""COMPUTED_VALUE"""),"12.9281/77.6214")</f>
        <v>12.9281/77.6214</v>
      </c>
      <c r="H1767" s="1" t="str">
        <f ca="1">IFERROR(__xludf.DUMMYFUNCTION("""COMPUTED_VALUE"""),"De-Oriell Hotel")</f>
        <v>De-Oriell Hotel</v>
      </c>
      <c r="I1767" s="1"/>
      <c r="J1767" s="1" t="str">
        <f ca="1">IFERROR(__xludf.DUMMYFUNCTION("""COMPUTED_VALUE"""),"6d 19h 31m")</f>
        <v>6d 19h 31m</v>
      </c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13.2">
      <c r="A1768" s="1">
        <f ca="1">IFERROR(__xludf.DUMMYFUNCTION("""COMPUTED_VALUE"""),79)</f>
        <v>79</v>
      </c>
      <c r="B1768" s="1" t="str">
        <f ca="1">IFERROR(__xludf.DUMMYFUNCTION("""COMPUTED_VALUE"""),"SE3_KA02AC5940_Jetting")</f>
        <v>SE3_KA02AC5940_Jetting</v>
      </c>
      <c r="C1768" s="1" t="str">
        <f ca="1">IFERROR(__xludf.DUMMYFUNCTION("""COMPUTED_VALUE"""),"se3_ka02ac5940_jetting")</f>
        <v>se3_ka02ac5940_jetting</v>
      </c>
      <c r="D1768" s="2">
        <f ca="1">IFERROR(__xludf.DUMMYFUNCTION("""COMPUTED_VALUE"""),44723)</f>
        <v>44723</v>
      </c>
      <c r="E1768" s="3">
        <f ca="1">IFERROR(__xludf.DUMMYFUNCTION("""COMPUTED_VALUE"""),0.329444444443652)</f>
        <v>0.32944444444365201</v>
      </c>
      <c r="F1768" s="1">
        <f ca="1">IFERROR(__xludf.DUMMYFUNCTION("""COMPUTED_VALUE"""),15991)</f>
        <v>15991</v>
      </c>
      <c r="G1768" s="1" t="str">
        <f ca="1">IFERROR(__xludf.DUMMYFUNCTION("""COMPUTED_VALUE"""),"12.9279/77.6214")</f>
        <v>12.9279/77.6214</v>
      </c>
      <c r="H1768" s="1" t="str">
        <f ca="1">IFERROR(__xludf.DUMMYFUNCTION("""COMPUTED_VALUE"""),"De-Oriell Hotel")</f>
        <v>De-Oriell Hotel</v>
      </c>
      <c r="I1768" s="1"/>
      <c r="J1768" s="1" t="str">
        <f ca="1">IFERROR(__xludf.DUMMYFUNCTION("""COMPUTED_VALUE"""),"6d 19h 32m")</f>
        <v>6d 19h 32m</v>
      </c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13.2">
      <c r="A1769" s="1">
        <f ca="1">IFERROR(__xludf.DUMMYFUNCTION("""COMPUTED_VALUE"""),136)</f>
        <v>136</v>
      </c>
      <c r="B1769" s="1" t="str">
        <f ca="1">IFERROR(__xludf.DUMMYFUNCTION("""COMPUTED_VALUE"""),"SE3_KA02AC5940_Jetting")</f>
        <v>SE3_KA02AC5940_Jetting</v>
      </c>
      <c r="C1769" s="1" t="str">
        <f ca="1">IFERROR(__xludf.DUMMYFUNCTION("""COMPUTED_VALUE"""),"se3_ka02ac5940_jetting")</f>
        <v>se3_ka02ac5940_jetting</v>
      </c>
      <c r="D1769" s="2">
        <f ca="1">IFERROR(__xludf.DUMMYFUNCTION("""COMPUTED_VALUE"""),44768)</f>
        <v>44768</v>
      </c>
      <c r="E1769" s="3">
        <f ca="1">IFERROR(__xludf.DUMMYFUNCTION("""COMPUTED_VALUE"""),0.485011574073723)</f>
        <v>0.48501157407372297</v>
      </c>
      <c r="F1769" s="1">
        <f ca="1">IFERROR(__xludf.DUMMYFUNCTION("""COMPUTED_VALUE"""),16000)</f>
        <v>16000</v>
      </c>
      <c r="G1769" s="1" t="str">
        <f ca="1">IFERROR(__xludf.DUMMYFUNCTION("""COMPUTED_VALUE"""),"12.9408/77.6231")</f>
        <v>12.9408/77.6231</v>
      </c>
      <c r="H1769" s="1" t="str">
        <f ca="1">IFERROR(__xludf.DUMMYFUNCTION("""COMPUTED_VALUE"""),"D-Habitat Suites Rooms N Apartments")</f>
        <v>D-Habitat Suites Rooms N Apartments</v>
      </c>
      <c r="I1769" s="1"/>
      <c r="J1769" s="1" t="str">
        <f ca="1">IFERROR(__xludf.DUMMYFUNCTION("""COMPUTED_VALUE"""),"6d 19h 33m")</f>
        <v>6d 19h 33m</v>
      </c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13.2">
      <c r="A1770" s="1">
        <f ca="1">IFERROR(__xludf.DUMMYFUNCTION("""COMPUTED_VALUE"""),84)</f>
        <v>84</v>
      </c>
      <c r="B1770" s="1" t="str">
        <f ca="1">IFERROR(__xludf.DUMMYFUNCTION("""COMPUTED_VALUE"""),"SE3_KA02AC5940_Jetting")</f>
        <v>SE3_KA02AC5940_Jetting</v>
      </c>
      <c r="C1770" s="1" t="str">
        <f ca="1">IFERROR(__xludf.DUMMYFUNCTION("""COMPUTED_VALUE"""),"se3_ka02ac5940_jetting")</f>
        <v>se3_ka02ac5940_jetting</v>
      </c>
      <c r="D1770" s="2">
        <f ca="1">IFERROR(__xludf.DUMMYFUNCTION("""COMPUTED_VALUE"""),44768)</f>
        <v>44768</v>
      </c>
      <c r="E1770" s="3">
        <f ca="1">IFERROR(__xludf.DUMMYFUNCTION("""COMPUTED_VALUE"""),0.485011574073723)</f>
        <v>0.48501157407372297</v>
      </c>
      <c r="F1770" s="1">
        <f ca="1">IFERROR(__xludf.DUMMYFUNCTION("""COMPUTED_VALUE"""),16000)</f>
        <v>16000</v>
      </c>
      <c r="G1770" s="1" t="str">
        <f ca="1">IFERROR(__xludf.DUMMYFUNCTION("""COMPUTED_VALUE"""),"12.9408/77.6231")</f>
        <v>12.9408/77.6231</v>
      </c>
      <c r="H1770" s="1" t="str">
        <f ca="1">IFERROR(__xludf.DUMMYFUNCTION("""COMPUTED_VALUE"""),"D-Habitat Suites Rooms N Apartments")</f>
        <v>D-Habitat Suites Rooms N Apartments</v>
      </c>
      <c r="I1770" s="1"/>
      <c r="J1770" s="1" t="str">
        <f ca="1">IFERROR(__xludf.DUMMYFUNCTION("""COMPUTED_VALUE"""),"6d 19h 34m")</f>
        <v>6d 19h 34m</v>
      </c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13.2">
      <c r="A1771" s="1">
        <f ca="1">IFERROR(__xludf.DUMMYFUNCTION("""COMPUTED_VALUE"""),59)</f>
        <v>59</v>
      </c>
      <c r="B1771" s="1" t="str">
        <f ca="1">IFERROR(__xludf.DUMMYFUNCTION("""COMPUTED_VALUE"""),"SE3_KA02AC5940_Jetting")</f>
        <v>SE3_KA02AC5940_Jetting</v>
      </c>
      <c r="C1771" s="1" t="str">
        <f ca="1">IFERROR(__xludf.DUMMYFUNCTION("""COMPUTED_VALUE"""),"se3_ka02ac5940_jetting")</f>
        <v>se3_ka02ac5940_jetting</v>
      </c>
      <c r="D1771" s="2">
        <f ca="1">IFERROR(__xludf.DUMMYFUNCTION("""COMPUTED_VALUE"""),44768)</f>
        <v>44768</v>
      </c>
      <c r="E1771" s="3">
        <f ca="1">IFERROR(__xludf.DUMMYFUNCTION("""COMPUTED_VALUE"""),0.485011574073723)</f>
        <v>0.48501157407372297</v>
      </c>
      <c r="F1771" s="1">
        <f ca="1">IFERROR(__xludf.DUMMYFUNCTION("""COMPUTED_VALUE"""),16000)</f>
        <v>16000</v>
      </c>
      <c r="G1771" s="1" t="str">
        <f ca="1">IFERROR(__xludf.DUMMYFUNCTION("""COMPUTED_VALUE"""),"12.9408/77.6231")</f>
        <v>12.9408/77.6231</v>
      </c>
      <c r="H1771" s="1" t="str">
        <f ca="1">IFERROR(__xludf.DUMMYFUNCTION("""COMPUTED_VALUE"""),"D-Habitat Suites Rooms N Apartments")</f>
        <v>D-Habitat Suites Rooms N Apartments</v>
      </c>
      <c r="I1771" s="1"/>
      <c r="J1771" s="1" t="str">
        <f ca="1">IFERROR(__xludf.DUMMYFUNCTION("""COMPUTED_VALUE"""),"6d 19h 35m")</f>
        <v>6d 19h 35m</v>
      </c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13.2">
      <c r="A1772" s="1">
        <f ca="1">IFERROR(__xludf.DUMMYFUNCTION("""COMPUTED_VALUE"""),126)</f>
        <v>126</v>
      </c>
      <c r="B1772" s="1" t="str">
        <f ca="1">IFERROR(__xludf.DUMMYFUNCTION("""COMPUTED_VALUE"""),"SE3_KA02AC5940_Jetting")</f>
        <v>SE3_KA02AC5940_Jetting</v>
      </c>
      <c r="C1772" s="1" t="str">
        <f ca="1">IFERROR(__xludf.DUMMYFUNCTION("""COMPUTED_VALUE"""),"se3_ka02ac5940_jetting")</f>
        <v>se3_ka02ac5940_jetting</v>
      </c>
      <c r="D1772" s="2">
        <f ca="1">IFERROR(__xludf.DUMMYFUNCTION("""COMPUTED_VALUE"""),44860)</f>
        <v>44860</v>
      </c>
      <c r="E1772" s="3">
        <f ca="1">IFERROR(__xludf.DUMMYFUNCTION("""COMPUTED_VALUE"""),0.464039351852989)</f>
        <v>0.464039351852989</v>
      </c>
      <c r="F1772" s="1">
        <f ca="1">IFERROR(__xludf.DUMMYFUNCTION("""COMPUTED_VALUE"""),16006)</f>
        <v>16006</v>
      </c>
      <c r="G1772" s="1" t="str">
        <f ca="1">IFERROR(__xludf.DUMMYFUNCTION("""COMPUTED_VALUE"""),"12.9448/77.6185")</f>
        <v>12.9448/77.6185</v>
      </c>
      <c r="H1772" s="1" t="str">
        <f ca="1">IFERROR(__xludf.DUMMYFUNCTION("""COMPUTED_VALUE"""),"Kormangla 8th Block")</f>
        <v>Kormangla 8th Block</v>
      </c>
      <c r="I1772" s="1"/>
      <c r="J1772" s="1" t="str">
        <f ca="1">IFERROR(__xludf.DUMMYFUNCTION("""COMPUTED_VALUE"""),"6d 19h 36m")</f>
        <v>6d 19h 36m</v>
      </c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13.2">
      <c r="A1773" s="1">
        <f ca="1">IFERROR(__xludf.DUMMYFUNCTION("""COMPUTED_VALUE"""),153)</f>
        <v>153</v>
      </c>
      <c r="B1773" s="1" t="str">
        <f ca="1">IFERROR(__xludf.DUMMYFUNCTION("""COMPUTED_VALUE"""),"SE3_KA04A3044_Jetting")</f>
        <v>SE3_KA04A3044_Jetting</v>
      </c>
      <c r="C1773" s="1" t="str">
        <f ca="1">IFERROR(__xludf.DUMMYFUNCTION("""COMPUTED_VALUE"""),"se3_ka04a3044_jetting")</f>
        <v>se3_ka04a3044_jetting</v>
      </c>
      <c r="D1773" s="2">
        <f ca="1">IFERROR(__xludf.DUMMYFUNCTION("""COMPUTED_VALUE"""),44707)</f>
        <v>44707</v>
      </c>
      <c r="E1773" s="3">
        <f ca="1">IFERROR(__xludf.DUMMYFUNCTION("""COMPUTED_VALUE"""),0.998969907406717)</f>
        <v>0.99896990740671698</v>
      </c>
      <c r="F1773" s="1">
        <f ca="1">IFERROR(__xludf.DUMMYFUNCTION("""COMPUTED_VALUE"""),18236)</f>
        <v>18236</v>
      </c>
      <c r="G1773" s="1" t="str">
        <f ca="1">IFERROR(__xludf.DUMMYFUNCTION("""COMPUTED_VALUE"""),"12.9277/77.6214")</f>
        <v>12.9277/77.6214</v>
      </c>
      <c r="H1773" s="1" t="str">
        <f ca="1">IFERROR(__xludf.DUMMYFUNCTION("""COMPUTED_VALUE"""),"De-Oriell Hotel")</f>
        <v>De-Oriell Hotel</v>
      </c>
      <c r="I1773" s="1"/>
      <c r="J1773" s="1" t="str">
        <f ca="1">IFERROR(__xludf.DUMMYFUNCTION("""COMPUTED_VALUE"""),"0d 00h 03m")</f>
        <v>0d 00h 03m</v>
      </c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13.2">
      <c r="A1774" s="1">
        <f ca="1">IFERROR(__xludf.DUMMYFUNCTION("""COMPUTED_VALUE"""),114)</f>
        <v>114</v>
      </c>
      <c r="B1774" s="1" t="str">
        <f ca="1">IFERROR(__xludf.DUMMYFUNCTION("""COMPUTED_VALUE"""),"SE3_KA04A3044_Jetting")</f>
        <v>SE3_KA04A3044_Jetting</v>
      </c>
      <c r="C1774" s="1" t="str">
        <f ca="1">IFERROR(__xludf.DUMMYFUNCTION("""COMPUTED_VALUE"""),"se3_ka04a3044_jetting")</f>
        <v>se3_ka04a3044_jetting</v>
      </c>
      <c r="D1774" s="2">
        <f ca="1">IFERROR(__xludf.DUMMYFUNCTION("""COMPUTED_VALUE"""),44737)</f>
        <v>44737</v>
      </c>
      <c r="E1774" s="3">
        <f ca="1">IFERROR(__xludf.DUMMYFUNCTION("""COMPUTED_VALUE"""),0.0991782407400023)</f>
        <v>9.9178240740002296E-2</v>
      </c>
      <c r="F1774" s="1">
        <f ca="1">IFERROR(__xludf.DUMMYFUNCTION("""COMPUTED_VALUE"""),18300)</f>
        <v>18300</v>
      </c>
      <c r="G1774" s="1" t="str">
        <f ca="1">IFERROR(__xludf.DUMMYFUNCTION("""COMPUTED_VALUE"""),"12.9281/77.6216")</f>
        <v>12.9281/77.6216</v>
      </c>
      <c r="H1774" s="1" t="str">
        <f ca="1">IFERROR(__xludf.DUMMYFUNCTION("""COMPUTED_VALUE"""),"De-Oriell Hotel")</f>
        <v>De-Oriell Hotel</v>
      </c>
      <c r="I1774" s="1"/>
      <c r="J1774" s="1" t="str">
        <f ca="1">IFERROR(__xludf.DUMMYFUNCTION("""COMPUTED_VALUE"""),"0d 00h 00m")</f>
        <v>0d 00h 00m</v>
      </c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13.2">
      <c r="A1775" s="1">
        <f ca="1">IFERROR(__xludf.DUMMYFUNCTION("""COMPUTED_VALUE"""),70)</f>
        <v>70</v>
      </c>
      <c r="B1775" s="1" t="str">
        <f ca="1">IFERROR(__xludf.DUMMYFUNCTION("""COMPUTED_VALUE"""),"SE3_KA04A3044_Jetting")</f>
        <v>SE3_KA04A3044_Jetting</v>
      </c>
      <c r="C1775" s="1" t="str">
        <f ca="1">IFERROR(__xludf.DUMMYFUNCTION("""COMPUTED_VALUE"""),"se3_ka04a3044_jetting")</f>
        <v>se3_ka04a3044_jetting</v>
      </c>
      <c r="D1775" s="2">
        <f ca="1">IFERROR(__xludf.DUMMYFUNCTION("""COMPUTED_VALUE"""),44737)</f>
        <v>44737</v>
      </c>
      <c r="E1775" s="3">
        <f ca="1">IFERROR(__xludf.DUMMYFUNCTION("""COMPUTED_VALUE"""),0.0991782407400023)</f>
        <v>9.9178240740002296E-2</v>
      </c>
      <c r="F1775" s="1">
        <f ca="1">IFERROR(__xludf.DUMMYFUNCTION("""COMPUTED_VALUE"""),18300)</f>
        <v>18300</v>
      </c>
      <c r="G1775" s="1" t="str">
        <f ca="1">IFERROR(__xludf.DUMMYFUNCTION("""COMPUTED_VALUE"""),"12.9281/77.6216")</f>
        <v>12.9281/77.6216</v>
      </c>
      <c r="H1775" s="1" t="str">
        <f ca="1">IFERROR(__xludf.DUMMYFUNCTION("""COMPUTED_VALUE"""),"De-Oriell Hotel")</f>
        <v>De-Oriell Hotel</v>
      </c>
      <c r="I1775" s="1"/>
      <c r="J1775" s="1" t="str">
        <f ca="1">IFERROR(__xludf.DUMMYFUNCTION("""COMPUTED_VALUE"""),"0d 00h 01m")</f>
        <v>0d 00h 01m</v>
      </c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13.2">
      <c r="A1776" s="1">
        <f ca="1">IFERROR(__xludf.DUMMYFUNCTION("""COMPUTED_VALUE"""),102)</f>
        <v>102</v>
      </c>
      <c r="B1776" s="1" t="str">
        <f ca="1">IFERROR(__xludf.DUMMYFUNCTION("""COMPUTED_VALUE"""),"SE3_KA04A3044_Jetting")</f>
        <v>SE3_KA04A3044_Jetting</v>
      </c>
      <c r="C1776" s="1" t="str">
        <f ca="1">IFERROR(__xludf.DUMMYFUNCTION("""COMPUTED_VALUE"""),"se3_ka04a3044_jetting")</f>
        <v>se3_ka04a3044_jetting</v>
      </c>
      <c r="D1776" s="2">
        <f ca="1">IFERROR(__xludf.DUMMYFUNCTION("""COMPUTED_VALUE"""),44783)</f>
        <v>44783</v>
      </c>
      <c r="E1776" s="3">
        <f ca="1">IFERROR(__xludf.DUMMYFUNCTION("""COMPUTED_VALUE"""),0.676423611112113)</f>
        <v>0.67642361111211302</v>
      </c>
      <c r="F1776" s="1">
        <f ca="1">IFERROR(__xludf.DUMMYFUNCTION("""COMPUTED_VALUE"""),18301)</f>
        <v>18301</v>
      </c>
      <c r="G1776" s="1" t="str">
        <f ca="1">IFERROR(__xludf.DUMMYFUNCTION("""COMPUTED_VALUE"""),"12.9369/77.6182")</f>
        <v>12.9369/77.6182</v>
      </c>
      <c r="H1776" s="1" t="str">
        <f ca="1">IFERROR(__xludf.DUMMYFUNCTION("""COMPUTED_VALUE"""),"Nandhana Grand")</f>
        <v>Nandhana Grand</v>
      </c>
      <c r="I1776" s="1"/>
      <c r="J1776" s="1" t="str">
        <f ca="1">IFERROR(__xludf.DUMMYFUNCTION("""COMPUTED_VALUE"""),"0d 00h 02m")</f>
        <v>0d 00h 02m</v>
      </c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13.2">
      <c r="A1777" s="1">
        <f ca="1">IFERROR(__xludf.DUMMYFUNCTION("""COMPUTED_VALUE"""),67)</f>
        <v>67</v>
      </c>
      <c r="B1777" s="1" t="str">
        <f ca="1">IFERROR(__xludf.DUMMYFUNCTION("""COMPUTED_VALUE"""),"SE3_KA04A3044_Jetting")</f>
        <v>SE3_KA04A3044_Jetting</v>
      </c>
      <c r="C1777" s="1" t="str">
        <f ca="1">IFERROR(__xludf.DUMMYFUNCTION("""COMPUTED_VALUE"""),"se3_ka04a3044_jetting")</f>
        <v>se3_ka04a3044_jetting</v>
      </c>
      <c r="D1777" s="2">
        <f ca="1">IFERROR(__xludf.DUMMYFUNCTION("""COMPUTED_VALUE"""),44783)</f>
        <v>44783</v>
      </c>
      <c r="E1777" s="3">
        <f ca="1">IFERROR(__xludf.DUMMYFUNCTION("""COMPUTED_VALUE"""),0.676423611112113)</f>
        <v>0.67642361111211302</v>
      </c>
      <c r="F1777" s="1">
        <f ca="1">IFERROR(__xludf.DUMMYFUNCTION("""COMPUTED_VALUE"""),18301)</f>
        <v>18301</v>
      </c>
      <c r="G1777" s="1" t="str">
        <f ca="1">IFERROR(__xludf.DUMMYFUNCTION("""COMPUTED_VALUE"""),"12.9369/77.6182")</f>
        <v>12.9369/77.6182</v>
      </c>
      <c r="H1777" s="1" t="str">
        <f ca="1">IFERROR(__xludf.DUMMYFUNCTION("""COMPUTED_VALUE"""),"Nandhana Grand")</f>
        <v>Nandhana Grand</v>
      </c>
      <c r="I1777" s="1"/>
      <c r="J1777" s="1" t="str">
        <f ca="1">IFERROR(__xludf.DUMMYFUNCTION("""COMPUTED_VALUE"""),"0d 00h 02m")</f>
        <v>0d 00h 02m</v>
      </c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13.2">
      <c r="A1778" s="1">
        <f ca="1">IFERROR(__xludf.DUMMYFUNCTION("""COMPUTED_VALUE"""),198)</f>
        <v>198</v>
      </c>
      <c r="B1778" s="1" t="str">
        <f ca="1">IFERROR(__xludf.DUMMYFUNCTION("""COMPUTED_VALUE"""),"SE3_KA04A3044_Jetting")</f>
        <v>SE3_KA04A3044_Jetting</v>
      </c>
      <c r="C1778" s="1" t="str">
        <f ca="1">IFERROR(__xludf.DUMMYFUNCTION("""COMPUTED_VALUE"""),"se3_ka04a3044_jetting")</f>
        <v>se3_ka04a3044_jetting</v>
      </c>
      <c r="D1778" s="2">
        <f ca="1">IFERROR(__xludf.DUMMYFUNCTION("""COMPUTED_VALUE"""),44860)</f>
        <v>44860</v>
      </c>
      <c r="E1778" s="3">
        <f ca="1">IFERROR(__xludf.DUMMYFUNCTION("""COMPUTED_VALUE"""),0.999155092591536)</f>
        <v>0.99915509259153601</v>
      </c>
      <c r="F1778" s="1">
        <f ca="1">IFERROR(__xludf.DUMMYFUNCTION("""COMPUTED_VALUE"""),18483)</f>
        <v>18483</v>
      </c>
      <c r="G1778" s="1" t="str">
        <f ca="1">IFERROR(__xludf.DUMMYFUNCTION("""COMPUTED_VALUE"""),"12.9281/77.6217")</f>
        <v>12.9281/77.6217</v>
      </c>
      <c r="H1778" s="1" t="str">
        <f ca="1">IFERROR(__xludf.DUMMYFUNCTION("""COMPUTED_VALUE"""),"De-Oriell Hotel")</f>
        <v>De-Oriell Hotel</v>
      </c>
      <c r="I1778" s="1"/>
      <c r="J1778" s="1" t="str">
        <f ca="1">IFERROR(__xludf.DUMMYFUNCTION("""COMPUTED_VALUE"""),"0d 00h 03m")</f>
        <v>0d 00h 03m</v>
      </c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13.2">
      <c r="A1779" s="1">
        <f ca="1">IFERROR(__xludf.DUMMYFUNCTION("""COMPUTED_VALUE"""),200)</f>
        <v>200</v>
      </c>
      <c r="B1779" s="1" t="str">
        <f ca="1">IFERROR(__xludf.DUMMYFUNCTION("""COMPUTED_VALUE"""),"SE3_KA04AA7687_Desilting")</f>
        <v>SE3_KA04AA7687_Desilting</v>
      </c>
      <c r="C1779" s="1" t="str">
        <f ca="1">IFERROR(__xludf.DUMMYFUNCTION("""COMPUTED_VALUE"""),"se3_ka04aa7687_desilting")</f>
        <v>se3_ka04aa7687_desilting</v>
      </c>
      <c r="D1779" s="2">
        <f ca="1">IFERROR(__xludf.DUMMYFUNCTION("""COMPUTED_VALUE"""),44707)</f>
        <v>44707</v>
      </c>
      <c r="E1779" s="3">
        <f ca="1">IFERROR(__xludf.DUMMYFUNCTION("""COMPUTED_VALUE"""),0.99920138888774)</f>
        <v>0.99920138888774002</v>
      </c>
      <c r="F1779" s="1">
        <f ca="1">IFERROR(__xludf.DUMMYFUNCTION("""COMPUTED_VALUE"""),16076)</f>
        <v>16076</v>
      </c>
      <c r="G1779" s="1" t="str">
        <f ca="1">IFERROR(__xludf.DUMMYFUNCTION("""COMPUTED_VALUE"""),"12.9277/77.6214")</f>
        <v>12.9277/77.6214</v>
      </c>
      <c r="H1779" s="1" t="str">
        <f ca="1">IFERROR(__xludf.DUMMYFUNCTION("""COMPUTED_VALUE"""),"De-Oriell Hotel")</f>
        <v>De-Oriell Hotel</v>
      </c>
      <c r="I1779" s="1"/>
      <c r="J1779" s="1" t="str">
        <f ca="1">IFERROR(__xludf.DUMMYFUNCTION("""COMPUTED_VALUE"""),"23d 18h 14m")</f>
        <v>23d 18h 14m</v>
      </c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13.2">
      <c r="A1780" s="1">
        <f ca="1">IFERROR(__xludf.DUMMYFUNCTION("""COMPUTED_VALUE"""),85)</f>
        <v>85</v>
      </c>
      <c r="B1780" s="1" t="str">
        <f ca="1">IFERROR(__xludf.DUMMYFUNCTION("""COMPUTED_VALUE"""),"SE3_KA04AA7687_Desilting")</f>
        <v>SE3_KA04AA7687_Desilting</v>
      </c>
      <c r="C1780" s="1" t="str">
        <f ca="1">IFERROR(__xludf.DUMMYFUNCTION("""COMPUTED_VALUE"""),"se3_ka04aa7687_desilting")</f>
        <v>se3_ka04aa7687_desilting</v>
      </c>
      <c r="D1780" s="2">
        <f ca="1">IFERROR(__xludf.DUMMYFUNCTION("""COMPUTED_VALUE"""),44728)</f>
        <v>44728</v>
      </c>
      <c r="E1780" s="3">
        <f ca="1">IFERROR(__xludf.DUMMYFUNCTION("""COMPUTED_VALUE"""),0.6834953703692)</f>
        <v>0.68349537036920005</v>
      </c>
      <c r="F1780" s="1">
        <f ca="1">IFERROR(__xludf.DUMMYFUNCTION("""COMPUTED_VALUE"""),16143)</f>
        <v>16143</v>
      </c>
      <c r="G1780" s="1" t="str">
        <f ca="1">IFERROR(__xludf.DUMMYFUNCTION("""COMPUTED_VALUE"""),"12.9767/77.4423")</f>
        <v>12.9767/77.4423</v>
      </c>
      <c r="H1780" s="1" t="str">
        <f ca="1">IFERROR(__xludf.DUMMYFUNCTION("""COMPUTED_VALUE"""),"Bayandhalli")</f>
        <v>Bayandhalli</v>
      </c>
      <c r="I1780" s="1"/>
      <c r="J1780" s="1" t="str">
        <f ca="1">IFERROR(__xludf.DUMMYFUNCTION("""COMPUTED_VALUE"""),"23d 18h 16m")</f>
        <v>23d 18h 16m</v>
      </c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13.2">
      <c r="A1781" s="1">
        <f ca="1">IFERROR(__xludf.DUMMYFUNCTION("""COMPUTED_VALUE"""),218)</f>
        <v>218</v>
      </c>
      <c r="B1781" s="1" t="str">
        <f ca="1">IFERROR(__xludf.DUMMYFUNCTION("""COMPUTED_VALUE"""),"SE3_KA04AA7687_Desilting")</f>
        <v>SE3_KA04AA7687_Desilting</v>
      </c>
      <c r="C1781" s="1" t="str">
        <f ca="1">IFERROR(__xludf.DUMMYFUNCTION("""COMPUTED_VALUE"""),"se3_ka04aa7687_desilting")</f>
        <v>se3_ka04aa7687_desilting</v>
      </c>
      <c r="D1781" s="2">
        <f ca="1">IFERROR(__xludf.DUMMYFUNCTION("""COMPUTED_VALUE"""),44768)</f>
        <v>44768</v>
      </c>
      <c r="E1781" s="3">
        <f ca="1">IFERROR(__xludf.DUMMYFUNCTION("""COMPUTED_VALUE"""),0.999236111110803)</f>
        <v>0.99923611111080302</v>
      </c>
      <c r="F1781" s="1">
        <f ca="1">IFERROR(__xludf.DUMMYFUNCTION("""COMPUTED_VALUE"""),16477)</f>
        <v>16477</v>
      </c>
      <c r="G1781" s="1" t="str">
        <f ca="1">IFERROR(__xludf.DUMMYFUNCTION("""COMPUTED_VALUE"""),"12.9280/77.6213")</f>
        <v>12.9280/77.6213</v>
      </c>
      <c r="H1781" s="1" t="str">
        <f ca="1">IFERROR(__xludf.DUMMYFUNCTION("""COMPUTED_VALUE"""),"De-Oriell Hotel")</f>
        <v>De-Oriell Hotel</v>
      </c>
      <c r="I1781" s="1"/>
      <c r="J1781" s="1" t="str">
        <f ca="1">IFERROR(__xludf.DUMMYFUNCTION("""COMPUTED_VALUE"""),"23d 18h 16m")</f>
        <v>23d 18h 16m</v>
      </c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13.2">
      <c r="A1782" s="1">
        <f ca="1">IFERROR(__xludf.DUMMYFUNCTION("""COMPUTED_VALUE"""),120)</f>
        <v>120</v>
      </c>
      <c r="B1782" s="1" t="str">
        <f ca="1">IFERROR(__xludf.DUMMYFUNCTION("""COMPUTED_VALUE"""),"SE3_KA04AA7687_Desilting")</f>
        <v>SE3_KA04AA7687_Desilting</v>
      </c>
      <c r="C1782" s="1" t="str">
        <f ca="1">IFERROR(__xludf.DUMMYFUNCTION("""COMPUTED_VALUE"""),"se3_ka04aa7687_desilting")</f>
        <v>se3_ka04aa7687_desilting</v>
      </c>
      <c r="D1782" s="2">
        <f ca="1">IFERROR(__xludf.DUMMYFUNCTION("""COMPUTED_VALUE"""),44792)</f>
        <v>44792</v>
      </c>
      <c r="E1782" s="3">
        <f ca="1">IFERROR(__xludf.DUMMYFUNCTION("""COMPUTED_VALUE"""),0.390844907407881)</f>
        <v>0.39084490740788103</v>
      </c>
      <c r="F1782" s="1">
        <f ca="1">IFERROR(__xludf.DUMMYFUNCTION("""COMPUTED_VALUE"""),17350)</f>
        <v>17350</v>
      </c>
      <c r="G1782" s="1" t="str">
        <f ca="1">IFERROR(__xludf.DUMMYFUNCTION("""COMPUTED_VALUE"""),"12.9277/77.6214")</f>
        <v>12.9277/77.6214</v>
      </c>
      <c r="H1782" s="1" t="str">
        <f ca="1">IFERROR(__xludf.DUMMYFUNCTION("""COMPUTED_VALUE"""),"De-Oriell Hotel")</f>
        <v>De-Oriell Hotel</v>
      </c>
      <c r="I1782" s="1"/>
      <c r="J1782" s="1" t="str">
        <f ca="1">IFERROR(__xludf.DUMMYFUNCTION("""COMPUTED_VALUE"""),"23d 18h 17m")</f>
        <v>23d 18h 17m</v>
      </c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13.2">
      <c r="A1783" s="1">
        <f ca="1">IFERROR(__xludf.DUMMYFUNCTION("""COMPUTED_VALUE"""),111)</f>
        <v>111</v>
      </c>
      <c r="B1783" s="1" t="str">
        <f ca="1">IFERROR(__xludf.DUMMYFUNCTION("""COMPUTED_VALUE"""),"SE3_KA04AA7687_Desilting")</f>
        <v>SE3_KA04AA7687_Desilting</v>
      </c>
      <c r="C1783" s="1" t="str">
        <f ca="1">IFERROR(__xludf.DUMMYFUNCTION("""COMPUTED_VALUE"""),"se3_ka04aa7687_desilting")</f>
        <v>se3_ka04aa7687_desilting</v>
      </c>
      <c r="D1783" s="2">
        <f ca="1">IFERROR(__xludf.DUMMYFUNCTION("""COMPUTED_VALUE"""),44824)</f>
        <v>44824</v>
      </c>
      <c r="E1783" s="3">
        <f ca="1">IFERROR(__xludf.DUMMYFUNCTION("""COMPUTED_VALUE"""),0.910046296296059)</f>
        <v>0.91004629629605904</v>
      </c>
      <c r="F1783" s="1">
        <f ca="1">IFERROR(__xludf.DUMMYFUNCTION("""COMPUTED_VALUE"""),17454)</f>
        <v>17454</v>
      </c>
      <c r="G1783" s="1" t="str">
        <f ca="1">IFERROR(__xludf.DUMMYFUNCTION("""COMPUTED_VALUE"""),"12.9278/77.6214")</f>
        <v>12.9278/77.6214</v>
      </c>
      <c r="H1783" s="1" t="str">
        <f ca="1">IFERROR(__xludf.DUMMYFUNCTION("""COMPUTED_VALUE"""),"De-Oriell Hotel")</f>
        <v>De-Oriell Hotel</v>
      </c>
      <c r="I1783" s="1"/>
      <c r="J1783" s="1" t="str">
        <f ca="1">IFERROR(__xludf.DUMMYFUNCTION("""COMPUTED_VALUE"""),"23d 18h 18m")</f>
        <v>23d 18h 18m</v>
      </c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13.2">
      <c r="A1784" s="1">
        <f ca="1">IFERROR(__xludf.DUMMYFUNCTION("""COMPUTED_VALUE"""),107)</f>
        <v>107</v>
      </c>
      <c r="B1784" s="1" t="str">
        <f ca="1">IFERROR(__xludf.DUMMYFUNCTION("""COMPUTED_VALUE"""),"SE3_KA04AA7687_Desilting")</f>
        <v>SE3_KA04AA7687_Desilting</v>
      </c>
      <c r="C1784" s="1" t="str">
        <f ca="1">IFERROR(__xludf.DUMMYFUNCTION("""COMPUTED_VALUE"""),"se3_ka04aa7687_desilting")</f>
        <v>se3_ka04aa7687_desilting</v>
      </c>
      <c r="D1784" s="2">
        <f ca="1">IFERROR(__xludf.DUMMYFUNCTION("""COMPUTED_VALUE"""),44858)</f>
        <v>44858</v>
      </c>
      <c r="E1784" s="3">
        <f ca="1">IFERROR(__xludf.DUMMYFUNCTION("""COMPUTED_VALUE"""),0.770104166665987)</f>
        <v>0.77010416666598702</v>
      </c>
      <c r="F1784" s="1">
        <f ca="1">IFERROR(__xludf.DUMMYFUNCTION("""COMPUTED_VALUE"""),18209)</f>
        <v>18209</v>
      </c>
      <c r="G1784" s="1" t="str">
        <f ca="1">IFERROR(__xludf.DUMMYFUNCTION("""COMPUTED_VALUE"""),"13.0214/77.5372")</f>
        <v>13.0214/77.5372</v>
      </c>
      <c r="H1784" s="1" t="str">
        <f ca="1">IFERROR(__xludf.DUMMYFUNCTION("""COMPUTED_VALUE"""),"RajKumar Samidhi")</f>
        <v>RajKumar Samidhi</v>
      </c>
      <c r="I1784" s="1"/>
      <c r="J1784" s="1" t="str">
        <f ca="1">IFERROR(__xludf.DUMMYFUNCTION("""COMPUTED_VALUE"""),"23d 18h 19m")</f>
        <v>23d 18h 19m</v>
      </c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13.2">
      <c r="A1785" s="1">
        <f ca="1">IFERROR(__xludf.DUMMYFUNCTION("""COMPUTED_VALUE"""),209)</f>
        <v>209</v>
      </c>
      <c r="B1785" s="1" t="str">
        <f ca="1">IFERROR(__xludf.DUMMYFUNCTION("""COMPUTED_VALUE"""),"SE3_KA04AB5801_Jetting")</f>
        <v>SE3_KA04AB5801_Jetting</v>
      </c>
      <c r="C1785" s="1" t="str">
        <f ca="1">IFERROR(__xludf.DUMMYFUNCTION("""COMPUTED_VALUE"""),"se3_ka04ab5801_jetting")</f>
        <v>se3_ka04ab5801_jetting</v>
      </c>
      <c r="D1785" s="2">
        <f ca="1">IFERROR(__xludf.DUMMYFUNCTION("""COMPUTED_VALUE"""),44707)</f>
        <v>44707</v>
      </c>
      <c r="E1785" s="3">
        <f ca="1">IFERROR(__xludf.DUMMYFUNCTION("""COMPUTED_VALUE"""),0.999236111110803)</f>
        <v>0.99923611111080302</v>
      </c>
      <c r="F1785" s="1">
        <f ca="1">IFERROR(__xludf.DUMMYFUNCTION("""COMPUTED_VALUE"""),12762)</f>
        <v>12762</v>
      </c>
      <c r="G1785" s="1" t="str">
        <f ca="1">IFERROR(__xludf.DUMMYFUNCTION("""COMPUTED_VALUE"""),"12.9277/77.6214")</f>
        <v>12.9277/77.6214</v>
      </c>
      <c r="H1785" s="1" t="str">
        <f ca="1">IFERROR(__xludf.DUMMYFUNCTION("""COMPUTED_VALUE"""),"De-Oriell Hotel")</f>
        <v>De-Oriell Hotel</v>
      </c>
      <c r="I1785" s="1"/>
      <c r="J1785" s="1" t="str">
        <f ca="1">IFERROR(__xludf.DUMMYFUNCTION("""COMPUTED_VALUE"""),"0d 00h 00m")</f>
        <v>0d 00h 00m</v>
      </c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13.2">
      <c r="A1786" s="1">
        <f ca="1">IFERROR(__xludf.DUMMYFUNCTION("""COMPUTED_VALUE"""),231)</f>
        <v>231</v>
      </c>
      <c r="B1786" s="1" t="str">
        <f ca="1">IFERROR(__xludf.DUMMYFUNCTION("""COMPUTED_VALUE"""),"SE3_KA04AB5801_Jetting")</f>
        <v>SE3_KA04AB5801_Jetting</v>
      </c>
      <c r="C1786" s="1" t="str">
        <f ca="1">IFERROR(__xludf.DUMMYFUNCTION("""COMPUTED_VALUE"""),"se3_ka04ab5801_jetting")</f>
        <v>se3_ka04ab5801_jetting</v>
      </c>
      <c r="D1786" s="2">
        <f ca="1">IFERROR(__xludf.DUMMYFUNCTION("""COMPUTED_VALUE"""),44738)</f>
        <v>44738</v>
      </c>
      <c r="E1786" s="3">
        <f ca="1">IFERROR(__xludf.DUMMYFUNCTION("""COMPUTED_VALUE"""),0.99929398148015)</f>
        <v>0.99929398148015003</v>
      </c>
      <c r="F1786" s="1">
        <f ca="1">IFERROR(__xludf.DUMMYFUNCTION("""COMPUTED_VALUE"""),13551)</f>
        <v>13551</v>
      </c>
      <c r="G1786" s="1" t="str">
        <f ca="1">IFERROR(__xludf.DUMMYFUNCTION("""COMPUTED_VALUE"""),"12.9279/77.6215")</f>
        <v>12.9279/77.6215</v>
      </c>
      <c r="H1786" s="1" t="str">
        <f ca="1">IFERROR(__xludf.DUMMYFUNCTION("""COMPUTED_VALUE"""),"De-Oriell Hotel")</f>
        <v>De-Oriell Hotel</v>
      </c>
      <c r="I1786" s="1"/>
      <c r="J1786" s="1" t="str">
        <f ca="1">IFERROR(__xludf.DUMMYFUNCTION("""COMPUTED_VALUE"""),"0d 00h 00m")</f>
        <v>0d 00h 00m</v>
      </c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13.2">
      <c r="A1787" s="1">
        <f ca="1">IFERROR(__xludf.DUMMYFUNCTION("""COMPUTED_VALUE"""),224)</f>
        <v>224</v>
      </c>
      <c r="B1787" s="1" t="str">
        <f ca="1">IFERROR(__xludf.DUMMYFUNCTION("""COMPUTED_VALUE"""),"SE3_KA04AB5801_Jetting")</f>
        <v>SE3_KA04AB5801_Jetting</v>
      </c>
      <c r="C1787" s="1" t="str">
        <f ca="1">IFERROR(__xludf.DUMMYFUNCTION("""COMPUTED_VALUE"""),"se3_ka04ab5801_jetting")</f>
        <v>se3_ka04ab5801_jetting</v>
      </c>
      <c r="D1787" s="2">
        <f ca="1">IFERROR(__xludf.DUMMYFUNCTION("""COMPUTED_VALUE"""),44768)</f>
        <v>44768</v>
      </c>
      <c r="E1787" s="3">
        <f ca="1">IFERROR(__xludf.DUMMYFUNCTION("""COMPUTED_VALUE"""),0.999270833333866)</f>
        <v>0.99927083333386602</v>
      </c>
      <c r="F1787" s="1">
        <f ca="1">IFERROR(__xludf.DUMMYFUNCTION("""COMPUTED_VALUE"""),14289)</f>
        <v>14289</v>
      </c>
      <c r="G1787" s="1" t="str">
        <f ca="1">IFERROR(__xludf.DUMMYFUNCTION("""COMPUTED_VALUE"""),"12.9278/77.6218")</f>
        <v>12.9278/77.6218</v>
      </c>
      <c r="H1787" s="1" t="str">
        <f ca="1">IFERROR(__xludf.DUMMYFUNCTION("""COMPUTED_VALUE"""),"De-Oriell Hotel")</f>
        <v>De-Oriell Hotel</v>
      </c>
      <c r="I1787" s="1"/>
      <c r="J1787" s="1" t="str">
        <f ca="1">IFERROR(__xludf.DUMMYFUNCTION("""COMPUTED_VALUE"""),"0d 00h 00m")</f>
        <v>0d 00h 00m</v>
      </c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13.2">
      <c r="A1788" s="1">
        <f ca="1">IFERROR(__xludf.DUMMYFUNCTION("""COMPUTED_VALUE"""),121)</f>
        <v>121</v>
      </c>
      <c r="B1788" s="1" t="str">
        <f ca="1">IFERROR(__xludf.DUMMYFUNCTION("""COMPUTED_VALUE"""),"SE3_KA04AB5801_Jetting")</f>
        <v>SE3_KA04AB5801_Jetting</v>
      </c>
      <c r="C1788" s="1" t="str">
        <f ca="1">IFERROR(__xludf.DUMMYFUNCTION("""COMPUTED_VALUE"""),"se3_ka04ab5801_jetting")</f>
        <v>se3_ka04ab5801_jetting</v>
      </c>
      <c r="D1788" s="2">
        <f ca="1">IFERROR(__xludf.DUMMYFUNCTION("""COMPUTED_VALUE"""),44792)</f>
        <v>44792</v>
      </c>
      <c r="E1788" s="3">
        <f ca="1">IFERROR(__xludf.DUMMYFUNCTION("""COMPUTED_VALUE"""),0.864502314816491)</f>
        <v>0.86450231481649098</v>
      </c>
      <c r="F1788" s="1">
        <f ca="1">IFERROR(__xludf.DUMMYFUNCTION("""COMPUTED_VALUE"""),14573)</f>
        <v>14573</v>
      </c>
      <c r="G1788" s="1" t="str">
        <f ca="1">IFERROR(__xludf.DUMMYFUNCTION("""COMPUTED_VALUE"""),"12.9280/77.6216")</f>
        <v>12.9280/77.6216</v>
      </c>
      <c r="H1788" s="1" t="str">
        <f ca="1">IFERROR(__xludf.DUMMYFUNCTION("""COMPUTED_VALUE"""),"De-Oriell Hotel")</f>
        <v>De-Oriell Hotel</v>
      </c>
      <c r="I1788" s="1"/>
      <c r="J1788" s="1" t="str">
        <f ca="1">IFERROR(__xludf.DUMMYFUNCTION("""COMPUTED_VALUE"""),"0d 00h 00m")</f>
        <v>0d 00h 00m</v>
      </c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13.2">
      <c r="A1789" s="1">
        <f ca="1">IFERROR(__xludf.DUMMYFUNCTION("""COMPUTED_VALUE"""),79)</f>
        <v>79</v>
      </c>
      <c r="B1789" s="1" t="str">
        <f ca="1">IFERROR(__xludf.DUMMYFUNCTION("""COMPUTED_VALUE"""),"SE3_KA04AB5801_Jetting")</f>
        <v>SE3_KA04AB5801_Jetting</v>
      </c>
      <c r="C1789" s="1" t="str">
        <f ca="1">IFERROR(__xludf.DUMMYFUNCTION("""COMPUTED_VALUE"""),"se3_ka04ab5801_jetting")</f>
        <v>se3_ka04ab5801_jetting</v>
      </c>
      <c r="D1789" s="2">
        <f ca="1">IFERROR(__xludf.DUMMYFUNCTION("""COMPUTED_VALUE"""),44792)</f>
        <v>44792</v>
      </c>
      <c r="E1789" s="3">
        <f ca="1">IFERROR(__xludf.DUMMYFUNCTION("""COMPUTED_VALUE"""),0.864502314816491)</f>
        <v>0.86450231481649098</v>
      </c>
      <c r="F1789" s="1">
        <f ca="1">IFERROR(__xludf.DUMMYFUNCTION("""COMPUTED_VALUE"""),14573)</f>
        <v>14573</v>
      </c>
      <c r="G1789" s="1" t="str">
        <f ca="1">IFERROR(__xludf.DUMMYFUNCTION("""COMPUTED_VALUE"""),"12.9280/77.6216")</f>
        <v>12.9280/77.6216</v>
      </c>
      <c r="H1789" s="1" t="str">
        <f ca="1">IFERROR(__xludf.DUMMYFUNCTION("""COMPUTED_VALUE"""),"De-Oriell Hotel")</f>
        <v>De-Oriell Hotel</v>
      </c>
      <c r="I1789" s="1"/>
      <c r="J1789" s="1" t="str">
        <f ca="1">IFERROR(__xludf.DUMMYFUNCTION("""COMPUTED_VALUE"""),"0d 00h 00m")</f>
        <v>0d 00h 00m</v>
      </c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13.2">
      <c r="A1790" s="1">
        <f ca="1">IFERROR(__xludf.DUMMYFUNCTION("""COMPUTED_VALUE"""),57)</f>
        <v>57</v>
      </c>
      <c r="B1790" s="1" t="str">
        <f ca="1">IFERROR(__xludf.DUMMYFUNCTION("""COMPUTED_VALUE"""),"SE3_KA04AB5801_Jetting")</f>
        <v>SE3_KA04AB5801_Jetting</v>
      </c>
      <c r="C1790" s="1" t="str">
        <f ca="1">IFERROR(__xludf.DUMMYFUNCTION("""COMPUTED_VALUE"""),"se3_ka04ab5801_jetting")</f>
        <v>se3_ka04ab5801_jetting</v>
      </c>
      <c r="D1790" s="2">
        <f ca="1">IFERROR(__xludf.DUMMYFUNCTION("""COMPUTED_VALUE"""),44792)</f>
        <v>44792</v>
      </c>
      <c r="E1790" s="3">
        <f ca="1">IFERROR(__xludf.DUMMYFUNCTION("""COMPUTED_VALUE"""),0.864502314816491)</f>
        <v>0.86450231481649098</v>
      </c>
      <c r="F1790" s="1">
        <f ca="1">IFERROR(__xludf.DUMMYFUNCTION("""COMPUTED_VALUE"""),14573)</f>
        <v>14573</v>
      </c>
      <c r="G1790" s="1" t="str">
        <f ca="1">IFERROR(__xludf.DUMMYFUNCTION("""COMPUTED_VALUE"""),"12.9280/77.6216")</f>
        <v>12.9280/77.6216</v>
      </c>
      <c r="H1790" s="1" t="str">
        <f ca="1">IFERROR(__xludf.DUMMYFUNCTION("""COMPUTED_VALUE"""),"De-Oriell Hotel")</f>
        <v>De-Oriell Hotel</v>
      </c>
      <c r="I1790" s="1"/>
      <c r="J1790" s="1" t="str">
        <f ca="1">IFERROR(__xludf.DUMMYFUNCTION("""COMPUTED_VALUE"""),"0d 00h 00m")</f>
        <v>0d 00h 00m</v>
      </c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13.2">
      <c r="A1791" s="1">
        <f ca="1">IFERROR(__xludf.DUMMYFUNCTION("""COMPUTED_VALUE"""),65)</f>
        <v>65</v>
      </c>
      <c r="B1791" s="1" t="str">
        <f ca="1">IFERROR(__xludf.DUMMYFUNCTION("""COMPUTED_VALUE"""),"SE3_KA04D4155_Jetting")</f>
        <v>SE3_KA04D4155_Jetting</v>
      </c>
      <c r="C1791" s="1" t="str">
        <f ca="1">IFERROR(__xludf.DUMMYFUNCTION("""COMPUTED_VALUE"""),"se3_ka04d4155_jetting")</f>
        <v>se3_ka04d4155_jetting</v>
      </c>
      <c r="D1791" s="2">
        <f ca="1">IFERROR(__xludf.DUMMYFUNCTION("""COMPUTED_VALUE"""),44677)</f>
        <v>44677</v>
      </c>
      <c r="E1791" s="3">
        <f ca="1">IFERROR(__xludf.DUMMYFUNCTION("""COMPUTED_VALUE"""),0.47627314814963)</f>
        <v>0.47627314814963001</v>
      </c>
      <c r="F1791" s="1">
        <f ca="1">IFERROR(__xludf.DUMMYFUNCTION("""COMPUTED_VALUE"""),22168)</f>
        <v>22168</v>
      </c>
      <c r="G1791" s="1" t="str">
        <f ca="1">IFERROR(__xludf.DUMMYFUNCTION("""COMPUTED_VALUE"""),"12.9253/77.6389")</f>
        <v>12.9253/77.6389</v>
      </c>
      <c r="H1791" s="1" t="str">
        <f ca="1">IFERROR(__xludf.DUMMYFUNCTION("""COMPUTED_VALUE"""),"Koramangala Teachers Colony")</f>
        <v>Koramangala Teachers Colony</v>
      </c>
      <c r="I1791" s="1"/>
      <c r="J1791" s="1" t="str">
        <f ca="1">IFERROR(__xludf.DUMMYFUNCTION("""COMPUTED_VALUE"""),"0d 00h 01m")</f>
        <v>0d 00h 01m</v>
      </c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13.2">
      <c r="A1792" s="1">
        <f ca="1">IFERROR(__xludf.DUMMYFUNCTION("""COMPUTED_VALUE"""),131)</f>
        <v>131</v>
      </c>
      <c r="B1792" s="1" t="str">
        <f ca="1">IFERROR(__xludf.DUMMYFUNCTION("""COMPUTED_VALUE"""),"SE3_KA04D4155_Jetting")</f>
        <v>SE3_KA04D4155_Jetting</v>
      </c>
      <c r="C1792" s="1" t="str">
        <f ca="1">IFERROR(__xludf.DUMMYFUNCTION("""COMPUTED_VALUE"""),"se3_ka04d4155_jetting")</f>
        <v>se3_ka04d4155_jetting</v>
      </c>
      <c r="D1792" s="2">
        <f ca="1">IFERROR(__xludf.DUMMYFUNCTION("""COMPUTED_VALUE"""),44737)</f>
        <v>44737</v>
      </c>
      <c r="E1792" s="3">
        <f ca="1">IFERROR(__xludf.DUMMYFUNCTION("""COMPUTED_VALUE"""),0.638206018516939)</f>
        <v>0.63820601851693903</v>
      </c>
      <c r="F1792" s="1">
        <f ca="1">IFERROR(__xludf.DUMMYFUNCTION("""COMPUTED_VALUE"""),22248)</f>
        <v>22248</v>
      </c>
      <c r="G1792" s="1" t="str">
        <f ca="1">IFERROR(__xludf.DUMMYFUNCTION("""COMPUTED_VALUE"""),"12.9252/77.6401")</f>
        <v>12.9252/77.6401</v>
      </c>
      <c r="H1792" s="1" t="str">
        <f ca="1">IFERROR(__xludf.DUMMYFUNCTION("""COMPUTED_VALUE"""),"Koramangala Teachers Colony")</f>
        <v>Koramangala Teachers Colony</v>
      </c>
      <c r="I1792" s="1"/>
      <c r="J1792" s="1" t="str">
        <f ca="1">IFERROR(__xludf.DUMMYFUNCTION("""COMPUTED_VALUE"""),"0d 00h 02m")</f>
        <v>0d 00h 02m</v>
      </c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13.2">
      <c r="A1793" s="1">
        <f ca="1">IFERROR(__xludf.DUMMYFUNCTION("""COMPUTED_VALUE"""),154)</f>
        <v>154</v>
      </c>
      <c r="B1793" s="1" t="str">
        <f ca="1">IFERROR(__xludf.DUMMYFUNCTION("""COMPUTED_VALUE"""),"SE3_KA04D4155_Jetting")</f>
        <v>SE3_KA04D4155_Jetting</v>
      </c>
      <c r="C1793" s="1" t="str">
        <f ca="1">IFERROR(__xludf.DUMMYFUNCTION("""COMPUTED_VALUE"""),"se3_ka04d4155_jetting")</f>
        <v>se3_ka04d4155_jetting</v>
      </c>
      <c r="D1793" s="2">
        <f ca="1">IFERROR(__xludf.DUMMYFUNCTION("""COMPUTED_VALUE"""),44768)</f>
        <v>44768</v>
      </c>
      <c r="E1793" s="3">
        <f ca="1">IFERROR(__xludf.DUMMYFUNCTION("""COMPUTED_VALUE"""),0.854652777776209)</f>
        <v>0.85465277777620896</v>
      </c>
      <c r="F1793" s="1">
        <f ca="1">IFERROR(__xludf.DUMMYFUNCTION("""COMPUTED_VALUE"""),22497)</f>
        <v>22497</v>
      </c>
      <c r="G1793" s="1" t="str">
        <f ca="1">IFERROR(__xludf.DUMMYFUNCTION("""COMPUTED_VALUE"""),"12.9252/77.6401")</f>
        <v>12.9252/77.6401</v>
      </c>
      <c r="H1793" s="1" t="str">
        <f ca="1">IFERROR(__xludf.DUMMYFUNCTION("""COMPUTED_VALUE"""),"Koramangala Teachers Colony")</f>
        <v>Koramangala Teachers Colony</v>
      </c>
      <c r="I1793" s="1"/>
      <c r="J1793" s="1" t="str">
        <f ca="1">IFERROR(__xludf.DUMMYFUNCTION("""COMPUTED_VALUE"""),"0d 00h 03m")</f>
        <v>0d 00h 03m</v>
      </c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13.2">
      <c r="A1794" s="1">
        <f ca="1">IFERROR(__xludf.DUMMYFUNCTION("""COMPUTED_VALUE"""),155)</f>
        <v>155</v>
      </c>
      <c r="B1794" s="1" t="str">
        <f ca="1">IFERROR(__xludf.DUMMYFUNCTION("""COMPUTED_VALUE"""),"SE3_KA04D4155_Jetting")</f>
        <v>SE3_KA04D4155_Jetting</v>
      </c>
      <c r="C1794" s="1" t="str">
        <f ca="1">IFERROR(__xludf.DUMMYFUNCTION("""COMPUTED_VALUE"""),"se3_ka04d4155_jetting")</f>
        <v>se3_ka04d4155_jetting</v>
      </c>
      <c r="D1794" s="2">
        <f ca="1">IFERROR(__xludf.DUMMYFUNCTION("""COMPUTED_VALUE"""),44799)</f>
        <v>44799</v>
      </c>
      <c r="E1794" s="3">
        <f ca="1">IFERROR(__xludf.DUMMYFUNCTION("""COMPUTED_VALUE"""),0.734351851850078)</f>
        <v>0.73435185185007801</v>
      </c>
      <c r="F1794" s="1">
        <f ca="1">IFERROR(__xludf.DUMMYFUNCTION("""COMPUTED_VALUE"""),22732)</f>
        <v>22732</v>
      </c>
      <c r="G1794" s="1" t="str">
        <f ca="1">IFERROR(__xludf.DUMMYFUNCTION("""COMPUTED_VALUE"""),"12.9252/77.6401")</f>
        <v>12.9252/77.6401</v>
      </c>
      <c r="H1794" s="1" t="str">
        <f ca="1">IFERROR(__xludf.DUMMYFUNCTION("""COMPUTED_VALUE"""),"Koramangala Teachers Colony")</f>
        <v>Koramangala Teachers Colony</v>
      </c>
      <c r="I1794" s="1"/>
      <c r="J1794" s="1" t="str">
        <f ca="1">IFERROR(__xludf.DUMMYFUNCTION("""COMPUTED_VALUE"""),"0d 00h 03m")</f>
        <v>0d 00h 03m</v>
      </c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13.2">
      <c r="A1795" s="1">
        <f ca="1">IFERROR(__xludf.DUMMYFUNCTION("""COMPUTED_VALUE"""),153)</f>
        <v>153</v>
      </c>
      <c r="B1795" s="1" t="str">
        <f ca="1">IFERROR(__xludf.DUMMYFUNCTION("""COMPUTED_VALUE"""),"SE3_KA04D4155_Jetting")</f>
        <v>SE3_KA04D4155_Jetting</v>
      </c>
      <c r="C1795" s="1" t="str">
        <f ca="1">IFERROR(__xludf.DUMMYFUNCTION("""COMPUTED_VALUE"""),"se3_ka04d4155_jetting")</f>
        <v>se3_ka04d4155_jetting</v>
      </c>
      <c r="D1795" s="2">
        <f ca="1">IFERROR(__xludf.DUMMYFUNCTION("""COMPUTED_VALUE"""),44830)</f>
        <v>44830</v>
      </c>
      <c r="E1795" s="3">
        <f ca="1">IFERROR(__xludf.DUMMYFUNCTION("""COMPUTED_VALUE"""),0.721643518518249)</f>
        <v>0.72164351851824904</v>
      </c>
      <c r="F1795" s="1">
        <f ca="1">IFERROR(__xludf.DUMMYFUNCTION("""COMPUTED_VALUE"""),22971)</f>
        <v>22971</v>
      </c>
      <c r="G1795" s="1" t="str">
        <f ca="1">IFERROR(__xludf.DUMMYFUNCTION("""COMPUTED_VALUE"""),"12.9252/77.6400")</f>
        <v>12.9252/77.6400</v>
      </c>
      <c r="H1795" s="1" t="str">
        <f ca="1">IFERROR(__xludf.DUMMYFUNCTION("""COMPUTED_VALUE"""),"Koramangala Teachers Colony")</f>
        <v>Koramangala Teachers Colony</v>
      </c>
      <c r="I1795" s="1"/>
      <c r="J1795" s="1" t="str">
        <f ca="1">IFERROR(__xludf.DUMMYFUNCTION("""COMPUTED_VALUE"""),"0d 00h 04m")</f>
        <v>0d 00h 04m</v>
      </c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13.2">
      <c r="A1796" s="1">
        <f ca="1">IFERROR(__xludf.DUMMYFUNCTION("""COMPUTED_VALUE"""),136)</f>
        <v>136</v>
      </c>
      <c r="B1796" s="1" t="str">
        <f ca="1">IFERROR(__xludf.DUMMYFUNCTION("""COMPUTED_VALUE"""),"SE3_KA04D4155_Jetting")</f>
        <v>SE3_KA04D4155_Jetting</v>
      </c>
      <c r="C1796" s="1" t="str">
        <f ca="1">IFERROR(__xludf.DUMMYFUNCTION("""COMPUTED_VALUE"""),"se3_ka04d4155_jetting")</f>
        <v>se3_ka04d4155_jetting</v>
      </c>
      <c r="D1796" s="2">
        <f ca="1">IFERROR(__xludf.DUMMYFUNCTION("""COMPUTED_VALUE"""),44860)</f>
        <v>44860</v>
      </c>
      <c r="E1796" s="3">
        <f ca="1">IFERROR(__xludf.DUMMYFUNCTION("""COMPUTED_VALUE"""),0.593298611111094)</f>
        <v>0.59329861111109405</v>
      </c>
      <c r="F1796" s="1">
        <f ca="1">IFERROR(__xludf.DUMMYFUNCTION("""COMPUTED_VALUE"""),23166)</f>
        <v>23166</v>
      </c>
      <c r="G1796" s="1" t="str">
        <f ca="1">IFERROR(__xludf.DUMMYFUNCTION("""COMPUTED_VALUE"""),"12.9252/77.6401")</f>
        <v>12.9252/77.6401</v>
      </c>
      <c r="H1796" s="1" t="str">
        <f ca="1">IFERROR(__xludf.DUMMYFUNCTION("""COMPUTED_VALUE"""),"Koramangala Teachers Colony")</f>
        <v>Koramangala Teachers Colony</v>
      </c>
      <c r="I1796" s="1"/>
      <c r="J1796" s="1" t="str">
        <f ca="1">IFERROR(__xludf.DUMMYFUNCTION("""COMPUTED_VALUE"""),"0d 00h 05m")</f>
        <v>0d 00h 05m</v>
      </c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13.2">
      <c r="A1797" s="1">
        <f ca="1">IFERROR(__xludf.DUMMYFUNCTION("""COMPUTED_VALUE"""),40)</f>
        <v>40</v>
      </c>
      <c r="B1797" s="1" t="str">
        <f ca="1">IFERROR(__xludf.DUMMYFUNCTION("""COMPUTED_VALUE"""),"SE3_KA04d5311_Tanker")</f>
        <v>SE3_KA04d5311_Tanker</v>
      </c>
      <c r="C1797" s="1" t="str">
        <f ca="1">IFERROR(__xludf.DUMMYFUNCTION("""COMPUTED_VALUE"""),"se3_ka04d5311_tanker")</f>
        <v>se3_ka04d5311_tanker</v>
      </c>
      <c r="D1797" s="2">
        <f ca="1">IFERROR(__xludf.DUMMYFUNCTION("""COMPUTED_VALUE"""),44498)</f>
        <v>44498</v>
      </c>
      <c r="E1797" s="3">
        <f ca="1">IFERROR(__xludf.DUMMYFUNCTION("""COMPUTED_VALUE"""),0.531377314815472)</f>
        <v>0.53137731481547201</v>
      </c>
      <c r="F1797" s="1">
        <f ca="1">IFERROR(__xludf.DUMMYFUNCTION("""COMPUTED_VALUE"""),17392)</f>
        <v>17392</v>
      </c>
      <c r="G1797" s="1" t="str">
        <f ca="1">IFERROR(__xludf.DUMMYFUNCTION("""COMPUTED_VALUE"""),"12.8130/77.6766")</f>
        <v>12.8130/77.6766</v>
      </c>
      <c r="H1797" s="1" t="str">
        <f ca="1">IFERROR(__xludf.DUMMYFUNCTION("""COMPUTED_VALUE"""),"Samruddhi Suites")</f>
        <v>Samruddhi Suites</v>
      </c>
      <c r="I1797" s="1"/>
      <c r="J1797" s="1" t="str">
        <f ca="1">IFERROR(__xludf.DUMMYFUNCTION("""COMPUTED_VALUE"""),"138d 21h 13m")</f>
        <v>138d 21h 13m</v>
      </c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13.2">
      <c r="A1798" s="1">
        <f ca="1">IFERROR(__xludf.DUMMYFUNCTION("""COMPUTED_VALUE"""),110)</f>
        <v>110</v>
      </c>
      <c r="B1798" s="1" t="str">
        <f ca="1">IFERROR(__xludf.DUMMYFUNCTION("""COMPUTED_VALUE"""),"SE3_KA04d5311_Tanker")</f>
        <v>SE3_KA04d5311_Tanker</v>
      </c>
      <c r="C1798" s="1" t="str">
        <f ca="1">IFERROR(__xludf.DUMMYFUNCTION("""COMPUTED_VALUE"""),"se3_ka04d5311_tanker")</f>
        <v>se3_ka04d5311_tanker</v>
      </c>
      <c r="D1798" s="2">
        <f ca="1">IFERROR(__xludf.DUMMYFUNCTION("""COMPUTED_VALUE"""),44736)</f>
        <v>44736</v>
      </c>
      <c r="E1798" s="3">
        <f ca="1">IFERROR(__xludf.DUMMYFUNCTION("""COMPUTED_VALUE"""),0.409305555556784)</f>
        <v>0.409305555556784</v>
      </c>
      <c r="F1798" s="1">
        <f ca="1">IFERROR(__xludf.DUMMYFUNCTION("""COMPUTED_VALUE"""),17406)</f>
        <v>17406</v>
      </c>
      <c r="G1798" s="1" t="str">
        <f ca="1">IFERROR(__xludf.DUMMYFUNCTION("""COMPUTED_VALUE"""),"12.9280/77.6216")</f>
        <v>12.9280/77.6216</v>
      </c>
      <c r="H1798" s="1" t="str">
        <f ca="1">IFERROR(__xludf.DUMMYFUNCTION("""COMPUTED_VALUE"""),"De-Oriell Hotel")</f>
        <v>De-Oriell Hotel</v>
      </c>
      <c r="I1798" s="1"/>
      <c r="J1798" s="1" t="str">
        <f ca="1">IFERROR(__xludf.DUMMYFUNCTION("""COMPUTED_VALUE"""),"138d 21h 14m")</f>
        <v>138d 21h 14m</v>
      </c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13.2">
      <c r="A1799" s="1">
        <f ca="1">IFERROR(__xludf.DUMMYFUNCTION("""COMPUTED_VALUE"""),69)</f>
        <v>69</v>
      </c>
      <c r="B1799" s="1" t="str">
        <f ca="1">IFERROR(__xludf.DUMMYFUNCTION("""COMPUTED_VALUE"""),"SE3_KA04d5311_Tanker")</f>
        <v>SE3_KA04d5311_Tanker</v>
      </c>
      <c r="C1799" s="1" t="str">
        <f ca="1">IFERROR(__xludf.DUMMYFUNCTION("""COMPUTED_VALUE"""),"se3_ka04d5311_tanker")</f>
        <v>se3_ka04d5311_tanker</v>
      </c>
      <c r="D1799" s="2">
        <f ca="1">IFERROR(__xludf.DUMMYFUNCTION("""COMPUTED_VALUE"""),44736)</f>
        <v>44736</v>
      </c>
      <c r="E1799" s="3">
        <f ca="1">IFERROR(__xludf.DUMMYFUNCTION("""COMPUTED_VALUE"""),0.409305555556784)</f>
        <v>0.409305555556784</v>
      </c>
      <c r="F1799" s="1">
        <f ca="1">IFERROR(__xludf.DUMMYFUNCTION("""COMPUTED_VALUE"""),17406)</f>
        <v>17406</v>
      </c>
      <c r="G1799" s="1" t="str">
        <f ca="1">IFERROR(__xludf.DUMMYFUNCTION("""COMPUTED_VALUE"""),"12.9280/77.6216")</f>
        <v>12.9280/77.6216</v>
      </c>
      <c r="H1799" s="1" t="str">
        <f ca="1">IFERROR(__xludf.DUMMYFUNCTION("""COMPUTED_VALUE"""),"De-Oriell Hotel")</f>
        <v>De-Oriell Hotel</v>
      </c>
      <c r="I1799" s="1"/>
      <c r="J1799" s="1" t="str">
        <f ca="1">IFERROR(__xludf.DUMMYFUNCTION("""COMPUTED_VALUE"""),"138d 21h 15m")</f>
        <v>138d 21h 15m</v>
      </c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13.2">
      <c r="A1800" s="1">
        <f ca="1">IFERROR(__xludf.DUMMYFUNCTION("""COMPUTED_VALUE"""),62)</f>
        <v>62</v>
      </c>
      <c r="B1800" s="1" t="str">
        <f ca="1">IFERROR(__xludf.DUMMYFUNCTION("""COMPUTED_VALUE"""),"SE3_KA04d5311_Tanker")</f>
        <v>SE3_KA04d5311_Tanker</v>
      </c>
      <c r="C1800" s="1" t="str">
        <f ca="1">IFERROR(__xludf.DUMMYFUNCTION("""COMPUTED_VALUE"""),"se3_ka04d5311_tanker")</f>
        <v>se3_ka04d5311_tanker</v>
      </c>
      <c r="D1800" s="2">
        <f ca="1">IFERROR(__xludf.DUMMYFUNCTION("""COMPUTED_VALUE"""),44736)</f>
        <v>44736</v>
      </c>
      <c r="E1800" s="3">
        <f ca="1">IFERROR(__xludf.DUMMYFUNCTION("""COMPUTED_VALUE"""),0.409305555556784)</f>
        <v>0.409305555556784</v>
      </c>
      <c r="F1800" s="1">
        <f ca="1">IFERROR(__xludf.DUMMYFUNCTION("""COMPUTED_VALUE"""),17406)</f>
        <v>17406</v>
      </c>
      <c r="G1800" s="1" t="str">
        <f ca="1">IFERROR(__xludf.DUMMYFUNCTION("""COMPUTED_VALUE"""),"12.9280/77.6216")</f>
        <v>12.9280/77.6216</v>
      </c>
      <c r="H1800" s="1" t="str">
        <f ca="1">IFERROR(__xludf.DUMMYFUNCTION("""COMPUTED_VALUE"""),"De-Oriell Hotel")</f>
        <v>De-Oriell Hotel</v>
      </c>
      <c r="I1800" s="1"/>
      <c r="J1800" s="1" t="str">
        <f ca="1">IFERROR(__xludf.DUMMYFUNCTION("""COMPUTED_VALUE"""),"138d 21h 16m")</f>
        <v>138d 21h 16m</v>
      </c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13.2">
      <c r="A1801" s="1">
        <f ca="1">IFERROR(__xludf.DUMMYFUNCTION("""COMPUTED_VALUE"""),49)</f>
        <v>49</v>
      </c>
      <c r="B1801" s="1" t="str">
        <f ca="1">IFERROR(__xludf.DUMMYFUNCTION("""COMPUTED_VALUE"""),"SE3_KA04d5311_Tanker")</f>
        <v>SE3_KA04d5311_Tanker</v>
      </c>
      <c r="C1801" s="1" t="str">
        <f ca="1">IFERROR(__xludf.DUMMYFUNCTION("""COMPUTED_VALUE"""),"se3_ka04d5311_tanker")</f>
        <v>se3_ka04d5311_tanker</v>
      </c>
      <c r="D1801" s="2">
        <f ca="1">IFERROR(__xludf.DUMMYFUNCTION("""COMPUTED_VALUE"""),44736)</f>
        <v>44736</v>
      </c>
      <c r="E1801" s="3">
        <f ca="1">IFERROR(__xludf.DUMMYFUNCTION("""COMPUTED_VALUE"""),0.409305555556784)</f>
        <v>0.409305555556784</v>
      </c>
      <c r="F1801" s="1">
        <f ca="1">IFERROR(__xludf.DUMMYFUNCTION("""COMPUTED_VALUE"""),17406)</f>
        <v>17406</v>
      </c>
      <c r="G1801" s="1" t="str">
        <f ca="1">IFERROR(__xludf.DUMMYFUNCTION("""COMPUTED_VALUE"""),"12.9280/77.6216")</f>
        <v>12.9280/77.6216</v>
      </c>
      <c r="H1801" s="1" t="str">
        <f ca="1">IFERROR(__xludf.DUMMYFUNCTION("""COMPUTED_VALUE"""),"De-Oriell Hotel")</f>
        <v>De-Oriell Hotel</v>
      </c>
      <c r="I1801" s="1"/>
      <c r="J1801" s="1" t="str">
        <f ca="1">IFERROR(__xludf.DUMMYFUNCTION("""COMPUTED_VALUE"""),"138d 21h 17m")</f>
        <v>138d 21h 17m</v>
      </c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13.2">
      <c r="A1802" s="1">
        <f ca="1">IFERROR(__xludf.DUMMYFUNCTION("""COMPUTED_VALUE"""),49)</f>
        <v>49</v>
      </c>
      <c r="B1802" s="1" t="str">
        <f ca="1">IFERROR(__xludf.DUMMYFUNCTION("""COMPUTED_VALUE"""),"SE3_KA04d5311_Tanker")</f>
        <v>SE3_KA04d5311_Tanker</v>
      </c>
      <c r="C1802" s="1" t="str">
        <f ca="1">IFERROR(__xludf.DUMMYFUNCTION("""COMPUTED_VALUE"""),"se3_ka04d5311_tanker")</f>
        <v>se3_ka04d5311_tanker</v>
      </c>
      <c r="D1802" s="2">
        <f ca="1">IFERROR(__xludf.DUMMYFUNCTION("""COMPUTED_VALUE"""),44736)</f>
        <v>44736</v>
      </c>
      <c r="E1802" s="3">
        <f ca="1">IFERROR(__xludf.DUMMYFUNCTION("""COMPUTED_VALUE"""),0.409305555556784)</f>
        <v>0.409305555556784</v>
      </c>
      <c r="F1802" s="1">
        <f ca="1">IFERROR(__xludf.DUMMYFUNCTION("""COMPUTED_VALUE"""),17406)</f>
        <v>17406</v>
      </c>
      <c r="G1802" s="1" t="str">
        <f ca="1">IFERROR(__xludf.DUMMYFUNCTION("""COMPUTED_VALUE"""),"12.9280/77.6216")</f>
        <v>12.9280/77.6216</v>
      </c>
      <c r="H1802" s="1" t="str">
        <f ca="1">IFERROR(__xludf.DUMMYFUNCTION("""COMPUTED_VALUE"""),"De-Oriell Hotel")</f>
        <v>De-Oriell Hotel</v>
      </c>
      <c r="I1802" s="1"/>
      <c r="J1802" s="1" t="str">
        <f ca="1">IFERROR(__xludf.DUMMYFUNCTION("""COMPUTED_VALUE"""),"138d 21h 18m")</f>
        <v>138d 21h 18m</v>
      </c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13.2">
      <c r="A1803" s="1">
        <f ca="1">IFERROR(__xludf.DUMMYFUNCTION("""COMPUTED_VALUE"""),109)</f>
        <v>109</v>
      </c>
      <c r="B1803" s="1" t="str">
        <f ca="1">IFERROR(__xludf.DUMMYFUNCTION("""COMPUTED_VALUE"""),"SE3_KA05B8084_Tanker")</f>
        <v>SE3_KA05B8084_Tanker</v>
      </c>
      <c r="C1803" s="1" t="str">
        <f ca="1">IFERROR(__xludf.DUMMYFUNCTION("""COMPUTED_VALUE"""),"se3_ka05b8084_tanker")</f>
        <v>se3_ka05b8084_tanker</v>
      </c>
      <c r="D1803" s="2">
        <f ca="1">IFERROR(__xludf.DUMMYFUNCTION("""COMPUTED_VALUE"""),44705)</f>
        <v>44705</v>
      </c>
      <c r="E1803" s="3">
        <f ca="1">IFERROR(__xludf.DUMMYFUNCTION("""COMPUTED_VALUE"""),0.557233796294895)</f>
        <v>0.557233796294895</v>
      </c>
      <c r="F1803" s="1">
        <f ca="1">IFERROR(__xludf.DUMMYFUNCTION("""COMPUTED_VALUE"""),18549)</f>
        <v>18549</v>
      </c>
      <c r="G1803" s="1" t="str">
        <f ca="1">IFERROR(__xludf.DUMMYFUNCTION("""COMPUTED_VALUE"""),"12.9115/77.6469")</f>
        <v>12.9115/77.6469</v>
      </c>
      <c r="H1803" s="1" t="str">
        <f ca="1">IFERROR(__xludf.DUMMYFUNCTION("""COMPUTED_VALUE"""),"HSR Club")</f>
        <v>HSR Club</v>
      </c>
      <c r="I1803" s="1"/>
      <c r="J1803" s="1" t="str">
        <f ca="1">IFERROR(__xludf.DUMMYFUNCTION("""COMPUTED_VALUE"""),"0d 01h 35m")</f>
        <v>0d 01h 35m</v>
      </c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13.2">
      <c r="A1804" s="1">
        <f ca="1">IFERROR(__xludf.DUMMYFUNCTION("""COMPUTED_VALUE"""),137)</f>
        <v>137</v>
      </c>
      <c r="B1804" s="1" t="str">
        <f ca="1">IFERROR(__xludf.DUMMYFUNCTION("""COMPUTED_VALUE"""),"SE3_KA05B8084_Tanker")</f>
        <v>SE3_KA05B8084_Tanker</v>
      </c>
      <c r="C1804" s="1" t="str">
        <f ca="1">IFERROR(__xludf.DUMMYFUNCTION("""COMPUTED_VALUE"""),"se3_ka05b8084_tanker")</f>
        <v>se3_ka05b8084_tanker</v>
      </c>
      <c r="D1804" s="2">
        <f ca="1">IFERROR(__xludf.DUMMYFUNCTION("""COMPUTED_VALUE"""),44737)</f>
        <v>44737</v>
      </c>
      <c r="E1804" s="3">
        <f ca="1">IFERROR(__xludf.DUMMYFUNCTION("""COMPUTED_VALUE"""),0.811574074072268)</f>
        <v>0.811574074072268</v>
      </c>
      <c r="F1804" s="1">
        <f ca="1">IFERROR(__xludf.DUMMYFUNCTION("""COMPUTED_VALUE"""),18560)</f>
        <v>18560</v>
      </c>
      <c r="G1804" s="1" t="str">
        <f ca="1">IFERROR(__xludf.DUMMYFUNCTION("""COMPUTED_VALUE"""),"12.9340/77.6776")</f>
        <v>12.9340/77.6776</v>
      </c>
      <c r="H1804" s="1" t="str">
        <f ca="1">IFERROR(__xludf.DUMMYFUNCTION("""COMPUTED_VALUE"""),"Ibis Bengaluru Techpark")</f>
        <v>Ibis Bengaluru Techpark</v>
      </c>
      <c r="I1804" s="1"/>
      <c r="J1804" s="1" t="str">
        <f ca="1">IFERROR(__xludf.DUMMYFUNCTION("""COMPUTED_VALUE"""),"0d 01h 36m")</f>
        <v>0d 01h 36m</v>
      </c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13.2">
      <c r="A1805" s="1">
        <f ca="1">IFERROR(__xludf.DUMMYFUNCTION("""COMPUTED_VALUE"""),214)</f>
        <v>214</v>
      </c>
      <c r="B1805" s="1" t="str">
        <f ca="1">IFERROR(__xludf.DUMMYFUNCTION("""COMPUTED_VALUE"""),"SE3_KA05B8084_Tanker")</f>
        <v>SE3_KA05B8084_Tanker</v>
      </c>
      <c r="C1805" s="1" t="str">
        <f ca="1">IFERROR(__xludf.DUMMYFUNCTION("""COMPUTED_VALUE"""),"se3_ka05b8084_tanker")</f>
        <v>se3_ka05b8084_tanker</v>
      </c>
      <c r="D1805" s="2">
        <f ca="1">IFERROR(__xludf.DUMMYFUNCTION("""COMPUTED_VALUE"""),44768)</f>
        <v>44768</v>
      </c>
      <c r="E1805" s="3">
        <f ca="1">IFERROR(__xludf.DUMMYFUNCTION("""COMPUTED_VALUE"""),0.99921296296452)</f>
        <v>0.99921296296452</v>
      </c>
      <c r="F1805" s="1">
        <f ca="1">IFERROR(__xludf.DUMMYFUNCTION("""COMPUTED_VALUE"""),18569)</f>
        <v>18569</v>
      </c>
      <c r="G1805" s="1" t="str">
        <f ca="1">IFERROR(__xludf.DUMMYFUNCTION("""COMPUTED_VALUE"""),"12.9339/77.6776")</f>
        <v>12.9339/77.6776</v>
      </c>
      <c r="H1805" s="1" t="str">
        <f ca="1">IFERROR(__xludf.DUMMYFUNCTION("""COMPUTED_VALUE"""),"Ibis Bengaluru Techpark")</f>
        <v>Ibis Bengaluru Techpark</v>
      </c>
      <c r="I1805" s="1"/>
      <c r="J1805" s="1" t="str">
        <f ca="1">IFERROR(__xludf.DUMMYFUNCTION("""COMPUTED_VALUE"""),"0d 01h 37m")</f>
        <v>0d 01h 37m</v>
      </c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13.2">
      <c r="A1806" s="1">
        <f ca="1">IFERROR(__xludf.DUMMYFUNCTION("""COMPUTED_VALUE"""),223)</f>
        <v>223</v>
      </c>
      <c r="B1806" s="1" t="str">
        <f ca="1">IFERROR(__xludf.DUMMYFUNCTION("""COMPUTED_VALUE"""),"SE3_KA05B8084_Tanker")</f>
        <v>SE3_KA05B8084_Tanker</v>
      </c>
      <c r="C1806" s="1" t="str">
        <f ca="1">IFERROR(__xludf.DUMMYFUNCTION("""COMPUTED_VALUE"""),"se3_ka05b8084_tanker")</f>
        <v>se3_ka05b8084_tanker</v>
      </c>
      <c r="D1806" s="2">
        <f ca="1">IFERROR(__xludf.DUMMYFUNCTION("""COMPUTED_VALUE"""),44799)</f>
        <v>44799</v>
      </c>
      <c r="E1806" s="3">
        <f ca="1">IFERROR(__xludf.DUMMYFUNCTION("""COMPUTED_VALUE"""),0.99920138888774)</f>
        <v>0.99920138888774002</v>
      </c>
      <c r="F1806" s="1">
        <f ca="1">IFERROR(__xludf.DUMMYFUNCTION("""COMPUTED_VALUE"""),19025)</f>
        <v>19025</v>
      </c>
      <c r="G1806" s="1" t="str">
        <f ca="1">IFERROR(__xludf.DUMMYFUNCTION("""COMPUTED_VALUE"""),"12.9277/77.6214")</f>
        <v>12.9277/77.6214</v>
      </c>
      <c r="H1806" s="1" t="str">
        <f ca="1">IFERROR(__xludf.DUMMYFUNCTION("""COMPUTED_VALUE"""),"De-Oriell Hotel")</f>
        <v>De-Oriell Hotel</v>
      </c>
      <c r="I1806" s="1"/>
      <c r="J1806" s="1" t="str">
        <f ca="1">IFERROR(__xludf.DUMMYFUNCTION("""COMPUTED_VALUE"""),"0d 01h 37m")</f>
        <v>0d 01h 37m</v>
      </c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13.2">
      <c r="A1807" s="1">
        <f ca="1">IFERROR(__xludf.DUMMYFUNCTION("""COMPUTED_VALUE"""),128)</f>
        <v>128</v>
      </c>
      <c r="B1807" s="1" t="str">
        <f ca="1">IFERROR(__xludf.DUMMYFUNCTION("""COMPUTED_VALUE"""),"SE3_KA05B8084_Tanker")</f>
        <v>SE3_KA05B8084_Tanker</v>
      </c>
      <c r="C1807" s="1" t="str">
        <f ca="1">IFERROR(__xludf.DUMMYFUNCTION("""COMPUTED_VALUE"""),"se3_ka05b8084_tanker")</f>
        <v>se3_ka05b8084_tanker</v>
      </c>
      <c r="D1807" s="2">
        <f ca="1">IFERROR(__xludf.DUMMYFUNCTION("""COMPUTED_VALUE"""),44828)</f>
        <v>44828</v>
      </c>
      <c r="E1807" s="3">
        <f ca="1">IFERROR(__xludf.DUMMYFUNCTION("""COMPUTED_VALUE"""),0.407905092593864)</f>
        <v>0.40790509259386398</v>
      </c>
      <c r="F1807" s="1">
        <f ca="1">IFERROR(__xludf.DUMMYFUNCTION("""COMPUTED_VALUE"""),19392)</f>
        <v>19392</v>
      </c>
      <c r="G1807" s="1" t="str">
        <f ca="1">IFERROR(__xludf.DUMMYFUNCTION("""COMPUTED_VALUE"""),"12.9299/77.6220")</f>
        <v>12.9299/77.6220</v>
      </c>
      <c r="H1807" s="1" t="str">
        <f ca="1">IFERROR(__xludf.DUMMYFUNCTION("""COMPUTED_VALUE"""),"Koramangala")</f>
        <v>Koramangala</v>
      </c>
      <c r="I1807" s="1"/>
      <c r="J1807" s="1" t="str">
        <f ca="1">IFERROR(__xludf.DUMMYFUNCTION("""COMPUTED_VALUE"""),"0d 01h 38m")</f>
        <v>0d 01h 38m</v>
      </c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13.2">
      <c r="A1808" s="1">
        <f ca="1">IFERROR(__xludf.DUMMYFUNCTION("""COMPUTED_VALUE"""),101)</f>
        <v>101</v>
      </c>
      <c r="B1808" s="1" t="str">
        <f ca="1">IFERROR(__xludf.DUMMYFUNCTION("""COMPUTED_VALUE"""),"SE3_KA05B8084_Tanker")</f>
        <v>SE3_KA05B8084_Tanker</v>
      </c>
      <c r="C1808" s="1" t="str">
        <f ca="1">IFERROR(__xludf.DUMMYFUNCTION("""COMPUTED_VALUE"""),"se3_ka05b8084_tanker")</f>
        <v>se3_ka05b8084_tanker</v>
      </c>
      <c r="D1808" s="2">
        <f ca="1">IFERROR(__xludf.DUMMYFUNCTION("""COMPUTED_VALUE"""),44857)</f>
        <v>44857</v>
      </c>
      <c r="E1808" s="3">
        <f ca="1">IFERROR(__xludf.DUMMYFUNCTION("""COMPUTED_VALUE"""),0.776423611110658)</f>
        <v>0.77642361111065805</v>
      </c>
      <c r="F1808" s="1">
        <f ca="1">IFERROR(__xludf.DUMMYFUNCTION("""COMPUTED_VALUE"""),19559)</f>
        <v>19559</v>
      </c>
      <c r="G1808" s="1" t="str">
        <f ca="1">IFERROR(__xludf.DUMMYFUNCTION("""COMPUTED_VALUE"""),"12.9277/77.6213")</f>
        <v>12.9277/77.6213</v>
      </c>
      <c r="H1808" s="1" t="str">
        <f ca="1">IFERROR(__xludf.DUMMYFUNCTION("""COMPUTED_VALUE"""),"De-Oriell Hotel")</f>
        <v>De-Oriell Hotel</v>
      </c>
      <c r="I1808" s="1"/>
      <c r="J1808" s="1" t="str">
        <f ca="1">IFERROR(__xludf.DUMMYFUNCTION("""COMPUTED_VALUE"""),"0d 01h 39m")</f>
        <v>0d 01h 39m</v>
      </c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13.2">
      <c r="A1809" s="1">
        <f ca="1">IFERROR(__xludf.DUMMYFUNCTION("""COMPUTED_VALUE"""),141)</f>
        <v>141</v>
      </c>
      <c r="B1809" s="1" t="str">
        <f ca="1">IFERROR(__xludf.DUMMYFUNCTION("""COMPUTED_VALUE"""),"SE4_KA04A3282_JETTING")</f>
        <v>SE4_KA04A3282_JETTING</v>
      </c>
      <c r="C1809" s="1" t="str">
        <f ca="1">IFERROR(__xludf.DUMMYFUNCTION("""COMPUTED_VALUE"""),"se4_ka04a3282_jetting")</f>
        <v>se4_ka04a3282_jetting</v>
      </c>
      <c r="D1809" s="2">
        <f ca="1">IFERROR(__xludf.DUMMYFUNCTION("""COMPUTED_VALUE"""),45127)</f>
        <v>45127</v>
      </c>
      <c r="E1809" s="3">
        <f ca="1">IFERROR(__xludf.DUMMYFUNCTION("""COMPUTED_VALUE"""),0.820613425927149)</f>
        <v>0.82061342592714903</v>
      </c>
      <c r="F1809" s="1">
        <f ca="1">IFERROR(__xludf.DUMMYFUNCTION("""COMPUTED_VALUE"""),23789)</f>
        <v>23789</v>
      </c>
      <c r="G1809" s="1" t="str">
        <f ca="1">IFERROR(__xludf.DUMMYFUNCTION("""COMPUTED_VALUE"""),"12.9827/77.6496")</f>
        <v>12.9827/77.6496</v>
      </c>
      <c r="H1809" s="1" t="str">
        <f ca="1">IFERROR(__xludf.DUMMYFUNCTION("""COMPUTED_VALUE"""),"Thippasandra")</f>
        <v>Thippasandra</v>
      </c>
      <c r="I1809" s="1"/>
      <c r="J1809" s="1" t="str">
        <f ca="1">IFERROR(__xludf.DUMMYFUNCTION("""COMPUTED_VALUE"""),"243d 15h 48m")</f>
        <v>243d 15h 48m</v>
      </c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13.2">
      <c r="A1810" s="1">
        <f ca="1">IFERROR(__xludf.DUMMYFUNCTION("""COMPUTED_VALUE"""),136)</f>
        <v>136</v>
      </c>
      <c r="B1810" s="1" t="str">
        <f ca="1">IFERROR(__xludf.DUMMYFUNCTION("""COMPUTED_VALUE"""),"SE4_KA04A3282_JETTING")</f>
        <v>SE4_KA04A3282_JETTING</v>
      </c>
      <c r="C1810" s="1" t="str">
        <f ca="1">IFERROR(__xludf.DUMMYFUNCTION("""COMPUTED_VALUE"""),"se4_ka04a3282_jetting")</f>
        <v>se4_ka04a3282_jetting</v>
      </c>
      <c r="D1810" s="2">
        <f ca="1">IFERROR(__xludf.DUMMYFUNCTION("""COMPUTED_VALUE"""),45127)</f>
        <v>45127</v>
      </c>
      <c r="E1810" s="3">
        <f ca="1">IFERROR(__xludf.DUMMYFUNCTION("""COMPUTED_VALUE"""),0.820613425927149)</f>
        <v>0.82061342592714903</v>
      </c>
      <c r="F1810" s="1">
        <f ca="1">IFERROR(__xludf.DUMMYFUNCTION("""COMPUTED_VALUE"""),23789)</f>
        <v>23789</v>
      </c>
      <c r="G1810" s="1" t="str">
        <f ca="1">IFERROR(__xludf.DUMMYFUNCTION("""COMPUTED_VALUE"""),"12.9827/77.6496")</f>
        <v>12.9827/77.6496</v>
      </c>
      <c r="H1810" s="1" t="str">
        <f ca="1">IFERROR(__xludf.DUMMYFUNCTION("""COMPUTED_VALUE"""),"Thippasandra")</f>
        <v>Thippasandra</v>
      </c>
      <c r="I1810" s="1"/>
      <c r="J1810" s="1" t="str">
        <f ca="1">IFERROR(__xludf.DUMMYFUNCTION("""COMPUTED_VALUE"""),"243d 15h 49m")</f>
        <v>243d 15h 49m</v>
      </c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13.2">
      <c r="A1811" s="1">
        <f ca="1">IFERROR(__xludf.DUMMYFUNCTION("""COMPUTED_VALUE"""),134)</f>
        <v>134</v>
      </c>
      <c r="B1811" s="1" t="str">
        <f ca="1">IFERROR(__xludf.DUMMYFUNCTION("""COMPUTED_VALUE"""),"SE4_KA04A3282_JETTING")</f>
        <v>SE4_KA04A3282_JETTING</v>
      </c>
      <c r="C1811" s="1" t="str">
        <f ca="1">IFERROR(__xludf.DUMMYFUNCTION("""COMPUTED_VALUE"""),"se4_ka04a3282_jetting")</f>
        <v>se4_ka04a3282_jetting</v>
      </c>
      <c r="D1811" s="2">
        <f ca="1">IFERROR(__xludf.DUMMYFUNCTION("""COMPUTED_VALUE"""),45127)</f>
        <v>45127</v>
      </c>
      <c r="E1811" s="3">
        <f ca="1">IFERROR(__xludf.DUMMYFUNCTION("""COMPUTED_VALUE"""),0.820613425927149)</f>
        <v>0.82061342592714903</v>
      </c>
      <c r="F1811" s="1">
        <f ca="1">IFERROR(__xludf.DUMMYFUNCTION("""COMPUTED_VALUE"""),23789)</f>
        <v>23789</v>
      </c>
      <c r="G1811" s="1" t="str">
        <f ca="1">IFERROR(__xludf.DUMMYFUNCTION("""COMPUTED_VALUE"""),"12.9827/77.6496")</f>
        <v>12.9827/77.6496</v>
      </c>
      <c r="H1811" s="1" t="str">
        <f ca="1">IFERROR(__xludf.DUMMYFUNCTION("""COMPUTED_VALUE"""),"Thippasandra")</f>
        <v>Thippasandra</v>
      </c>
      <c r="I1811" s="1"/>
      <c r="J1811" s="1" t="str">
        <f ca="1">IFERROR(__xludf.DUMMYFUNCTION("""COMPUTED_VALUE"""),"243d 15h 51m")</f>
        <v>243d 15h 51m</v>
      </c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13.2">
      <c r="A1812" s="1">
        <f ca="1">IFERROR(__xludf.DUMMYFUNCTION("""COMPUTED_VALUE"""),143)</f>
        <v>143</v>
      </c>
      <c r="B1812" s="1" t="str">
        <f ca="1">IFERROR(__xludf.DUMMYFUNCTION("""COMPUTED_VALUE"""),"SE4_KA04A7681_DESILTING")</f>
        <v>SE4_KA04A7681_DESILTING</v>
      </c>
      <c r="C1812" s="1" t="str">
        <f ca="1">IFERROR(__xludf.DUMMYFUNCTION("""COMPUTED_VALUE"""),"se4_ka04a7681_desilting")</f>
        <v>se4_ka04a7681_desilting</v>
      </c>
      <c r="D1812" s="2">
        <f ca="1">IFERROR(__xludf.DUMMYFUNCTION("""COMPUTED_VALUE"""),45216)</f>
        <v>45216</v>
      </c>
      <c r="E1812" s="3">
        <f ca="1">IFERROR(__xludf.DUMMYFUNCTION("""COMPUTED_VALUE"""),0.366111111110512)</f>
        <v>0.36611111111051198</v>
      </c>
      <c r="F1812" s="1">
        <f ca="1">IFERROR(__xludf.DUMMYFUNCTION("""COMPUTED_VALUE"""),11876)</f>
        <v>11876</v>
      </c>
      <c r="G1812" s="1" t="str">
        <f ca="1">IFERROR(__xludf.DUMMYFUNCTION("""COMPUTED_VALUE"""),"12.9826/77.6495")</f>
        <v>12.9826/77.6495</v>
      </c>
      <c r="H1812" s="1" t="str">
        <f ca="1">IFERROR(__xludf.DUMMYFUNCTION("""COMPUTED_VALUE"""),"Thippasandra")</f>
        <v>Thippasandra</v>
      </c>
      <c r="I1812" s="1"/>
      <c r="J1812" s="1" t="str">
        <f ca="1">IFERROR(__xludf.DUMMYFUNCTION("""COMPUTED_VALUE"""),"155d 02h 44m")</f>
        <v>155d 02h 44m</v>
      </c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13.2">
      <c r="A1813" s="1">
        <f ca="1">IFERROR(__xludf.DUMMYFUNCTION("""COMPUTED_VALUE"""),139)</f>
        <v>139</v>
      </c>
      <c r="B1813" s="1" t="str">
        <f ca="1">IFERROR(__xludf.DUMMYFUNCTION("""COMPUTED_VALUE"""),"SE4_KA04A7681_DESILTING")</f>
        <v>SE4_KA04A7681_DESILTING</v>
      </c>
      <c r="C1813" s="1" t="str">
        <f ca="1">IFERROR(__xludf.DUMMYFUNCTION("""COMPUTED_VALUE"""),"se4_ka04a7681_desilting")</f>
        <v>se4_ka04a7681_desilting</v>
      </c>
      <c r="D1813" s="2">
        <f ca="1">IFERROR(__xludf.DUMMYFUNCTION("""COMPUTED_VALUE"""),45216)</f>
        <v>45216</v>
      </c>
      <c r="E1813" s="3">
        <f ca="1">IFERROR(__xludf.DUMMYFUNCTION("""COMPUTED_VALUE"""),0.366111111110512)</f>
        <v>0.36611111111051198</v>
      </c>
      <c r="F1813" s="1">
        <f ca="1">IFERROR(__xludf.DUMMYFUNCTION("""COMPUTED_VALUE"""),11876)</f>
        <v>11876</v>
      </c>
      <c r="G1813" s="1" t="str">
        <f ca="1">IFERROR(__xludf.DUMMYFUNCTION("""COMPUTED_VALUE"""),"12.9826/77.6495")</f>
        <v>12.9826/77.6495</v>
      </c>
      <c r="H1813" s="1" t="str">
        <f ca="1">IFERROR(__xludf.DUMMYFUNCTION("""COMPUTED_VALUE"""),"Thippasandra")</f>
        <v>Thippasandra</v>
      </c>
      <c r="I1813" s="1"/>
      <c r="J1813" s="1" t="str">
        <f ca="1">IFERROR(__xludf.DUMMYFUNCTION("""COMPUTED_VALUE"""),"155d 02h 45m")</f>
        <v>155d 02h 45m</v>
      </c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13.2">
      <c r="A1814" s="1">
        <f ca="1">IFERROR(__xludf.DUMMYFUNCTION("""COMPUTED_VALUE"""),8)</f>
        <v>8</v>
      </c>
      <c r="B1814" s="1" t="str">
        <f ca="1">IFERROR(__xludf.DUMMYFUNCTION("""COMPUTED_VALUE"""),"SE5_KA04A3044_JETTING")</f>
        <v>SE5_KA04A3044_JETTING</v>
      </c>
      <c r="C1814" s="1" t="str">
        <f ca="1">IFERROR(__xludf.DUMMYFUNCTION("""COMPUTED_VALUE"""),"se5_ka04a3044_jetting")</f>
        <v>se5_ka04a3044_jetting</v>
      </c>
      <c r="D1814" s="2">
        <f ca="1">IFERROR(__xludf.DUMMYFUNCTION("""COMPUTED_VALUE"""),41640)</f>
        <v>41640</v>
      </c>
      <c r="E1814" s="3">
        <f ca="1">IFERROR(__xludf.DUMMYFUNCTION("""COMPUTED_VALUE"""),0.229421296295186)</f>
        <v>0.22942129629518601</v>
      </c>
      <c r="F1814" s="1">
        <f ca="1">IFERROR(__xludf.DUMMYFUNCTION("""COMPUTED_VALUE"""),17052)</f>
        <v>17052</v>
      </c>
      <c r="G1814" s="1"/>
      <c r="H1814" s="1"/>
      <c r="I1814" s="1"/>
      <c r="J1814" s="1" t="str">
        <f ca="1">IFERROR(__xludf.DUMMYFUNCTION("""COMPUTED_VALUE"""),"0d 00h 02m")</f>
        <v>0d 00h 02m</v>
      </c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13.2">
      <c r="A1815" s="1">
        <f ca="1">IFERROR(__xludf.DUMMYFUNCTION("""COMPUTED_VALUE"""),8)</f>
        <v>8</v>
      </c>
      <c r="B1815" s="1" t="str">
        <f ca="1">IFERROR(__xludf.DUMMYFUNCTION("""COMPUTED_VALUE"""),"SE5_KA04A3044_JETTING")</f>
        <v>SE5_KA04A3044_JETTING</v>
      </c>
      <c r="C1815" s="1" t="str">
        <f ca="1">IFERROR(__xludf.DUMMYFUNCTION("""COMPUTED_VALUE"""),"se5_ka04a3044_jetting")</f>
        <v>se5_ka04a3044_jetting</v>
      </c>
      <c r="D1815" s="2">
        <f ca="1">IFERROR(__xludf.DUMMYFUNCTION("""COMPUTED_VALUE"""),41640)</f>
        <v>41640</v>
      </c>
      <c r="E1815" s="3">
        <f ca="1">IFERROR(__xludf.DUMMYFUNCTION("""COMPUTED_VALUE"""),0.229421296295186)</f>
        <v>0.22942129629518601</v>
      </c>
      <c r="F1815" s="1">
        <f ca="1">IFERROR(__xludf.DUMMYFUNCTION("""COMPUTED_VALUE"""),17052)</f>
        <v>17052</v>
      </c>
      <c r="G1815" s="1"/>
      <c r="H1815" s="1"/>
      <c r="I1815" s="1"/>
      <c r="J1815" s="1" t="str">
        <f ca="1">IFERROR(__xludf.DUMMYFUNCTION("""COMPUTED_VALUE"""),"0d 00h 00m")</f>
        <v>0d 00h 00m</v>
      </c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13.2">
      <c r="A1816" s="1">
        <f ca="1">IFERROR(__xludf.DUMMYFUNCTION("""COMPUTED_VALUE"""),8)</f>
        <v>8</v>
      </c>
      <c r="B1816" s="1" t="str">
        <f ca="1">IFERROR(__xludf.DUMMYFUNCTION("""COMPUTED_VALUE"""),"SE5_KA04A3044_JETTING")</f>
        <v>SE5_KA04A3044_JETTING</v>
      </c>
      <c r="C1816" s="1" t="str">
        <f ca="1">IFERROR(__xludf.DUMMYFUNCTION("""COMPUTED_VALUE"""),"se5_ka04a3044_jetting")</f>
        <v>se5_ka04a3044_jetting</v>
      </c>
      <c r="D1816" s="2">
        <f ca="1">IFERROR(__xludf.DUMMYFUNCTION("""COMPUTED_VALUE"""),41640)</f>
        <v>41640</v>
      </c>
      <c r="E1816" s="3">
        <f ca="1">IFERROR(__xludf.DUMMYFUNCTION("""COMPUTED_VALUE"""),0.229421296295186)</f>
        <v>0.22942129629518601</v>
      </c>
      <c r="F1816" s="1">
        <f ca="1">IFERROR(__xludf.DUMMYFUNCTION("""COMPUTED_VALUE"""),17052)</f>
        <v>17052</v>
      </c>
      <c r="G1816" s="1"/>
      <c r="H1816" s="1"/>
      <c r="I1816" s="1"/>
      <c r="J1816" s="1" t="str">
        <f ca="1">IFERROR(__xludf.DUMMYFUNCTION("""COMPUTED_VALUE"""),"0d 00h 01m")</f>
        <v>0d 00h 01m</v>
      </c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13.2">
      <c r="A1817" s="1">
        <f ca="1">IFERROR(__xludf.DUMMYFUNCTION("""COMPUTED_VALUE"""),8)</f>
        <v>8</v>
      </c>
      <c r="B1817" s="1" t="str">
        <f ca="1">IFERROR(__xludf.DUMMYFUNCTION("""COMPUTED_VALUE"""),"SE5_KA04A3044_JETTING")</f>
        <v>SE5_KA04A3044_JETTING</v>
      </c>
      <c r="C1817" s="1" t="str">
        <f ca="1">IFERROR(__xludf.DUMMYFUNCTION("""COMPUTED_VALUE"""),"se5_ka04a3044_jetting")</f>
        <v>se5_ka04a3044_jetting</v>
      </c>
      <c r="D1817" s="2">
        <f ca="1">IFERROR(__xludf.DUMMYFUNCTION("""COMPUTED_VALUE"""),41640)</f>
        <v>41640</v>
      </c>
      <c r="E1817" s="3">
        <f ca="1">IFERROR(__xludf.DUMMYFUNCTION("""COMPUTED_VALUE"""),0.229421296295186)</f>
        <v>0.22942129629518601</v>
      </c>
      <c r="F1817" s="1">
        <f ca="1">IFERROR(__xludf.DUMMYFUNCTION("""COMPUTED_VALUE"""),17052)</f>
        <v>17052</v>
      </c>
      <c r="G1817" s="1"/>
      <c r="H1817" s="1"/>
      <c r="I1817" s="1"/>
      <c r="J1817" s="1" t="str">
        <f ca="1">IFERROR(__xludf.DUMMYFUNCTION("""COMPUTED_VALUE"""),"0d 00h 02m")</f>
        <v>0d 00h 02m</v>
      </c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13.2">
      <c r="A1818" s="1">
        <f ca="1">IFERROR(__xludf.DUMMYFUNCTION("""COMPUTED_VALUE"""),8)</f>
        <v>8</v>
      </c>
      <c r="B1818" s="1" t="str">
        <f ca="1">IFERROR(__xludf.DUMMYFUNCTION("""COMPUTED_VALUE"""),"SE5_KA04A3044_JETTING")</f>
        <v>SE5_KA04A3044_JETTING</v>
      </c>
      <c r="C1818" s="1" t="str">
        <f ca="1">IFERROR(__xludf.DUMMYFUNCTION("""COMPUTED_VALUE"""),"se5_ka04a3044_jetting")</f>
        <v>se5_ka04a3044_jetting</v>
      </c>
      <c r="D1818" s="2">
        <f ca="1">IFERROR(__xludf.DUMMYFUNCTION("""COMPUTED_VALUE"""),41640)</f>
        <v>41640</v>
      </c>
      <c r="E1818" s="3">
        <f ca="1">IFERROR(__xludf.DUMMYFUNCTION("""COMPUTED_VALUE"""),0.229421296295186)</f>
        <v>0.22942129629518601</v>
      </c>
      <c r="F1818" s="1">
        <f ca="1">IFERROR(__xludf.DUMMYFUNCTION("""COMPUTED_VALUE"""),17052)</f>
        <v>17052</v>
      </c>
      <c r="G1818" s="1"/>
      <c r="H1818" s="1"/>
      <c r="I1818" s="1"/>
      <c r="J1818" s="1" t="str">
        <f ca="1">IFERROR(__xludf.DUMMYFUNCTION("""COMPUTED_VALUE"""),"0d 00h 03m")</f>
        <v>0d 00h 03m</v>
      </c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13.2">
      <c r="A1819" s="1">
        <f ca="1">IFERROR(__xludf.DUMMYFUNCTION("""COMPUTED_VALUE"""),8)</f>
        <v>8</v>
      </c>
      <c r="B1819" s="1" t="str">
        <f ca="1">IFERROR(__xludf.DUMMYFUNCTION("""COMPUTED_VALUE"""),"SE5_KA04A3044_JETTING")</f>
        <v>SE5_KA04A3044_JETTING</v>
      </c>
      <c r="C1819" s="1" t="str">
        <f ca="1">IFERROR(__xludf.DUMMYFUNCTION("""COMPUTED_VALUE"""),"se5_ka04a3044_jetting")</f>
        <v>se5_ka04a3044_jetting</v>
      </c>
      <c r="D1819" s="2">
        <f ca="1">IFERROR(__xludf.DUMMYFUNCTION("""COMPUTED_VALUE"""),41640)</f>
        <v>41640</v>
      </c>
      <c r="E1819" s="3">
        <f ca="1">IFERROR(__xludf.DUMMYFUNCTION("""COMPUTED_VALUE"""),0.229421296295186)</f>
        <v>0.22942129629518601</v>
      </c>
      <c r="F1819" s="1">
        <f ca="1">IFERROR(__xludf.DUMMYFUNCTION("""COMPUTED_VALUE"""),17052)</f>
        <v>17052</v>
      </c>
      <c r="G1819" s="1"/>
      <c r="H1819" s="1"/>
      <c r="I1819" s="1"/>
      <c r="J1819" s="1" t="str">
        <f ca="1">IFERROR(__xludf.DUMMYFUNCTION("""COMPUTED_VALUE"""),"0d 00h 00m")</f>
        <v>0d 00h 00m</v>
      </c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13.2">
      <c r="A1820" s="1">
        <f ca="1">IFERROR(__xludf.DUMMYFUNCTION("""COMPUTED_VALUE"""),8)</f>
        <v>8</v>
      </c>
      <c r="B1820" s="1" t="str">
        <f ca="1">IFERROR(__xludf.DUMMYFUNCTION("""COMPUTED_VALUE"""),"SE5_KA04A3044_JETTING")</f>
        <v>SE5_KA04A3044_JETTING</v>
      </c>
      <c r="C1820" s="1" t="str">
        <f ca="1">IFERROR(__xludf.DUMMYFUNCTION("""COMPUTED_VALUE"""),"se5_ka04a3044_jetting")</f>
        <v>se5_ka04a3044_jetting</v>
      </c>
      <c r="D1820" s="2">
        <f ca="1">IFERROR(__xludf.DUMMYFUNCTION("""COMPUTED_VALUE"""),41640)</f>
        <v>41640</v>
      </c>
      <c r="E1820" s="3">
        <f ca="1">IFERROR(__xludf.DUMMYFUNCTION("""COMPUTED_VALUE"""),0.229421296295186)</f>
        <v>0.22942129629518601</v>
      </c>
      <c r="F1820" s="1">
        <f ca="1">IFERROR(__xludf.DUMMYFUNCTION("""COMPUTED_VALUE"""),17052)</f>
        <v>17052</v>
      </c>
      <c r="G1820" s="1"/>
      <c r="H1820" s="1"/>
      <c r="I1820" s="1"/>
      <c r="J1820" s="1" t="str">
        <f ca="1">IFERROR(__xludf.DUMMYFUNCTION("""COMPUTED_VALUE"""),"0d 00h 01m")</f>
        <v>0d 00h 01m</v>
      </c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13.2">
      <c r="A1821" s="1">
        <f ca="1">IFERROR(__xludf.DUMMYFUNCTION("""COMPUTED_VALUE"""),150)</f>
        <v>150</v>
      </c>
      <c r="B1821" s="1" t="str">
        <f ca="1">IFERROR(__xludf.DUMMYFUNCTION("""COMPUTED_VALUE"""),"SE5_KA04AA7687_DESILTING")</f>
        <v>SE5_KA04AA7687_DESILTING</v>
      </c>
      <c r="C1821" s="1" t="str">
        <f ca="1">IFERROR(__xludf.DUMMYFUNCTION("""COMPUTED_VALUE"""),"se5_ka04aa7687_desilting")</f>
        <v>se5_ka04aa7687_desilting</v>
      </c>
      <c r="D1821" s="2">
        <f ca="1">IFERROR(__xludf.DUMMYFUNCTION("""COMPUTED_VALUE"""),45292)</f>
        <v>45292</v>
      </c>
      <c r="E1821" s="3">
        <f ca="1">IFERROR(__xludf.DUMMYFUNCTION("""COMPUTED_VALUE"""),0.700243055554892)</f>
        <v>0.70024305555489197</v>
      </c>
      <c r="F1821" s="1">
        <f ca="1">IFERROR(__xludf.DUMMYFUNCTION("""COMPUTED_VALUE"""),21224)</f>
        <v>21224</v>
      </c>
      <c r="G1821" s="1" t="str">
        <f ca="1">IFERROR(__xludf.DUMMYFUNCTION("""COMPUTED_VALUE"""),"12.8748/77.5356")</f>
        <v>12.8748/77.5356</v>
      </c>
      <c r="H1821" s="1" t="str">
        <f ca="1">IFERROR(__xludf.DUMMYFUNCTION("""COMPUTED_VALUE"""),"Vasantpura")</f>
        <v>Vasantpura</v>
      </c>
      <c r="I1821" s="1"/>
      <c r="J1821" s="1" t="str">
        <f ca="1">IFERROR(__xludf.DUMMYFUNCTION("""COMPUTED_VALUE"""),"43d 17h 22m")</f>
        <v>43d 17h 22m</v>
      </c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13.2">
      <c r="A1822" s="1">
        <f ca="1">IFERROR(__xludf.DUMMYFUNCTION("""COMPUTED_VALUE"""),63)</f>
        <v>63</v>
      </c>
      <c r="B1822" s="1" t="str">
        <f ca="1">IFERROR(__xludf.DUMMYFUNCTION("""COMPUTED_VALUE"""),"SE5_KA04D4155_JETTING")</f>
        <v>SE5_KA04D4155_JETTING</v>
      </c>
      <c r="C1822" s="1" t="str">
        <f ca="1">IFERROR(__xludf.DUMMYFUNCTION("""COMPUTED_VALUE"""),"se5_ka04d4155_jetting")</f>
        <v>se5_ka04d4155_jetting</v>
      </c>
      <c r="D1822" s="2">
        <f ca="1">IFERROR(__xludf.DUMMYFUNCTION("""COMPUTED_VALUE"""),41640)</f>
        <v>41640</v>
      </c>
      <c r="E1822" s="3">
        <f ca="1">IFERROR(__xludf.DUMMYFUNCTION("""COMPUTED_VALUE"""),0.513749999998253)</f>
        <v>0.51374999999825299</v>
      </c>
      <c r="F1822" s="1">
        <f ca="1">IFERROR(__xludf.DUMMYFUNCTION("""COMPUTED_VALUE"""),27211)</f>
        <v>27211</v>
      </c>
      <c r="G1822" s="1" t="str">
        <f ca="1">IFERROR(__xludf.DUMMYFUNCTION("""COMPUTED_VALUE"""),"12.9222/77.6340")</f>
        <v>12.9222/77.6340</v>
      </c>
      <c r="H1822" s="1" t="str">
        <f ca="1">IFERROR(__xludf.DUMMYFUNCTION("""COMPUTED_VALUE"""),"Koramangala Teachers Colony")</f>
        <v>Koramangala Teachers Colony</v>
      </c>
      <c r="I1822" s="1"/>
      <c r="J1822" s="1" t="str">
        <f ca="1">IFERROR(__xludf.DUMMYFUNCTION("""COMPUTED_VALUE"""),"0d 00h 02m")</f>
        <v>0d 00h 02m</v>
      </c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13.2">
      <c r="A1823" s="1">
        <f ca="1">IFERROR(__xludf.DUMMYFUNCTION("""COMPUTED_VALUE"""),63)</f>
        <v>63</v>
      </c>
      <c r="B1823" s="1" t="str">
        <f ca="1">IFERROR(__xludf.DUMMYFUNCTION("""COMPUTED_VALUE"""),"SE5_KA04D4155_JETTING")</f>
        <v>SE5_KA04D4155_JETTING</v>
      </c>
      <c r="C1823" s="1" t="str">
        <f ca="1">IFERROR(__xludf.DUMMYFUNCTION("""COMPUTED_VALUE"""),"se5_ka04d4155_jetting")</f>
        <v>se5_ka04d4155_jetting</v>
      </c>
      <c r="D1823" s="2">
        <f ca="1">IFERROR(__xludf.DUMMYFUNCTION("""COMPUTED_VALUE"""),41640)</f>
        <v>41640</v>
      </c>
      <c r="E1823" s="3">
        <f ca="1">IFERROR(__xludf.DUMMYFUNCTION("""COMPUTED_VALUE"""),0.513749999998253)</f>
        <v>0.51374999999825299</v>
      </c>
      <c r="F1823" s="1">
        <f ca="1">IFERROR(__xludf.DUMMYFUNCTION("""COMPUTED_VALUE"""),27211)</f>
        <v>27211</v>
      </c>
      <c r="G1823" s="1" t="str">
        <f ca="1">IFERROR(__xludf.DUMMYFUNCTION("""COMPUTED_VALUE"""),"12.9222/77.6340")</f>
        <v>12.9222/77.6340</v>
      </c>
      <c r="H1823" s="1" t="str">
        <f ca="1">IFERROR(__xludf.DUMMYFUNCTION("""COMPUTED_VALUE"""),"Koramangala Teachers Colony")</f>
        <v>Koramangala Teachers Colony</v>
      </c>
      <c r="I1823" s="1"/>
      <c r="J1823" s="1" t="str">
        <f ca="1">IFERROR(__xludf.DUMMYFUNCTION("""COMPUTED_VALUE"""),"0d 00h 03m")</f>
        <v>0d 00h 03m</v>
      </c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13.2">
      <c r="A1824" s="1">
        <f ca="1">IFERROR(__xludf.DUMMYFUNCTION("""COMPUTED_VALUE"""),62)</f>
        <v>62</v>
      </c>
      <c r="B1824" s="1" t="str">
        <f ca="1">IFERROR(__xludf.DUMMYFUNCTION("""COMPUTED_VALUE"""),"SE5_KA04D4155_JETTING")</f>
        <v>SE5_KA04D4155_JETTING</v>
      </c>
      <c r="C1824" s="1" t="str">
        <f ca="1">IFERROR(__xludf.DUMMYFUNCTION("""COMPUTED_VALUE"""),"se5_ka04d4155_jetting")</f>
        <v>se5_ka04d4155_jetting</v>
      </c>
      <c r="D1824" s="2">
        <f ca="1">IFERROR(__xludf.DUMMYFUNCTION("""COMPUTED_VALUE"""),41640)</f>
        <v>41640</v>
      </c>
      <c r="E1824" s="3">
        <f ca="1">IFERROR(__xludf.DUMMYFUNCTION("""COMPUTED_VALUE"""),0.513749999998253)</f>
        <v>0.51374999999825299</v>
      </c>
      <c r="F1824" s="1">
        <f ca="1">IFERROR(__xludf.DUMMYFUNCTION("""COMPUTED_VALUE"""),27211)</f>
        <v>27211</v>
      </c>
      <c r="G1824" s="1" t="str">
        <f ca="1">IFERROR(__xludf.DUMMYFUNCTION("""COMPUTED_VALUE"""),"12.9222/77.6340")</f>
        <v>12.9222/77.6340</v>
      </c>
      <c r="H1824" s="1" t="str">
        <f ca="1">IFERROR(__xludf.DUMMYFUNCTION("""COMPUTED_VALUE"""),"Koramangala Teachers Colony")</f>
        <v>Koramangala Teachers Colony</v>
      </c>
      <c r="I1824" s="1"/>
      <c r="J1824" s="1" t="str">
        <f ca="1">IFERROR(__xludf.DUMMYFUNCTION("""COMPUTED_VALUE"""),"0d 00h 06m")</f>
        <v>0d 00h 06m</v>
      </c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13.2">
      <c r="A1825" s="1">
        <f ca="1">IFERROR(__xludf.DUMMYFUNCTION("""COMPUTED_VALUE"""),62)</f>
        <v>62</v>
      </c>
      <c r="B1825" s="1" t="str">
        <f ca="1">IFERROR(__xludf.DUMMYFUNCTION("""COMPUTED_VALUE"""),"SE5_KA04D4155_JETTING")</f>
        <v>SE5_KA04D4155_JETTING</v>
      </c>
      <c r="C1825" s="1" t="str">
        <f ca="1">IFERROR(__xludf.DUMMYFUNCTION("""COMPUTED_VALUE"""),"se5_ka04d4155_jetting")</f>
        <v>se5_ka04d4155_jetting</v>
      </c>
      <c r="D1825" s="2">
        <f ca="1">IFERROR(__xludf.DUMMYFUNCTION("""COMPUTED_VALUE"""),41640)</f>
        <v>41640</v>
      </c>
      <c r="E1825" s="3">
        <f ca="1">IFERROR(__xludf.DUMMYFUNCTION("""COMPUTED_VALUE"""),0.513749999998253)</f>
        <v>0.51374999999825299</v>
      </c>
      <c r="F1825" s="1">
        <f ca="1">IFERROR(__xludf.DUMMYFUNCTION("""COMPUTED_VALUE"""),27211)</f>
        <v>27211</v>
      </c>
      <c r="G1825" s="1" t="str">
        <f ca="1">IFERROR(__xludf.DUMMYFUNCTION("""COMPUTED_VALUE"""),"12.9222/77.6340")</f>
        <v>12.9222/77.6340</v>
      </c>
      <c r="H1825" s="1" t="str">
        <f ca="1">IFERROR(__xludf.DUMMYFUNCTION("""COMPUTED_VALUE"""),"Koramangala Teachers Colony")</f>
        <v>Koramangala Teachers Colony</v>
      </c>
      <c r="I1825" s="1"/>
      <c r="J1825" s="1" t="str">
        <f ca="1">IFERROR(__xludf.DUMMYFUNCTION("""COMPUTED_VALUE"""),"0d 00h 01m")</f>
        <v>0d 00h 01m</v>
      </c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13.2">
      <c r="A1826" s="1">
        <f ca="1">IFERROR(__xludf.DUMMYFUNCTION("""COMPUTED_VALUE"""),62)</f>
        <v>62</v>
      </c>
      <c r="B1826" s="1" t="str">
        <f ca="1">IFERROR(__xludf.DUMMYFUNCTION("""COMPUTED_VALUE"""),"SE5_KA04D4155_JETTING")</f>
        <v>SE5_KA04D4155_JETTING</v>
      </c>
      <c r="C1826" s="1" t="str">
        <f ca="1">IFERROR(__xludf.DUMMYFUNCTION("""COMPUTED_VALUE"""),"se5_ka04d4155_jetting")</f>
        <v>se5_ka04d4155_jetting</v>
      </c>
      <c r="D1826" s="2">
        <f ca="1">IFERROR(__xludf.DUMMYFUNCTION("""COMPUTED_VALUE"""),41640)</f>
        <v>41640</v>
      </c>
      <c r="E1826" s="3">
        <f ca="1">IFERROR(__xludf.DUMMYFUNCTION("""COMPUTED_VALUE"""),0.513749999998253)</f>
        <v>0.51374999999825299</v>
      </c>
      <c r="F1826" s="1">
        <f ca="1">IFERROR(__xludf.DUMMYFUNCTION("""COMPUTED_VALUE"""),27211)</f>
        <v>27211</v>
      </c>
      <c r="G1826" s="1" t="str">
        <f ca="1">IFERROR(__xludf.DUMMYFUNCTION("""COMPUTED_VALUE"""),"12.9222/77.6340")</f>
        <v>12.9222/77.6340</v>
      </c>
      <c r="H1826" s="1" t="str">
        <f ca="1">IFERROR(__xludf.DUMMYFUNCTION("""COMPUTED_VALUE"""),"Koramangala Teachers Colony")</f>
        <v>Koramangala Teachers Colony</v>
      </c>
      <c r="I1826" s="1"/>
      <c r="J1826" s="1" t="str">
        <f ca="1">IFERROR(__xludf.DUMMYFUNCTION("""COMPUTED_VALUE"""),"0d 00h 02m")</f>
        <v>0d 00h 02m</v>
      </c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13.2">
      <c r="A1827" s="1">
        <f ca="1">IFERROR(__xludf.DUMMYFUNCTION("""COMPUTED_VALUE"""),62)</f>
        <v>62</v>
      </c>
      <c r="B1827" s="1" t="str">
        <f ca="1">IFERROR(__xludf.DUMMYFUNCTION("""COMPUTED_VALUE"""),"SE5_KA04D4155_JETTING")</f>
        <v>SE5_KA04D4155_JETTING</v>
      </c>
      <c r="C1827" s="1" t="str">
        <f ca="1">IFERROR(__xludf.DUMMYFUNCTION("""COMPUTED_VALUE"""),"se5_ka04d4155_jetting")</f>
        <v>se5_ka04d4155_jetting</v>
      </c>
      <c r="D1827" s="2">
        <f ca="1">IFERROR(__xludf.DUMMYFUNCTION("""COMPUTED_VALUE"""),41640)</f>
        <v>41640</v>
      </c>
      <c r="E1827" s="3">
        <f ca="1">IFERROR(__xludf.DUMMYFUNCTION("""COMPUTED_VALUE"""),0.513749999998253)</f>
        <v>0.51374999999825299</v>
      </c>
      <c r="F1827" s="1">
        <f ca="1">IFERROR(__xludf.DUMMYFUNCTION("""COMPUTED_VALUE"""),27211)</f>
        <v>27211</v>
      </c>
      <c r="G1827" s="1" t="str">
        <f ca="1">IFERROR(__xludf.DUMMYFUNCTION("""COMPUTED_VALUE"""),"12.9222/77.6340")</f>
        <v>12.9222/77.6340</v>
      </c>
      <c r="H1827" s="1" t="str">
        <f ca="1">IFERROR(__xludf.DUMMYFUNCTION("""COMPUTED_VALUE"""),"Koramangala Teachers Colony")</f>
        <v>Koramangala Teachers Colony</v>
      </c>
      <c r="I1827" s="1"/>
      <c r="J1827" s="1" t="str">
        <f ca="1">IFERROR(__xludf.DUMMYFUNCTION("""COMPUTED_VALUE"""),"0d 00h 03m")</f>
        <v>0d 00h 03m</v>
      </c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13.2">
      <c r="A1828" s="1">
        <f ca="1">IFERROR(__xludf.DUMMYFUNCTION("""COMPUTED_VALUE"""),62)</f>
        <v>62</v>
      </c>
      <c r="B1828" s="1" t="str">
        <f ca="1">IFERROR(__xludf.DUMMYFUNCTION("""COMPUTED_VALUE"""),"SE5_KA04D4155_JETTING")</f>
        <v>SE5_KA04D4155_JETTING</v>
      </c>
      <c r="C1828" s="1" t="str">
        <f ca="1">IFERROR(__xludf.DUMMYFUNCTION("""COMPUTED_VALUE"""),"se5_ka04d4155_jetting")</f>
        <v>se5_ka04d4155_jetting</v>
      </c>
      <c r="D1828" s="2">
        <f ca="1">IFERROR(__xludf.DUMMYFUNCTION("""COMPUTED_VALUE"""),41640)</f>
        <v>41640</v>
      </c>
      <c r="E1828" s="3">
        <f ca="1">IFERROR(__xludf.DUMMYFUNCTION("""COMPUTED_VALUE"""),0.513749999998253)</f>
        <v>0.51374999999825299</v>
      </c>
      <c r="F1828" s="1">
        <f ca="1">IFERROR(__xludf.DUMMYFUNCTION("""COMPUTED_VALUE"""),27211)</f>
        <v>27211</v>
      </c>
      <c r="G1828" s="1" t="str">
        <f ca="1">IFERROR(__xludf.DUMMYFUNCTION("""COMPUTED_VALUE"""),"12.9222/77.6340")</f>
        <v>12.9222/77.6340</v>
      </c>
      <c r="H1828" s="1" t="str">
        <f ca="1">IFERROR(__xludf.DUMMYFUNCTION("""COMPUTED_VALUE"""),"Koramangala Teachers Colony")</f>
        <v>Koramangala Teachers Colony</v>
      </c>
      <c r="I1828" s="1"/>
      <c r="J1828" s="1" t="str">
        <f ca="1">IFERROR(__xludf.DUMMYFUNCTION("""COMPUTED_VALUE"""),"0d 00h 04m")</f>
        <v>0d 00h 04m</v>
      </c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13.2">
      <c r="A1829" s="1">
        <f ca="1">IFERROR(__xludf.DUMMYFUNCTION("""COMPUTED_VALUE"""),138)</f>
        <v>138</v>
      </c>
      <c r="B1829" s="1" t="str">
        <f ca="1">IFERROR(__xludf.DUMMYFUNCTION("""COMPUTED_VALUE"""),"SE5_KA04D5311_TANKER")</f>
        <v>SE5_KA04D5311_TANKER</v>
      </c>
      <c r="C1829" s="1" t="str">
        <f ca="1">IFERROR(__xludf.DUMMYFUNCTION("""COMPUTED_VALUE"""),"se5_ka04d5311_tanker")</f>
        <v>se5_ka04d5311_tanker</v>
      </c>
      <c r="D1829" s="2">
        <f ca="1">IFERROR(__xludf.DUMMYFUNCTION("""COMPUTED_VALUE"""),45154)</f>
        <v>45154</v>
      </c>
      <c r="E1829" s="3">
        <f ca="1">IFERROR(__xludf.DUMMYFUNCTION("""COMPUTED_VALUE"""),0.634212962962919)</f>
        <v>0.63421296296291896</v>
      </c>
      <c r="F1829" s="1">
        <f ca="1">IFERROR(__xludf.DUMMYFUNCTION("""COMPUTED_VALUE"""),17410)</f>
        <v>17410</v>
      </c>
      <c r="G1829" s="1" t="str">
        <f ca="1">IFERROR(__xludf.DUMMYFUNCTION("""COMPUTED_VALUE"""),"12.9114/77.6467")</f>
        <v>12.9114/77.6467</v>
      </c>
      <c r="H1829" s="1" t="str">
        <f ca="1">IFERROR(__xludf.DUMMYFUNCTION("""COMPUTED_VALUE"""),"HSR Club")</f>
        <v>HSR Club</v>
      </c>
      <c r="I1829" s="1"/>
      <c r="J1829" s="1" t="str">
        <f ca="1">IFERROR(__xludf.DUMMYFUNCTION("""COMPUTED_VALUE"""),"31d 23h 53m")</f>
        <v>31d 23h 53m</v>
      </c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13.2">
      <c r="A1830" s="1">
        <f ca="1">IFERROR(__xludf.DUMMYFUNCTION("""COMPUTED_VALUE"""),135)</f>
        <v>135</v>
      </c>
      <c r="B1830" s="1" t="str">
        <f ca="1">IFERROR(__xludf.DUMMYFUNCTION("""COMPUTED_VALUE"""),"SE5_KA04D5311_TANKER")</f>
        <v>SE5_KA04D5311_TANKER</v>
      </c>
      <c r="C1830" s="1" t="str">
        <f ca="1">IFERROR(__xludf.DUMMYFUNCTION("""COMPUTED_VALUE"""),"se5_ka04d5311_tanker")</f>
        <v>se5_ka04d5311_tanker</v>
      </c>
      <c r="D1830" s="2">
        <f ca="1">IFERROR(__xludf.DUMMYFUNCTION("""COMPUTED_VALUE"""),45154)</f>
        <v>45154</v>
      </c>
      <c r="E1830" s="3">
        <f ca="1">IFERROR(__xludf.DUMMYFUNCTION("""COMPUTED_VALUE"""),0.634212962962919)</f>
        <v>0.63421296296291896</v>
      </c>
      <c r="F1830" s="1">
        <f ca="1">IFERROR(__xludf.DUMMYFUNCTION("""COMPUTED_VALUE"""),17410)</f>
        <v>17410</v>
      </c>
      <c r="G1830" s="1" t="str">
        <f ca="1">IFERROR(__xludf.DUMMYFUNCTION("""COMPUTED_VALUE"""),"12.9114/77.6467")</f>
        <v>12.9114/77.6467</v>
      </c>
      <c r="H1830" s="1" t="str">
        <f ca="1">IFERROR(__xludf.DUMMYFUNCTION("""COMPUTED_VALUE"""),"HSR Club")</f>
        <v>HSR Club</v>
      </c>
      <c r="I1830" s="1"/>
      <c r="J1830" s="1" t="str">
        <f ca="1">IFERROR(__xludf.DUMMYFUNCTION("""COMPUTED_VALUE"""),"31d 23h 54m")</f>
        <v>31d 23h 54m</v>
      </c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13.2">
      <c r="A1831" s="1">
        <f ca="1">IFERROR(__xludf.DUMMYFUNCTION("""COMPUTED_VALUE"""),91)</f>
        <v>91</v>
      </c>
      <c r="B1831" s="1" t="str">
        <f ca="1">IFERROR(__xludf.DUMMYFUNCTION("""COMPUTED_VALUE"""),"SE5_KA05B8084_TANKER")</f>
        <v>SE5_KA05B8084_TANKER</v>
      </c>
      <c r="C1831" s="1" t="str">
        <f ca="1">IFERROR(__xludf.DUMMYFUNCTION("""COMPUTED_VALUE"""),"se5_ka05b8084_tanker")</f>
        <v>se5_ka05b8084_tanker</v>
      </c>
      <c r="D1831" s="2">
        <f ca="1">IFERROR(__xludf.DUMMYFUNCTION("""COMPUTED_VALUE"""),41640)</f>
        <v>41640</v>
      </c>
      <c r="E1831" s="3">
        <f ca="1">IFERROR(__xludf.DUMMYFUNCTION("""COMPUTED_VALUE"""),0.699837962962192)</f>
        <v>0.69983796296219203</v>
      </c>
      <c r="F1831" s="1">
        <f ca="1">IFERROR(__xludf.DUMMYFUNCTION("""COMPUTED_VALUE"""),26464)</f>
        <v>26464</v>
      </c>
      <c r="G1831" s="1" t="str">
        <f ca="1">IFERROR(__xludf.DUMMYFUNCTION("""COMPUTED_VALUE"""),"12.9283/77.6240")</f>
        <v>12.9283/77.6240</v>
      </c>
      <c r="H1831" s="1" t="str">
        <f ca="1">IFERROR(__xludf.DUMMYFUNCTION("""COMPUTED_VALUE"""),"Grand Mercure Bangalore")</f>
        <v>Grand Mercure Bangalore</v>
      </c>
      <c r="I1831" s="1"/>
      <c r="J1831" s="1" t="str">
        <f ca="1">IFERROR(__xludf.DUMMYFUNCTION("""COMPUTED_VALUE"""),"0d 00h 00m")</f>
        <v>0d 00h 00m</v>
      </c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13.2">
      <c r="A1832" s="1">
        <f ca="1">IFERROR(__xludf.DUMMYFUNCTION("""COMPUTED_VALUE"""),91)</f>
        <v>91</v>
      </c>
      <c r="B1832" s="1" t="str">
        <f ca="1">IFERROR(__xludf.DUMMYFUNCTION("""COMPUTED_VALUE"""),"SE5_KA05B8084_TANKER")</f>
        <v>SE5_KA05B8084_TANKER</v>
      </c>
      <c r="C1832" s="1" t="str">
        <f ca="1">IFERROR(__xludf.DUMMYFUNCTION("""COMPUTED_VALUE"""),"se5_ka05b8084_tanker")</f>
        <v>se5_ka05b8084_tanker</v>
      </c>
      <c r="D1832" s="2">
        <f ca="1">IFERROR(__xludf.DUMMYFUNCTION("""COMPUTED_VALUE"""),41640)</f>
        <v>41640</v>
      </c>
      <c r="E1832" s="3">
        <f ca="1">IFERROR(__xludf.DUMMYFUNCTION("""COMPUTED_VALUE"""),0.699837962962192)</f>
        <v>0.69983796296219203</v>
      </c>
      <c r="F1832" s="1">
        <f ca="1">IFERROR(__xludf.DUMMYFUNCTION("""COMPUTED_VALUE"""),26464)</f>
        <v>26464</v>
      </c>
      <c r="G1832" s="1" t="str">
        <f ca="1">IFERROR(__xludf.DUMMYFUNCTION("""COMPUTED_VALUE"""),"12.9283/77.6240")</f>
        <v>12.9283/77.6240</v>
      </c>
      <c r="H1832" s="1" t="str">
        <f ca="1">IFERROR(__xludf.DUMMYFUNCTION("""COMPUTED_VALUE"""),"Grand Mercure Bangalore")</f>
        <v>Grand Mercure Bangalore</v>
      </c>
      <c r="I1832" s="1"/>
      <c r="J1832" s="1" t="str">
        <f ca="1">IFERROR(__xludf.DUMMYFUNCTION("""COMPUTED_VALUE"""),"0d 00h 00m")</f>
        <v>0d 00h 00m</v>
      </c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13.2">
      <c r="A1833" s="1">
        <f ca="1">IFERROR(__xludf.DUMMYFUNCTION("""COMPUTED_VALUE"""),88)</f>
        <v>88</v>
      </c>
      <c r="B1833" s="1" t="str">
        <f ca="1">IFERROR(__xludf.DUMMYFUNCTION("""COMPUTED_VALUE"""),"SE5_KA05B8084_TANKER")</f>
        <v>SE5_KA05B8084_TANKER</v>
      </c>
      <c r="C1833" s="1" t="str">
        <f ca="1">IFERROR(__xludf.DUMMYFUNCTION("""COMPUTED_VALUE"""),"se5_ka05b8084_tanker")</f>
        <v>se5_ka05b8084_tanker</v>
      </c>
      <c r="D1833" s="2">
        <f ca="1">IFERROR(__xludf.DUMMYFUNCTION("""COMPUTED_VALUE"""),41640)</f>
        <v>41640</v>
      </c>
      <c r="E1833" s="3">
        <f ca="1">IFERROR(__xludf.DUMMYFUNCTION("""COMPUTED_VALUE"""),0.699837962962192)</f>
        <v>0.69983796296219203</v>
      </c>
      <c r="F1833" s="1">
        <f ca="1">IFERROR(__xludf.DUMMYFUNCTION("""COMPUTED_VALUE"""),26464)</f>
        <v>26464</v>
      </c>
      <c r="G1833" s="1" t="str">
        <f ca="1">IFERROR(__xludf.DUMMYFUNCTION("""COMPUTED_VALUE"""),"12.9283/77.6240")</f>
        <v>12.9283/77.6240</v>
      </c>
      <c r="H1833" s="1" t="str">
        <f ca="1">IFERROR(__xludf.DUMMYFUNCTION("""COMPUTED_VALUE"""),"Grand Mercure Bangalore")</f>
        <v>Grand Mercure Bangalore</v>
      </c>
      <c r="I1833" s="1"/>
      <c r="J1833" s="1" t="str">
        <f ca="1">IFERROR(__xludf.DUMMYFUNCTION("""COMPUTED_VALUE"""),"0d 00h 00m")</f>
        <v>0d 00h 00m</v>
      </c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13.2">
      <c r="A1834" s="1">
        <f ca="1">IFERROR(__xludf.DUMMYFUNCTION("""COMPUTED_VALUE"""),88)</f>
        <v>88</v>
      </c>
      <c r="B1834" s="1" t="str">
        <f ca="1">IFERROR(__xludf.DUMMYFUNCTION("""COMPUTED_VALUE"""),"SE5_KA05B8084_TANKER")</f>
        <v>SE5_KA05B8084_TANKER</v>
      </c>
      <c r="C1834" s="1" t="str">
        <f ca="1">IFERROR(__xludf.DUMMYFUNCTION("""COMPUTED_VALUE"""),"se5_ka05b8084_tanker")</f>
        <v>se5_ka05b8084_tanker</v>
      </c>
      <c r="D1834" s="2">
        <f ca="1">IFERROR(__xludf.DUMMYFUNCTION("""COMPUTED_VALUE"""),41640)</f>
        <v>41640</v>
      </c>
      <c r="E1834" s="3">
        <f ca="1">IFERROR(__xludf.DUMMYFUNCTION("""COMPUTED_VALUE"""),0.699837962962192)</f>
        <v>0.69983796296219203</v>
      </c>
      <c r="F1834" s="1">
        <f ca="1">IFERROR(__xludf.DUMMYFUNCTION("""COMPUTED_VALUE"""),26464)</f>
        <v>26464</v>
      </c>
      <c r="G1834" s="1" t="str">
        <f ca="1">IFERROR(__xludf.DUMMYFUNCTION("""COMPUTED_VALUE"""),"12.9283/77.6240")</f>
        <v>12.9283/77.6240</v>
      </c>
      <c r="H1834" s="1" t="str">
        <f ca="1">IFERROR(__xludf.DUMMYFUNCTION("""COMPUTED_VALUE"""),"Grand Mercure Bangalore")</f>
        <v>Grand Mercure Bangalore</v>
      </c>
      <c r="I1834" s="1"/>
      <c r="J1834" s="1" t="str">
        <f ca="1">IFERROR(__xludf.DUMMYFUNCTION("""COMPUTED_VALUE"""),"0d 00h 00m")</f>
        <v>0d 00h 00m</v>
      </c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13.2">
      <c r="A1835" s="1">
        <f ca="1">IFERROR(__xludf.DUMMYFUNCTION("""COMPUTED_VALUE"""),88)</f>
        <v>88</v>
      </c>
      <c r="B1835" s="1" t="str">
        <f ca="1">IFERROR(__xludf.DUMMYFUNCTION("""COMPUTED_VALUE"""),"SE5_KA05B8084_TANKER")</f>
        <v>SE5_KA05B8084_TANKER</v>
      </c>
      <c r="C1835" s="1" t="str">
        <f ca="1">IFERROR(__xludf.DUMMYFUNCTION("""COMPUTED_VALUE"""),"se5_ka05b8084_tanker")</f>
        <v>se5_ka05b8084_tanker</v>
      </c>
      <c r="D1835" s="2">
        <f ca="1">IFERROR(__xludf.DUMMYFUNCTION("""COMPUTED_VALUE"""),41640)</f>
        <v>41640</v>
      </c>
      <c r="E1835" s="3">
        <f ca="1">IFERROR(__xludf.DUMMYFUNCTION("""COMPUTED_VALUE"""),0.699837962962192)</f>
        <v>0.69983796296219203</v>
      </c>
      <c r="F1835" s="1">
        <f ca="1">IFERROR(__xludf.DUMMYFUNCTION("""COMPUTED_VALUE"""),26464)</f>
        <v>26464</v>
      </c>
      <c r="G1835" s="1" t="str">
        <f ca="1">IFERROR(__xludf.DUMMYFUNCTION("""COMPUTED_VALUE"""),"12.9283/77.6240")</f>
        <v>12.9283/77.6240</v>
      </c>
      <c r="H1835" s="1" t="str">
        <f ca="1">IFERROR(__xludf.DUMMYFUNCTION("""COMPUTED_VALUE"""),"Grand Mercure Bangalore")</f>
        <v>Grand Mercure Bangalore</v>
      </c>
      <c r="I1835" s="1"/>
      <c r="J1835" s="1" t="str">
        <f ca="1">IFERROR(__xludf.DUMMYFUNCTION("""COMPUTED_VALUE"""),"0d 00h 00m")</f>
        <v>0d 00h 00m</v>
      </c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13.2">
      <c r="A1836" s="1">
        <f ca="1">IFERROR(__xludf.DUMMYFUNCTION("""COMPUTED_VALUE"""),88)</f>
        <v>88</v>
      </c>
      <c r="B1836" s="1" t="str">
        <f ca="1">IFERROR(__xludf.DUMMYFUNCTION("""COMPUTED_VALUE"""),"SE5_KA05B8084_TANKER")</f>
        <v>SE5_KA05B8084_TANKER</v>
      </c>
      <c r="C1836" s="1" t="str">
        <f ca="1">IFERROR(__xludf.DUMMYFUNCTION("""COMPUTED_VALUE"""),"se5_ka05b8084_tanker")</f>
        <v>se5_ka05b8084_tanker</v>
      </c>
      <c r="D1836" s="2">
        <f ca="1">IFERROR(__xludf.DUMMYFUNCTION("""COMPUTED_VALUE"""),41640)</f>
        <v>41640</v>
      </c>
      <c r="E1836" s="3">
        <f ca="1">IFERROR(__xludf.DUMMYFUNCTION("""COMPUTED_VALUE"""),0.699837962962192)</f>
        <v>0.69983796296219203</v>
      </c>
      <c r="F1836" s="1">
        <f ca="1">IFERROR(__xludf.DUMMYFUNCTION("""COMPUTED_VALUE"""),26464)</f>
        <v>26464</v>
      </c>
      <c r="G1836" s="1" t="str">
        <f ca="1">IFERROR(__xludf.DUMMYFUNCTION("""COMPUTED_VALUE"""),"12.9283/77.6240")</f>
        <v>12.9283/77.6240</v>
      </c>
      <c r="H1836" s="1" t="str">
        <f ca="1">IFERROR(__xludf.DUMMYFUNCTION("""COMPUTED_VALUE"""),"Grand Mercure Bangalore")</f>
        <v>Grand Mercure Bangalore</v>
      </c>
      <c r="I1836" s="1"/>
      <c r="J1836" s="1" t="str">
        <f ca="1">IFERROR(__xludf.DUMMYFUNCTION("""COMPUTED_VALUE"""),"0d 00h 00m")</f>
        <v>0d 00h 00m</v>
      </c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13.2">
      <c r="A1837" s="1">
        <f ca="1">IFERROR(__xludf.DUMMYFUNCTION("""COMPUTED_VALUE"""),88)</f>
        <v>88</v>
      </c>
      <c r="B1837" s="1" t="str">
        <f ca="1">IFERROR(__xludf.DUMMYFUNCTION("""COMPUTED_VALUE"""),"SE5_KA05B8084_TANKER")</f>
        <v>SE5_KA05B8084_TANKER</v>
      </c>
      <c r="C1837" s="1" t="str">
        <f ca="1">IFERROR(__xludf.DUMMYFUNCTION("""COMPUTED_VALUE"""),"se5_ka05b8084_tanker")</f>
        <v>se5_ka05b8084_tanker</v>
      </c>
      <c r="D1837" s="2">
        <f ca="1">IFERROR(__xludf.DUMMYFUNCTION("""COMPUTED_VALUE"""),41640)</f>
        <v>41640</v>
      </c>
      <c r="E1837" s="3">
        <f ca="1">IFERROR(__xludf.DUMMYFUNCTION("""COMPUTED_VALUE"""),0.699837962962192)</f>
        <v>0.69983796296219203</v>
      </c>
      <c r="F1837" s="1">
        <f ca="1">IFERROR(__xludf.DUMMYFUNCTION("""COMPUTED_VALUE"""),26464)</f>
        <v>26464</v>
      </c>
      <c r="G1837" s="1" t="str">
        <f ca="1">IFERROR(__xludf.DUMMYFUNCTION("""COMPUTED_VALUE"""),"12.9283/77.6240")</f>
        <v>12.9283/77.6240</v>
      </c>
      <c r="H1837" s="1" t="str">
        <f ca="1">IFERROR(__xludf.DUMMYFUNCTION("""COMPUTED_VALUE"""),"Grand Mercure Bangalore")</f>
        <v>Grand Mercure Bangalore</v>
      </c>
      <c r="I1837" s="1"/>
      <c r="J1837" s="1" t="str">
        <f ca="1">IFERROR(__xludf.DUMMYFUNCTION("""COMPUTED_VALUE"""),"0d 00h 00m")</f>
        <v>0d 00h 00m</v>
      </c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13.2">
      <c r="A1838" s="1">
        <f ca="1">IFERROR(__xludf.DUMMYFUNCTION("""COMPUTED_VALUE"""),136)</f>
        <v>136</v>
      </c>
      <c r="B1838" s="1" t="str">
        <f ca="1">IFERROR(__xludf.DUMMYFUNCTION("""COMPUTED_VALUE"""),"SE6_KA04A9518_JETTING")</f>
        <v>SE6_KA04A9518_JETTING</v>
      </c>
      <c r="C1838" s="1" t="str">
        <f ca="1">IFERROR(__xludf.DUMMYFUNCTION("""COMPUTED_VALUE"""),"se6_ka04a9518_jetting")</f>
        <v>se6_ka04a9518_jetting</v>
      </c>
      <c r="D1838" s="2">
        <f ca="1">IFERROR(__xludf.DUMMYFUNCTION("""COMPUTED_VALUE"""),45089)</f>
        <v>45089</v>
      </c>
      <c r="E1838" s="3">
        <f ca="1">IFERROR(__xludf.DUMMYFUNCTION("""COMPUTED_VALUE"""),0.807129629629344)</f>
        <v>0.80712962962934398</v>
      </c>
      <c r="F1838" s="1">
        <f ca="1">IFERROR(__xludf.DUMMYFUNCTION("""COMPUTED_VALUE"""),44969)</f>
        <v>44969</v>
      </c>
      <c r="G1838" s="1" t="str">
        <f ca="1">IFERROR(__xludf.DUMMYFUNCTION("""COMPUTED_VALUE"""),"12.9156/77.6014")</f>
        <v>12.9156/77.6014</v>
      </c>
      <c r="H1838" s="1" t="str">
        <f ca="1">IFERROR(__xludf.DUMMYFUNCTION("""COMPUTED_VALUE"""),"BTM Layout 1st Stage")</f>
        <v>BTM Layout 1st Stage</v>
      </c>
      <c r="I1838" s="1"/>
      <c r="J1838" s="1" t="str">
        <f ca="1">IFERROR(__xludf.DUMMYFUNCTION("""COMPUTED_VALUE"""),"281d 16h 08m")</f>
        <v>281d 16h 08m</v>
      </c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13.2">
      <c r="A1839" s="1">
        <f ca="1">IFERROR(__xludf.DUMMYFUNCTION("""COMPUTED_VALUE"""),132)</f>
        <v>132</v>
      </c>
      <c r="B1839" s="1" t="str">
        <f ca="1">IFERROR(__xludf.DUMMYFUNCTION("""COMPUTED_VALUE"""),"SE6_KA04A9518_JETTING")</f>
        <v>SE6_KA04A9518_JETTING</v>
      </c>
      <c r="C1839" s="1" t="str">
        <f ca="1">IFERROR(__xludf.DUMMYFUNCTION("""COMPUTED_VALUE"""),"se6_ka04a9518_jetting")</f>
        <v>se6_ka04a9518_jetting</v>
      </c>
      <c r="D1839" s="2">
        <f ca="1">IFERROR(__xludf.DUMMYFUNCTION("""COMPUTED_VALUE"""),45089)</f>
        <v>45089</v>
      </c>
      <c r="E1839" s="3">
        <f ca="1">IFERROR(__xludf.DUMMYFUNCTION("""COMPUTED_VALUE"""),0.807129629629344)</f>
        <v>0.80712962962934398</v>
      </c>
      <c r="F1839" s="1">
        <f ca="1">IFERROR(__xludf.DUMMYFUNCTION("""COMPUTED_VALUE"""),44969)</f>
        <v>44969</v>
      </c>
      <c r="G1839" s="1" t="str">
        <f ca="1">IFERROR(__xludf.DUMMYFUNCTION("""COMPUTED_VALUE"""),"12.9156/77.6014")</f>
        <v>12.9156/77.6014</v>
      </c>
      <c r="H1839" s="1" t="str">
        <f ca="1">IFERROR(__xludf.DUMMYFUNCTION("""COMPUTED_VALUE"""),"BTM Layout 1st Stage")</f>
        <v>BTM Layout 1st Stage</v>
      </c>
      <c r="I1839" s="1"/>
      <c r="J1839" s="1" t="str">
        <f ca="1">IFERROR(__xludf.DUMMYFUNCTION("""COMPUTED_VALUE"""),"281d 16h 09m")</f>
        <v>281d 16h 09m</v>
      </c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13.2">
      <c r="A1840" s="1">
        <f ca="1">IFERROR(__xludf.DUMMYFUNCTION("""COMPUTED_VALUE"""),132)</f>
        <v>132</v>
      </c>
      <c r="B1840" s="1" t="str">
        <f ca="1">IFERROR(__xludf.DUMMYFUNCTION("""COMPUTED_VALUE"""),"SE6_KA04A9518_JETTING")</f>
        <v>SE6_KA04A9518_JETTING</v>
      </c>
      <c r="C1840" s="1" t="str">
        <f ca="1">IFERROR(__xludf.DUMMYFUNCTION("""COMPUTED_VALUE"""),"se6_ka04a9518_jetting")</f>
        <v>se6_ka04a9518_jetting</v>
      </c>
      <c r="D1840" s="2">
        <f ca="1">IFERROR(__xludf.DUMMYFUNCTION("""COMPUTED_VALUE"""),45089)</f>
        <v>45089</v>
      </c>
      <c r="E1840" s="3">
        <f ca="1">IFERROR(__xludf.DUMMYFUNCTION("""COMPUTED_VALUE"""),0.807129629629344)</f>
        <v>0.80712962962934398</v>
      </c>
      <c r="F1840" s="1">
        <f ca="1">IFERROR(__xludf.DUMMYFUNCTION("""COMPUTED_VALUE"""),44969)</f>
        <v>44969</v>
      </c>
      <c r="G1840" s="1" t="str">
        <f ca="1">IFERROR(__xludf.DUMMYFUNCTION("""COMPUTED_VALUE"""),"12.9156/77.6014")</f>
        <v>12.9156/77.6014</v>
      </c>
      <c r="H1840" s="1" t="str">
        <f ca="1">IFERROR(__xludf.DUMMYFUNCTION("""COMPUTED_VALUE"""),"BTM Layout 1st Stage")</f>
        <v>BTM Layout 1st Stage</v>
      </c>
      <c r="I1840" s="1"/>
      <c r="J1840" s="1" t="str">
        <f ca="1">IFERROR(__xludf.DUMMYFUNCTION("""COMPUTED_VALUE"""),"281d 16h 10m")</f>
        <v>281d 16h 10m</v>
      </c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13.2">
      <c r="A1841" s="1">
        <f ca="1">IFERROR(__xludf.DUMMYFUNCTION("""COMPUTED_VALUE"""),56)</f>
        <v>56</v>
      </c>
      <c r="B1841" s="1" t="str">
        <f ca="1">IFERROR(__xludf.DUMMYFUNCTION("""COMPUTED_VALUE"""),"SE6_KA04AA9017_DESILTING")</f>
        <v>SE6_KA04AA9017_DESILTING</v>
      </c>
      <c r="C1841" s="1" t="str">
        <f ca="1">IFERROR(__xludf.DUMMYFUNCTION("""COMPUTED_VALUE"""),"se6_ka04aa9017_desilting")</f>
        <v>se6_ka04aa9017_desilting</v>
      </c>
      <c r="D1841" s="2">
        <f ca="1">IFERROR(__xludf.DUMMYFUNCTION("""COMPUTED_VALUE"""),41640)</f>
        <v>41640</v>
      </c>
      <c r="E1841" s="3">
        <f ca="1">IFERROR(__xludf.DUMMYFUNCTION("""COMPUTED_VALUE"""),0.415486111112841)</f>
        <v>0.41548611111284101</v>
      </c>
      <c r="F1841" s="1">
        <f ca="1">IFERROR(__xludf.DUMMYFUNCTION("""COMPUTED_VALUE"""),18594)</f>
        <v>18594</v>
      </c>
      <c r="G1841" s="1" t="str">
        <f ca="1">IFERROR(__xludf.DUMMYFUNCTION("""COMPUTED_VALUE"""),"12.9209/77.6057")</f>
        <v>12.9209/77.6057</v>
      </c>
      <c r="H1841" s="1" t="str">
        <f ca="1">IFERROR(__xludf.DUMMYFUNCTION("""COMPUTED_VALUE"""),"Gurappanapalya")</f>
        <v>Gurappanapalya</v>
      </c>
      <c r="I1841" s="1"/>
      <c r="J1841" s="1" t="str">
        <f ca="1">IFERROR(__xludf.DUMMYFUNCTION("""COMPUTED_VALUE"""),"0d 21h 21m")</f>
        <v>0d 21h 21m</v>
      </c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13.2">
      <c r="A1842" s="1">
        <f ca="1">IFERROR(__xludf.DUMMYFUNCTION("""COMPUTED_VALUE"""),56)</f>
        <v>56</v>
      </c>
      <c r="B1842" s="1" t="str">
        <f ca="1">IFERROR(__xludf.DUMMYFUNCTION("""COMPUTED_VALUE"""),"SE6_KA04AA9017_DESILTING")</f>
        <v>SE6_KA04AA9017_DESILTING</v>
      </c>
      <c r="C1842" s="1" t="str">
        <f ca="1">IFERROR(__xludf.DUMMYFUNCTION("""COMPUTED_VALUE"""),"se6_ka04aa9017_desilting")</f>
        <v>se6_ka04aa9017_desilting</v>
      </c>
      <c r="D1842" s="2">
        <f ca="1">IFERROR(__xludf.DUMMYFUNCTION("""COMPUTED_VALUE"""),41640)</f>
        <v>41640</v>
      </c>
      <c r="E1842" s="3">
        <f ca="1">IFERROR(__xludf.DUMMYFUNCTION("""COMPUTED_VALUE"""),0.415486111112841)</f>
        <v>0.41548611111284101</v>
      </c>
      <c r="F1842" s="1">
        <f ca="1">IFERROR(__xludf.DUMMYFUNCTION("""COMPUTED_VALUE"""),18594)</f>
        <v>18594</v>
      </c>
      <c r="G1842" s="1" t="str">
        <f ca="1">IFERROR(__xludf.DUMMYFUNCTION("""COMPUTED_VALUE"""),"12.9209/77.6057")</f>
        <v>12.9209/77.6057</v>
      </c>
      <c r="H1842" s="1" t="str">
        <f ca="1">IFERROR(__xludf.DUMMYFUNCTION("""COMPUTED_VALUE"""),"Gurappanapalya")</f>
        <v>Gurappanapalya</v>
      </c>
      <c r="I1842" s="1"/>
      <c r="J1842" s="1" t="str">
        <f ca="1">IFERROR(__xludf.DUMMYFUNCTION("""COMPUTED_VALUE"""),"0d 21h 22m")</f>
        <v>0d 21h 22m</v>
      </c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13.2">
      <c r="A1843" s="1">
        <f ca="1">IFERROR(__xludf.DUMMYFUNCTION("""COMPUTED_VALUE"""),55)</f>
        <v>55</v>
      </c>
      <c r="B1843" s="1" t="str">
        <f ca="1">IFERROR(__xludf.DUMMYFUNCTION("""COMPUTED_VALUE"""),"SE6_KA04AA9017_DESILTING")</f>
        <v>SE6_KA04AA9017_DESILTING</v>
      </c>
      <c r="C1843" s="1" t="str">
        <f ca="1">IFERROR(__xludf.DUMMYFUNCTION("""COMPUTED_VALUE"""),"se6_ka04aa9017_desilting")</f>
        <v>se6_ka04aa9017_desilting</v>
      </c>
      <c r="D1843" s="2">
        <f ca="1">IFERROR(__xludf.DUMMYFUNCTION("""COMPUTED_VALUE"""),41640)</f>
        <v>41640</v>
      </c>
      <c r="E1843" s="3">
        <f ca="1">IFERROR(__xludf.DUMMYFUNCTION("""COMPUTED_VALUE"""),0.415486111112841)</f>
        <v>0.41548611111284101</v>
      </c>
      <c r="F1843" s="1">
        <f ca="1">IFERROR(__xludf.DUMMYFUNCTION("""COMPUTED_VALUE"""),18594)</f>
        <v>18594</v>
      </c>
      <c r="G1843" s="1" t="str">
        <f ca="1">IFERROR(__xludf.DUMMYFUNCTION("""COMPUTED_VALUE"""),"12.9209/77.6057")</f>
        <v>12.9209/77.6057</v>
      </c>
      <c r="H1843" s="1" t="str">
        <f ca="1">IFERROR(__xludf.DUMMYFUNCTION("""COMPUTED_VALUE"""),"Gurappanapalya")</f>
        <v>Gurappanapalya</v>
      </c>
      <c r="I1843" s="1"/>
      <c r="J1843" s="1" t="str">
        <f ca="1">IFERROR(__xludf.DUMMYFUNCTION("""COMPUTED_VALUE"""),"0d 21h 25m")</f>
        <v>0d 21h 25m</v>
      </c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13.2">
      <c r="A1844" s="1">
        <f ca="1">IFERROR(__xludf.DUMMYFUNCTION("""COMPUTED_VALUE"""),55)</f>
        <v>55</v>
      </c>
      <c r="B1844" s="1" t="str">
        <f ca="1">IFERROR(__xludf.DUMMYFUNCTION("""COMPUTED_VALUE"""),"SE6_KA04AA9017_DESILTING")</f>
        <v>SE6_KA04AA9017_DESILTING</v>
      </c>
      <c r="C1844" s="1" t="str">
        <f ca="1">IFERROR(__xludf.DUMMYFUNCTION("""COMPUTED_VALUE"""),"se6_ka04aa9017_desilting")</f>
        <v>se6_ka04aa9017_desilting</v>
      </c>
      <c r="D1844" s="2">
        <f ca="1">IFERROR(__xludf.DUMMYFUNCTION("""COMPUTED_VALUE"""),41640)</f>
        <v>41640</v>
      </c>
      <c r="E1844" s="3">
        <f ca="1">IFERROR(__xludf.DUMMYFUNCTION("""COMPUTED_VALUE"""),0.415486111112841)</f>
        <v>0.41548611111284101</v>
      </c>
      <c r="F1844" s="1">
        <f ca="1">IFERROR(__xludf.DUMMYFUNCTION("""COMPUTED_VALUE"""),18594)</f>
        <v>18594</v>
      </c>
      <c r="G1844" s="1" t="str">
        <f ca="1">IFERROR(__xludf.DUMMYFUNCTION("""COMPUTED_VALUE"""),"12.9209/77.6057")</f>
        <v>12.9209/77.6057</v>
      </c>
      <c r="H1844" s="1" t="str">
        <f ca="1">IFERROR(__xludf.DUMMYFUNCTION("""COMPUTED_VALUE"""),"Gurappanapalya")</f>
        <v>Gurappanapalya</v>
      </c>
      <c r="I1844" s="1"/>
      <c r="J1844" s="1" t="str">
        <f ca="1">IFERROR(__xludf.DUMMYFUNCTION("""COMPUTED_VALUE"""),"0d 21h 26m")</f>
        <v>0d 21h 26m</v>
      </c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13.2">
      <c r="A1845" s="1">
        <f ca="1">IFERROR(__xludf.DUMMYFUNCTION("""COMPUTED_VALUE"""),55)</f>
        <v>55</v>
      </c>
      <c r="B1845" s="1" t="str">
        <f ca="1">IFERROR(__xludf.DUMMYFUNCTION("""COMPUTED_VALUE"""),"SE6_KA04AA9017_DESILTING")</f>
        <v>SE6_KA04AA9017_DESILTING</v>
      </c>
      <c r="C1845" s="1" t="str">
        <f ca="1">IFERROR(__xludf.DUMMYFUNCTION("""COMPUTED_VALUE"""),"se6_ka04aa9017_desilting")</f>
        <v>se6_ka04aa9017_desilting</v>
      </c>
      <c r="D1845" s="2">
        <f ca="1">IFERROR(__xludf.DUMMYFUNCTION("""COMPUTED_VALUE"""),41640)</f>
        <v>41640</v>
      </c>
      <c r="E1845" s="3">
        <f ca="1">IFERROR(__xludf.DUMMYFUNCTION("""COMPUTED_VALUE"""),0.415486111112841)</f>
        <v>0.41548611111284101</v>
      </c>
      <c r="F1845" s="1">
        <f ca="1">IFERROR(__xludf.DUMMYFUNCTION("""COMPUTED_VALUE"""),18594)</f>
        <v>18594</v>
      </c>
      <c r="G1845" s="1" t="str">
        <f ca="1">IFERROR(__xludf.DUMMYFUNCTION("""COMPUTED_VALUE"""),"12.9209/77.6057")</f>
        <v>12.9209/77.6057</v>
      </c>
      <c r="H1845" s="1" t="str">
        <f ca="1">IFERROR(__xludf.DUMMYFUNCTION("""COMPUTED_VALUE"""),"Gurappanapalya")</f>
        <v>Gurappanapalya</v>
      </c>
      <c r="I1845" s="1"/>
      <c r="J1845" s="1" t="str">
        <f ca="1">IFERROR(__xludf.DUMMYFUNCTION("""COMPUTED_VALUE"""),"0d 21h 27m")</f>
        <v>0d 21h 27m</v>
      </c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13.2">
      <c r="A1846" s="1">
        <f ca="1">IFERROR(__xludf.DUMMYFUNCTION("""COMPUTED_VALUE"""),55)</f>
        <v>55</v>
      </c>
      <c r="B1846" s="1" t="str">
        <f ca="1">IFERROR(__xludf.DUMMYFUNCTION("""COMPUTED_VALUE"""),"SE6_KA04AA9017_DESILTING")</f>
        <v>SE6_KA04AA9017_DESILTING</v>
      </c>
      <c r="C1846" s="1" t="str">
        <f ca="1">IFERROR(__xludf.DUMMYFUNCTION("""COMPUTED_VALUE"""),"se6_ka04aa9017_desilting")</f>
        <v>se6_ka04aa9017_desilting</v>
      </c>
      <c r="D1846" s="2">
        <f ca="1">IFERROR(__xludf.DUMMYFUNCTION("""COMPUTED_VALUE"""),41640)</f>
        <v>41640</v>
      </c>
      <c r="E1846" s="3">
        <f ca="1">IFERROR(__xludf.DUMMYFUNCTION("""COMPUTED_VALUE"""),0.415486111112841)</f>
        <v>0.41548611111284101</v>
      </c>
      <c r="F1846" s="1">
        <f ca="1">IFERROR(__xludf.DUMMYFUNCTION("""COMPUTED_VALUE"""),18594)</f>
        <v>18594</v>
      </c>
      <c r="G1846" s="1" t="str">
        <f ca="1">IFERROR(__xludf.DUMMYFUNCTION("""COMPUTED_VALUE"""),"12.9209/77.6057")</f>
        <v>12.9209/77.6057</v>
      </c>
      <c r="H1846" s="1" t="str">
        <f ca="1">IFERROR(__xludf.DUMMYFUNCTION("""COMPUTED_VALUE"""),"Gurappanapalya")</f>
        <v>Gurappanapalya</v>
      </c>
      <c r="I1846" s="1"/>
      <c r="J1846" s="1" t="str">
        <f ca="1">IFERROR(__xludf.DUMMYFUNCTION("""COMPUTED_VALUE"""),"0d 21h 28m")</f>
        <v>0d 21h 28m</v>
      </c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13.2">
      <c r="A1847" s="1">
        <f ca="1">IFERROR(__xludf.DUMMYFUNCTION("""COMPUTED_VALUE"""),55)</f>
        <v>55</v>
      </c>
      <c r="B1847" s="1" t="str">
        <f ca="1">IFERROR(__xludf.DUMMYFUNCTION("""COMPUTED_VALUE"""),"SE6_KA04AA9017_DESILTING")</f>
        <v>SE6_KA04AA9017_DESILTING</v>
      </c>
      <c r="C1847" s="1" t="str">
        <f ca="1">IFERROR(__xludf.DUMMYFUNCTION("""COMPUTED_VALUE"""),"se6_ka04aa9017_desilting")</f>
        <v>se6_ka04aa9017_desilting</v>
      </c>
      <c r="D1847" s="2">
        <f ca="1">IFERROR(__xludf.DUMMYFUNCTION("""COMPUTED_VALUE"""),41640)</f>
        <v>41640</v>
      </c>
      <c r="E1847" s="3">
        <f ca="1">IFERROR(__xludf.DUMMYFUNCTION("""COMPUTED_VALUE"""),0.415486111112841)</f>
        <v>0.41548611111284101</v>
      </c>
      <c r="F1847" s="1">
        <f ca="1">IFERROR(__xludf.DUMMYFUNCTION("""COMPUTED_VALUE"""),18594)</f>
        <v>18594</v>
      </c>
      <c r="G1847" s="1" t="str">
        <f ca="1">IFERROR(__xludf.DUMMYFUNCTION("""COMPUTED_VALUE"""),"12.9209/77.6057")</f>
        <v>12.9209/77.6057</v>
      </c>
      <c r="H1847" s="1" t="str">
        <f ca="1">IFERROR(__xludf.DUMMYFUNCTION("""COMPUTED_VALUE"""),"Gurappanapalya")</f>
        <v>Gurappanapalya</v>
      </c>
      <c r="I1847" s="1"/>
      <c r="J1847" s="1" t="str">
        <f ca="1">IFERROR(__xludf.DUMMYFUNCTION("""COMPUTED_VALUE"""),"0d 21h 29m")</f>
        <v>0d 21h 29m</v>
      </c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13.2">
      <c r="A1848" s="1">
        <f ca="1">IFERROR(__xludf.DUMMYFUNCTION("""COMPUTED_VALUE"""),25)</f>
        <v>25</v>
      </c>
      <c r="B1848" s="1" t="str">
        <f ca="1">IFERROR(__xludf.DUMMYFUNCTION("""COMPUTED_VALUE"""),"SE6_KA04D6654_JETTING")</f>
        <v>SE6_KA04D6654_JETTING</v>
      </c>
      <c r="C1848" s="1" t="str">
        <f ca="1">IFERROR(__xludf.DUMMYFUNCTION("""COMPUTED_VALUE"""),"se6_ka04d6654_jetting")</f>
        <v>se6_ka04d6654_jetting</v>
      </c>
      <c r="D1848" s="2">
        <f ca="1">IFERROR(__xludf.DUMMYFUNCTION("""COMPUTED_VALUE"""),41640)</f>
        <v>41640</v>
      </c>
      <c r="E1848" s="3">
        <f ca="1">IFERROR(__xludf.DUMMYFUNCTION("""COMPUTED_VALUE"""),0.229942129630217)</f>
        <v>0.22994212963021701</v>
      </c>
      <c r="F1848" s="1">
        <f ca="1">IFERROR(__xludf.DUMMYFUNCTION("""COMPUTED_VALUE"""),24495)</f>
        <v>24495</v>
      </c>
      <c r="G1848" s="1"/>
      <c r="H1848" s="1"/>
      <c r="I1848" s="1"/>
      <c r="J1848" s="1" t="str">
        <f ca="1">IFERROR(__xludf.DUMMYFUNCTION("""COMPUTED_VALUE"""),"0d 00h 00m")</f>
        <v>0d 00h 00m</v>
      </c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13.2">
      <c r="A1849" s="1">
        <f ca="1">IFERROR(__xludf.DUMMYFUNCTION("""COMPUTED_VALUE"""),25)</f>
        <v>25</v>
      </c>
      <c r="B1849" s="1" t="str">
        <f ca="1">IFERROR(__xludf.DUMMYFUNCTION("""COMPUTED_VALUE"""),"SE6_KA04D6654_JETTING")</f>
        <v>SE6_KA04D6654_JETTING</v>
      </c>
      <c r="C1849" s="1" t="str">
        <f ca="1">IFERROR(__xludf.DUMMYFUNCTION("""COMPUTED_VALUE"""),"se6_ka04d6654_jetting")</f>
        <v>se6_ka04d6654_jetting</v>
      </c>
      <c r="D1849" s="2">
        <f ca="1">IFERROR(__xludf.DUMMYFUNCTION("""COMPUTED_VALUE"""),41640)</f>
        <v>41640</v>
      </c>
      <c r="E1849" s="3">
        <f ca="1">IFERROR(__xludf.DUMMYFUNCTION("""COMPUTED_VALUE"""),0.229942129630217)</f>
        <v>0.22994212963021701</v>
      </c>
      <c r="F1849" s="1">
        <f ca="1">IFERROR(__xludf.DUMMYFUNCTION("""COMPUTED_VALUE"""),24495)</f>
        <v>24495</v>
      </c>
      <c r="G1849" s="1"/>
      <c r="H1849" s="1"/>
      <c r="I1849" s="1"/>
      <c r="J1849" s="1" t="str">
        <f ca="1">IFERROR(__xludf.DUMMYFUNCTION("""COMPUTED_VALUE"""),"0d 00h 00m")</f>
        <v>0d 00h 00m</v>
      </c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13.2">
      <c r="A1850" s="1">
        <f ca="1">IFERROR(__xludf.DUMMYFUNCTION("""COMPUTED_VALUE"""),25)</f>
        <v>25</v>
      </c>
      <c r="B1850" s="1" t="str">
        <f ca="1">IFERROR(__xludf.DUMMYFUNCTION("""COMPUTED_VALUE"""),"SE6_KA04D6654_JETTING")</f>
        <v>SE6_KA04D6654_JETTING</v>
      </c>
      <c r="C1850" s="1" t="str">
        <f ca="1">IFERROR(__xludf.DUMMYFUNCTION("""COMPUTED_VALUE"""),"se6_ka04d6654_jetting")</f>
        <v>se6_ka04d6654_jetting</v>
      </c>
      <c r="D1850" s="2">
        <f ca="1">IFERROR(__xludf.DUMMYFUNCTION("""COMPUTED_VALUE"""),41640)</f>
        <v>41640</v>
      </c>
      <c r="E1850" s="3">
        <f ca="1">IFERROR(__xludf.DUMMYFUNCTION("""COMPUTED_VALUE"""),0.229942129630217)</f>
        <v>0.22994212963021701</v>
      </c>
      <c r="F1850" s="1">
        <f ca="1">IFERROR(__xludf.DUMMYFUNCTION("""COMPUTED_VALUE"""),24495)</f>
        <v>24495</v>
      </c>
      <c r="G1850" s="1"/>
      <c r="H1850" s="1"/>
      <c r="I1850" s="1"/>
      <c r="J1850" s="1" t="str">
        <f ca="1">IFERROR(__xludf.DUMMYFUNCTION("""COMPUTED_VALUE"""),"0d 00h 00m")</f>
        <v>0d 00h 00m</v>
      </c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13.2">
      <c r="A1851" s="1">
        <f ca="1">IFERROR(__xludf.DUMMYFUNCTION("""COMPUTED_VALUE"""),25)</f>
        <v>25</v>
      </c>
      <c r="B1851" s="1" t="str">
        <f ca="1">IFERROR(__xludf.DUMMYFUNCTION("""COMPUTED_VALUE"""),"SE6_KA04D6654_JETTING")</f>
        <v>SE6_KA04D6654_JETTING</v>
      </c>
      <c r="C1851" s="1" t="str">
        <f ca="1">IFERROR(__xludf.DUMMYFUNCTION("""COMPUTED_VALUE"""),"se6_ka04d6654_jetting")</f>
        <v>se6_ka04d6654_jetting</v>
      </c>
      <c r="D1851" s="2">
        <f ca="1">IFERROR(__xludf.DUMMYFUNCTION("""COMPUTED_VALUE"""),41640)</f>
        <v>41640</v>
      </c>
      <c r="E1851" s="3">
        <f ca="1">IFERROR(__xludf.DUMMYFUNCTION("""COMPUTED_VALUE"""),0.229942129630217)</f>
        <v>0.22994212963021701</v>
      </c>
      <c r="F1851" s="1">
        <f ca="1">IFERROR(__xludf.DUMMYFUNCTION("""COMPUTED_VALUE"""),24495)</f>
        <v>24495</v>
      </c>
      <c r="G1851" s="1"/>
      <c r="H1851" s="1"/>
      <c r="I1851" s="1"/>
      <c r="J1851" s="1" t="str">
        <f ca="1">IFERROR(__xludf.DUMMYFUNCTION("""COMPUTED_VALUE"""),"0d 00h 00m")</f>
        <v>0d 00h 00m</v>
      </c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13.2">
      <c r="A1852" s="1">
        <f ca="1">IFERROR(__xludf.DUMMYFUNCTION("""COMPUTED_VALUE"""),25)</f>
        <v>25</v>
      </c>
      <c r="B1852" s="1" t="str">
        <f ca="1">IFERROR(__xludf.DUMMYFUNCTION("""COMPUTED_VALUE"""),"SE6_KA04D6654_JETTING")</f>
        <v>SE6_KA04D6654_JETTING</v>
      </c>
      <c r="C1852" s="1" t="str">
        <f ca="1">IFERROR(__xludf.DUMMYFUNCTION("""COMPUTED_VALUE"""),"se6_ka04d6654_jetting")</f>
        <v>se6_ka04d6654_jetting</v>
      </c>
      <c r="D1852" s="2">
        <f ca="1">IFERROR(__xludf.DUMMYFUNCTION("""COMPUTED_VALUE"""),41640)</f>
        <v>41640</v>
      </c>
      <c r="E1852" s="3">
        <f ca="1">IFERROR(__xludf.DUMMYFUNCTION("""COMPUTED_VALUE"""),0.229942129630217)</f>
        <v>0.22994212963021701</v>
      </c>
      <c r="F1852" s="1">
        <f ca="1">IFERROR(__xludf.DUMMYFUNCTION("""COMPUTED_VALUE"""),24495)</f>
        <v>24495</v>
      </c>
      <c r="G1852" s="1"/>
      <c r="H1852" s="1"/>
      <c r="I1852" s="1"/>
      <c r="J1852" s="1" t="str">
        <f ca="1">IFERROR(__xludf.DUMMYFUNCTION("""COMPUTED_VALUE"""),"0d 00h 00m")</f>
        <v>0d 00h 00m</v>
      </c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13.2">
      <c r="A1853" s="1">
        <f ca="1">IFERROR(__xludf.DUMMYFUNCTION("""COMPUTED_VALUE"""),25)</f>
        <v>25</v>
      </c>
      <c r="B1853" s="1" t="str">
        <f ca="1">IFERROR(__xludf.DUMMYFUNCTION("""COMPUTED_VALUE"""),"SE6_KA04D6654_JETTING")</f>
        <v>SE6_KA04D6654_JETTING</v>
      </c>
      <c r="C1853" s="1" t="str">
        <f ca="1">IFERROR(__xludf.DUMMYFUNCTION("""COMPUTED_VALUE"""),"se6_ka04d6654_jetting")</f>
        <v>se6_ka04d6654_jetting</v>
      </c>
      <c r="D1853" s="2">
        <f ca="1">IFERROR(__xludf.DUMMYFUNCTION("""COMPUTED_VALUE"""),41640)</f>
        <v>41640</v>
      </c>
      <c r="E1853" s="3">
        <f ca="1">IFERROR(__xludf.DUMMYFUNCTION("""COMPUTED_VALUE"""),0.229942129630217)</f>
        <v>0.22994212963021701</v>
      </c>
      <c r="F1853" s="1">
        <f ca="1">IFERROR(__xludf.DUMMYFUNCTION("""COMPUTED_VALUE"""),24495)</f>
        <v>24495</v>
      </c>
      <c r="G1853" s="1"/>
      <c r="H1853" s="1"/>
      <c r="I1853" s="1"/>
      <c r="J1853" s="1" t="str">
        <f ca="1">IFERROR(__xludf.DUMMYFUNCTION("""COMPUTED_VALUE"""),"0d 00h 00m")</f>
        <v>0d 00h 00m</v>
      </c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13.2">
      <c r="A1854" s="1">
        <f ca="1">IFERROR(__xludf.DUMMYFUNCTION("""COMPUTED_VALUE"""),25)</f>
        <v>25</v>
      </c>
      <c r="B1854" s="1" t="str">
        <f ca="1">IFERROR(__xludf.DUMMYFUNCTION("""COMPUTED_VALUE"""),"SE6_KA04D6654_JETTING")</f>
        <v>SE6_KA04D6654_JETTING</v>
      </c>
      <c r="C1854" s="1" t="str">
        <f ca="1">IFERROR(__xludf.DUMMYFUNCTION("""COMPUTED_VALUE"""),"se6_ka04d6654_jetting")</f>
        <v>se6_ka04d6654_jetting</v>
      </c>
      <c r="D1854" s="2">
        <f ca="1">IFERROR(__xludf.DUMMYFUNCTION("""COMPUTED_VALUE"""),41640)</f>
        <v>41640</v>
      </c>
      <c r="E1854" s="3">
        <f ca="1">IFERROR(__xludf.DUMMYFUNCTION("""COMPUTED_VALUE"""),0.229942129630217)</f>
        <v>0.22994212963021701</v>
      </c>
      <c r="F1854" s="1">
        <f ca="1">IFERROR(__xludf.DUMMYFUNCTION("""COMPUTED_VALUE"""),24495)</f>
        <v>24495</v>
      </c>
      <c r="G1854" s="1"/>
      <c r="H1854" s="1"/>
      <c r="I1854" s="1"/>
      <c r="J1854" s="1" t="str">
        <f ca="1">IFERROR(__xludf.DUMMYFUNCTION("""COMPUTED_VALUE"""),"0d 00h 00m")</f>
        <v>0d 00h 00m</v>
      </c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13.2">
      <c r="A1855" s="1">
        <f ca="1">IFERROR(__xludf.DUMMYFUNCTION("""COMPUTED_VALUE"""),107)</f>
        <v>107</v>
      </c>
      <c r="B1855" s="1" t="str">
        <f ca="1">IFERROR(__xludf.DUMMYFUNCTION("""COMPUTED_VALUE"""),"STP_CUBBON_PARK_KA05D8079_TANKER")</f>
        <v>STP_CUBBON_PARK_KA05D8079_TANKER</v>
      </c>
      <c r="C1855" s="1" t="str">
        <f ca="1">IFERROR(__xludf.DUMMYFUNCTION("""COMPUTED_VALUE"""),"stp_cubbon_park_ka05d8079_tanker")</f>
        <v>stp_cubbon_park_ka05d8079_tanker</v>
      </c>
      <c r="D1855" s="2">
        <f ca="1">IFERROR(__xludf.DUMMYFUNCTION("""COMPUTED_VALUE"""),43839)</f>
        <v>43839</v>
      </c>
      <c r="E1855" s="3">
        <f ca="1">IFERROR(__xludf.DUMMYFUNCTION("""COMPUTED_VALUE"""),0.590729166666278)</f>
        <v>0.59072916666627795</v>
      </c>
      <c r="F1855" s="1">
        <f ca="1">IFERROR(__xludf.DUMMYFUNCTION("""COMPUTED_VALUE"""),16856)</f>
        <v>16856</v>
      </c>
      <c r="G1855" s="1" t="str">
        <f ca="1">IFERROR(__xludf.DUMMYFUNCTION("""COMPUTED_VALUE"""),"12.9707/77.5910")</f>
        <v>12.9707/77.5910</v>
      </c>
      <c r="H1855" s="1" t="str">
        <f ca="1">IFERROR(__xludf.DUMMYFUNCTION("""COMPUTED_VALUE"""),"Iris Hotel")</f>
        <v>Iris Hotel</v>
      </c>
      <c r="I1855" s="1"/>
      <c r="J1855" s="1" t="str">
        <f ca="1">IFERROR(__xludf.DUMMYFUNCTION("""COMPUTED_VALUE"""),"1531d 21h 08m")</f>
        <v>1531d 21h 08m</v>
      </c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13.2">
      <c r="A1856" s="1">
        <f ca="1">IFERROR(__xludf.DUMMYFUNCTION("""COMPUTED_VALUE"""),107)</f>
        <v>107</v>
      </c>
      <c r="B1856" s="1" t="str">
        <f ca="1">IFERROR(__xludf.DUMMYFUNCTION("""COMPUTED_VALUE"""),"STP_CUBBON_PARK_KA05D8079_TANKER")</f>
        <v>STP_CUBBON_PARK_KA05D8079_TANKER</v>
      </c>
      <c r="C1856" s="1" t="str">
        <f ca="1">IFERROR(__xludf.DUMMYFUNCTION("""COMPUTED_VALUE"""),"stp_cubbon_park_ka05d8079_tanker")</f>
        <v>stp_cubbon_park_ka05d8079_tanker</v>
      </c>
      <c r="D1856" s="2">
        <f ca="1">IFERROR(__xludf.DUMMYFUNCTION("""COMPUTED_VALUE"""),43839)</f>
        <v>43839</v>
      </c>
      <c r="E1856" s="3">
        <f ca="1">IFERROR(__xludf.DUMMYFUNCTION("""COMPUTED_VALUE"""),0.590729166666278)</f>
        <v>0.59072916666627795</v>
      </c>
      <c r="F1856" s="1">
        <f ca="1">IFERROR(__xludf.DUMMYFUNCTION("""COMPUTED_VALUE"""),16856)</f>
        <v>16856</v>
      </c>
      <c r="G1856" s="1" t="str">
        <f ca="1">IFERROR(__xludf.DUMMYFUNCTION("""COMPUTED_VALUE"""),"12.9707/77.5910")</f>
        <v>12.9707/77.5910</v>
      </c>
      <c r="H1856" s="1" t="str">
        <f ca="1">IFERROR(__xludf.DUMMYFUNCTION("""COMPUTED_VALUE"""),"Iris Hotel")</f>
        <v>Iris Hotel</v>
      </c>
      <c r="I1856" s="1"/>
      <c r="J1856" s="1" t="str">
        <f ca="1">IFERROR(__xludf.DUMMYFUNCTION("""COMPUTED_VALUE"""),"1531d 21h 09m")</f>
        <v>1531d 21h 09m</v>
      </c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13.2">
      <c r="A1857" s="1">
        <f ca="1">IFERROR(__xludf.DUMMYFUNCTION("""COMPUTED_VALUE"""),104)</f>
        <v>104</v>
      </c>
      <c r="B1857" s="1" t="str">
        <f ca="1">IFERROR(__xludf.DUMMYFUNCTION("""COMPUTED_VALUE"""),"STP_CUBBON_PARK_KA05D8079_TANKER")</f>
        <v>STP_CUBBON_PARK_KA05D8079_TANKER</v>
      </c>
      <c r="C1857" s="1" t="str">
        <f ca="1">IFERROR(__xludf.DUMMYFUNCTION("""COMPUTED_VALUE"""),"stp_cubbon_park_ka05d8079_tanker")</f>
        <v>stp_cubbon_park_ka05d8079_tanker</v>
      </c>
      <c r="D1857" s="2">
        <f ca="1">IFERROR(__xludf.DUMMYFUNCTION("""COMPUTED_VALUE"""),43839)</f>
        <v>43839</v>
      </c>
      <c r="E1857" s="3">
        <f ca="1">IFERROR(__xludf.DUMMYFUNCTION("""COMPUTED_VALUE"""),0.590729166666278)</f>
        <v>0.59072916666627795</v>
      </c>
      <c r="F1857" s="1">
        <f ca="1">IFERROR(__xludf.DUMMYFUNCTION("""COMPUTED_VALUE"""),16856)</f>
        <v>16856</v>
      </c>
      <c r="G1857" s="1" t="str">
        <f ca="1">IFERROR(__xludf.DUMMYFUNCTION("""COMPUTED_VALUE"""),"12.9707/77.5910")</f>
        <v>12.9707/77.5910</v>
      </c>
      <c r="H1857" s="1" t="str">
        <f ca="1">IFERROR(__xludf.DUMMYFUNCTION("""COMPUTED_VALUE"""),"Iris Hotel")</f>
        <v>Iris Hotel</v>
      </c>
      <c r="I1857" s="1"/>
      <c r="J1857" s="1" t="str">
        <f ca="1">IFERROR(__xludf.DUMMYFUNCTION("""COMPUTED_VALUE"""),"1531d 21h 11m")</f>
        <v>1531d 21h 11m</v>
      </c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13.2">
      <c r="A1858" s="1">
        <f ca="1">IFERROR(__xludf.DUMMYFUNCTION("""COMPUTED_VALUE"""),104)</f>
        <v>104</v>
      </c>
      <c r="B1858" s="1" t="str">
        <f ca="1">IFERROR(__xludf.DUMMYFUNCTION("""COMPUTED_VALUE"""),"STP_CUBBON_PARK_KA05D8079_TANKER")</f>
        <v>STP_CUBBON_PARK_KA05D8079_TANKER</v>
      </c>
      <c r="C1858" s="1" t="str">
        <f ca="1">IFERROR(__xludf.DUMMYFUNCTION("""COMPUTED_VALUE"""),"stp_cubbon_park_ka05d8079_tanker")</f>
        <v>stp_cubbon_park_ka05d8079_tanker</v>
      </c>
      <c r="D1858" s="2">
        <f ca="1">IFERROR(__xludf.DUMMYFUNCTION("""COMPUTED_VALUE"""),43839)</f>
        <v>43839</v>
      </c>
      <c r="E1858" s="3">
        <f ca="1">IFERROR(__xludf.DUMMYFUNCTION("""COMPUTED_VALUE"""),0.590729166666278)</f>
        <v>0.59072916666627795</v>
      </c>
      <c r="F1858" s="1">
        <f ca="1">IFERROR(__xludf.DUMMYFUNCTION("""COMPUTED_VALUE"""),16856)</f>
        <v>16856</v>
      </c>
      <c r="G1858" s="1" t="str">
        <f ca="1">IFERROR(__xludf.DUMMYFUNCTION("""COMPUTED_VALUE"""),"12.9707/77.5910")</f>
        <v>12.9707/77.5910</v>
      </c>
      <c r="H1858" s="1" t="str">
        <f ca="1">IFERROR(__xludf.DUMMYFUNCTION("""COMPUTED_VALUE"""),"Iris Hotel")</f>
        <v>Iris Hotel</v>
      </c>
      <c r="I1858" s="1"/>
      <c r="J1858" s="1" t="str">
        <f ca="1">IFERROR(__xludf.DUMMYFUNCTION("""COMPUTED_VALUE"""),"1531d 21h 12m")</f>
        <v>1531d 21h 12m</v>
      </c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13.2">
      <c r="A1859" s="1">
        <f ca="1">IFERROR(__xludf.DUMMYFUNCTION("""COMPUTED_VALUE"""),104)</f>
        <v>104</v>
      </c>
      <c r="B1859" s="1" t="str">
        <f ca="1">IFERROR(__xludf.DUMMYFUNCTION("""COMPUTED_VALUE"""),"STP_CUBBON_PARK_KA05D8079_TANKER")</f>
        <v>STP_CUBBON_PARK_KA05D8079_TANKER</v>
      </c>
      <c r="C1859" s="1" t="str">
        <f ca="1">IFERROR(__xludf.DUMMYFUNCTION("""COMPUTED_VALUE"""),"stp_cubbon_park_ka05d8079_tanker")</f>
        <v>stp_cubbon_park_ka05d8079_tanker</v>
      </c>
      <c r="D1859" s="2">
        <f ca="1">IFERROR(__xludf.DUMMYFUNCTION("""COMPUTED_VALUE"""),43839)</f>
        <v>43839</v>
      </c>
      <c r="E1859" s="3">
        <f ca="1">IFERROR(__xludf.DUMMYFUNCTION("""COMPUTED_VALUE"""),0.590729166666278)</f>
        <v>0.59072916666627795</v>
      </c>
      <c r="F1859" s="1">
        <f ca="1">IFERROR(__xludf.DUMMYFUNCTION("""COMPUTED_VALUE"""),16856)</f>
        <v>16856</v>
      </c>
      <c r="G1859" s="1" t="str">
        <f ca="1">IFERROR(__xludf.DUMMYFUNCTION("""COMPUTED_VALUE"""),"12.9707/77.5910")</f>
        <v>12.9707/77.5910</v>
      </c>
      <c r="H1859" s="1" t="str">
        <f ca="1">IFERROR(__xludf.DUMMYFUNCTION("""COMPUTED_VALUE"""),"Iris Hotel")</f>
        <v>Iris Hotel</v>
      </c>
      <c r="I1859" s="1"/>
      <c r="J1859" s="1" t="str">
        <f ca="1">IFERROR(__xludf.DUMMYFUNCTION("""COMPUTED_VALUE"""),"1531d 21h 14m")</f>
        <v>1531d 21h 14m</v>
      </c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13.2">
      <c r="A1860" s="1">
        <f ca="1">IFERROR(__xludf.DUMMYFUNCTION("""COMPUTED_VALUE"""),104)</f>
        <v>104</v>
      </c>
      <c r="B1860" s="1" t="str">
        <f ca="1">IFERROR(__xludf.DUMMYFUNCTION("""COMPUTED_VALUE"""),"STP_CUBBON_PARK_KA05D8079_TANKER")</f>
        <v>STP_CUBBON_PARK_KA05D8079_TANKER</v>
      </c>
      <c r="C1860" s="1" t="str">
        <f ca="1">IFERROR(__xludf.DUMMYFUNCTION("""COMPUTED_VALUE"""),"stp_cubbon_park_ka05d8079_tanker")</f>
        <v>stp_cubbon_park_ka05d8079_tanker</v>
      </c>
      <c r="D1860" s="2">
        <f ca="1">IFERROR(__xludf.DUMMYFUNCTION("""COMPUTED_VALUE"""),43839)</f>
        <v>43839</v>
      </c>
      <c r="E1860" s="3">
        <f ca="1">IFERROR(__xludf.DUMMYFUNCTION("""COMPUTED_VALUE"""),0.590729166666278)</f>
        <v>0.59072916666627795</v>
      </c>
      <c r="F1860" s="1">
        <f ca="1">IFERROR(__xludf.DUMMYFUNCTION("""COMPUTED_VALUE"""),16856)</f>
        <v>16856</v>
      </c>
      <c r="G1860" s="1" t="str">
        <f ca="1">IFERROR(__xludf.DUMMYFUNCTION("""COMPUTED_VALUE"""),"12.9707/77.5910")</f>
        <v>12.9707/77.5910</v>
      </c>
      <c r="H1860" s="1" t="str">
        <f ca="1">IFERROR(__xludf.DUMMYFUNCTION("""COMPUTED_VALUE"""),"Iris Hotel")</f>
        <v>Iris Hotel</v>
      </c>
      <c r="I1860" s="1"/>
      <c r="J1860" s="1" t="str">
        <f ca="1">IFERROR(__xludf.DUMMYFUNCTION("""COMPUTED_VALUE"""),"1531d 21h 15m")</f>
        <v>1531d 21h 15m</v>
      </c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13.2">
      <c r="A1861" s="1">
        <f ca="1">IFERROR(__xludf.DUMMYFUNCTION("""COMPUTED_VALUE"""),104)</f>
        <v>104</v>
      </c>
      <c r="B1861" s="1" t="str">
        <f ca="1">IFERROR(__xludf.DUMMYFUNCTION("""COMPUTED_VALUE"""),"STP_CUBBON_PARK_KA05D8079_TANKER")</f>
        <v>STP_CUBBON_PARK_KA05D8079_TANKER</v>
      </c>
      <c r="C1861" s="1" t="str">
        <f ca="1">IFERROR(__xludf.DUMMYFUNCTION("""COMPUTED_VALUE"""),"stp_cubbon_park_ka05d8079_tanker")</f>
        <v>stp_cubbon_park_ka05d8079_tanker</v>
      </c>
      <c r="D1861" s="2">
        <f ca="1">IFERROR(__xludf.DUMMYFUNCTION("""COMPUTED_VALUE"""),43839)</f>
        <v>43839</v>
      </c>
      <c r="E1861" s="3">
        <f ca="1">IFERROR(__xludf.DUMMYFUNCTION("""COMPUTED_VALUE"""),0.590729166666278)</f>
        <v>0.59072916666627795</v>
      </c>
      <c r="F1861" s="1">
        <f ca="1">IFERROR(__xludf.DUMMYFUNCTION("""COMPUTED_VALUE"""),16856)</f>
        <v>16856</v>
      </c>
      <c r="G1861" s="1" t="str">
        <f ca="1">IFERROR(__xludf.DUMMYFUNCTION("""COMPUTED_VALUE"""),"12.9707/77.5910")</f>
        <v>12.9707/77.5910</v>
      </c>
      <c r="H1861" s="1" t="str">
        <f ca="1">IFERROR(__xludf.DUMMYFUNCTION("""COMPUTED_VALUE"""),"Iris Hotel")</f>
        <v>Iris Hotel</v>
      </c>
      <c r="I1861" s="1"/>
      <c r="J1861" s="1" t="str">
        <f ca="1">IFERROR(__xludf.DUMMYFUNCTION("""COMPUTED_VALUE"""),"1531d 21h 16m")</f>
        <v>1531d 21h 16m</v>
      </c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13.2">
      <c r="A1862" s="1">
        <f ca="1">IFERROR(__xludf.DUMMYFUNCTION("""COMPUTED_VALUE"""),198)</f>
        <v>198</v>
      </c>
      <c r="B1862" s="1" t="str">
        <f ca="1">IFERROR(__xludf.DUMMYFUNCTION("""COMPUTED_VALUE"""),"SW1_KA01B9896_Tanker")</f>
        <v>SW1_KA01B9896_Tanker</v>
      </c>
      <c r="C1862" s="1" t="str">
        <f ca="1">IFERROR(__xludf.DUMMYFUNCTION("""COMPUTED_VALUE"""),"sw1_ka01b9896_tanker")</f>
        <v>sw1_ka01b9896_tanker</v>
      </c>
      <c r="D1862" s="2">
        <f ca="1">IFERROR(__xludf.DUMMYFUNCTION("""COMPUTED_VALUE"""),44707)</f>
        <v>44707</v>
      </c>
      <c r="E1862" s="3">
        <f ca="1">IFERROR(__xludf.DUMMYFUNCTION("""COMPUTED_VALUE"""),0.999189814814599)</f>
        <v>0.99918981481459901</v>
      </c>
      <c r="F1862" s="1">
        <f ca="1">IFERROR(__xludf.DUMMYFUNCTION("""COMPUTED_VALUE"""),21898)</f>
        <v>21898</v>
      </c>
      <c r="G1862" s="1" t="str">
        <f ca="1">IFERROR(__xludf.DUMMYFUNCTION("""COMPUTED_VALUE"""),"12.9427/77.5759")</f>
        <v>12.9427/77.5759</v>
      </c>
      <c r="H1862" s="1" t="str">
        <f ca="1">IFERROR(__xludf.DUMMYFUNCTION("""COMPUTED_VALUE"""),"Venus Residency")</f>
        <v>Venus Residency</v>
      </c>
      <c r="I1862" s="1"/>
      <c r="J1862" s="1" t="str">
        <f ca="1">IFERROR(__xludf.DUMMYFUNCTION("""COMPUTED_VALUE"""),"0d 00h 00m")</f>
        <v>0d 00h 00m</v>
      </c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13.2">
      <c r="A1863" s="1">
        <f ca="1">IFERROR(__xludf.DUMMYFUNCTION("""COMPUTED_VALUE"""),169)</f>
        <v>169</v>
      </c>
      <c r="B1863" s="1" t="str">
        <f ca="1">IFERROR(__xludf.DUMMYFUNCTION("""COMPUTED_VALUE"""),"SW1_KA01B9896_Tanker")</f>
        <v>SW1_KA01B9896_Tanker</v>
      </c>
      <c r="C1863" s="1" t="str">
        <f ca="1">IFERROR(__xludf.DUMMYFUNCTION("""COMPUTED_VALUE"""),"sw1_ka01b9896_tanker")</f>
        <v>sw1_ka01b9896_tanker</v>
      </c>
      <c r="D1863" s="2">
        <f ca="1">IFERROR(__xludf.DUMMYFUNCTION("""COMPUTED_VALUE"""),44738)</f>
        <v>44738</v>
      </c>
      <c r="E1863" s="3">
        <f ca="1">IFERROR(__xludf.DUMMYFUNCTION("""COMPUTED_VALUE"""),0.999016203702922)</f>
        <v>0.99901620370292199</v>
      </c>
      <c r="F1863" s="1">
        <f ca="1">IFERROR(__xludf.DUMMYFUNCTION("""COMPUTED_VALUE"""),22413)</f>
        <v>22413</v>
      </c>
      <c r="G1863" s="1" t="str">
        <f ca="1">IFERROR(__xludf.DUMMYFUNCTION("""COMPUTED_VALUE"""),"12.9429/77.5758")</f>
        <v>12.9429/77.5758</v>
      </c>
      <c r="H1863" s="1" t="str">
        <f ca="1">IFERROR(__xludf.DUMMYFUNCTION("""COMPUTED_VALUE"""),"Venus Residency")</f>
        <v>Venus Residency</v>
      </c>
      <c r="I1863" s="1"/>
      <c r="J1863" s="1" t="str">
        <f ca="1">IFERROR(__xludf.DUMMYFUNCTION("""COMPUTED_VALUE"""),"0d 00h 00m")</f>
        <v>0d 00h 00m</v>
      </c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13.2">
      <c r="A1864" s="1">
        <f ca="1">IFERROR(__xludf.DUMMYFUNCTION("""COMPUTED_VALUE"""),184)</f>
        <v>184</v>
      </c>
      <c r="B1864" s="1" t="str">
        <f ca="1">IFERROR(__xludf.DUMMYFUNCTION("""COMPUTED_VALUE"""),"SW1_KA01B9896_Tanker")</f>
        <v>SW1_KA01B9896_Tanker</v>
      </c>
      <c r="C1864" s="1" t="str">
        <f ca="1">IFERROR(__xludf.DUMMYFUNCTION("""COMPUTED_VALUE"""),"sw1_ka01b9896_tanker")</f>
        <v>sw1_ka01b9896_tanker</v>
      </c>
      <c r="D1864" s="2">
        <f ca="1">IFERROR(__xludf.DUMMYFUNCTION("""COMPUTED_VALUE"""),44768)</f>
        <v>44768</v>
      </c>
      <c r="E1864" s="3">
        <f ca="1">IFERROR(__xludf.DUMMYFUNCTION("""COMPUTED_VALUE"""),0.999039351852843)</f>
        <v>0.99903935185284298</v>
      </c>
      <c r="F1864" s="1">
        <f ca="1">IFERROR(__xludf.DUMMYFUNCTION("""COMPUTED_VALUE"""),22997)</f>
        <v>22997</v>
      </c>
      <c r="G1864" s="1" t="str">
        <f ca="1">IFERROR(__xludf.DUMMYFUNCTION("""COMPUTED_VALUE"""),"12.9430/77.5759")</f>
        <v>12.9430/77.5759</v>
      </c>
      <c r="H1864" s="1" t="str">
        <f ca="1">IFERROR(__xludf.DUMMYFUNCTION("""COMPUTED_VALUE"""),"Venus Residency")</f>
        <v>Venus Residency</v>
      </c>
      <c r="I1864" s="1"/>
      <c r="J1864" s="1" t="str">
        <f ca="1">IFERROR(__xludf.DUMMYFUNCTION("""COMPUTED_VALUE"""),"0d 00h 00m")</f>
        <v>0d 00h 00m</v>
      </c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13.2">
      <c r="A1865" s="1">
        <f ca="1">IFERROR(__xludf.DUMMYFUNCTION("""COMPUTED_VALUE"""),199)</f>
        <v>199</v>
      </c>
      <c r="B1865" s="1" t="str">
        <f ca="1">IFERROR(__xludf.DUMMYFUNCTION("""COMPUTED_VALUE"""),"SW1_KA01B9896_Tanker")</f>
        <v>SW1_KA01B9896_Tanker</v>
      </c>
      <c r="C1865" s="1" t="str">
        <f ca="1">IFERROR(__xludf.DUMMYFUNCTION("""COMPUTED_VALUE"""),"sw1_ka01b9896_tanker")</f>
        <v>sw1_ka01b9896_tanker</v>
      </c>
      <c r="D1865" s="2">
        <f ca="1">IFERROR(__xludf.DUMMYFUNCTION("""COMPUTED_VALUE"""),44799)</f>
        <v>44799</v>
      </c>
      <c r="E1865" s="3">
        <f ca="1">IFERROR(__xludf.DUMMYFUNCTION("""COMPUTED_VALUE"""),0.999097222222189)</f>
        <v>0.999097222222189</v>
      </c>
      <c r="F1865" s="1">
        <f ca="1">IFERROR(__xludf.DUMMYFUNCTION("""COMPUTED_VALUE"""),23361)</f>
        <v>23361</v>
      </c>
      <c r="G1865" s="1" t="str">
        <f ca="1">IFERROR(__xludf.DUMMYFUNCTION("""COMPUTED_VALUE"""),"12.9429/77.5759")</f>
        <v>12.9429/77.5759</v>
      </c>
      <c r="H1865" s="1" t="str">
        <f ca="1">IFERROR(__xludf.DUMMYFUNCTION("""COMPUTED_VALUE"""),"Venus Residency")</f>
        <v>Venus Residency</v>
      </c>
      <c r="I1865" s="1"/>
      <c r="J1865" s="1" t="str">
        <f ca="1">IFERROR(__xludf.DUMMYFUNCTION("""COMPUTED_VALUE"""),"0d 00h 00m")</f>
        <v>0d 00h 00m</v>
      </c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13.2">
      <c r="A1866" s="1">
        <f ca="1">IFERROR(__xludf.DUMMYFUNCTION("""COMPUTED_VALUE"""),237)</f>
        <v>237</v>
      </c>
      <c r="B1866" s="1" t="str">
        <f ca="1">IFERROR(__xludf.DUMMYFUNCTION("""COMPUTED_VALUE"""),"SW1_KA01B9896_Tanker")</f>
        <v>SW1_KA01B9896_Tanker</v>
      </c>
      <c r="C1866" s="1" t="str">
        <f ca="1">IFERROR(__xludf.DUMMYFUNCTION("""COMPUTED_VALUE"""),"sw1_ka01b9896_tanker")</f>
        <v>sw1_ka01b9896_tanker</v>
      </c>
      <c r="D1866" s="2">
        <f ca="1">IFERROR(__xludf.DUMMYFUNCTION("""COMPUTED_VALUE"""),44830)</f>
        <v>44830</v>
      </c>
      <c r="E1866" s="3">
        <f ca="1">IFERROR(__xludf.DUMMYFUNCTION("""COMPUTED_VALUE"""),0.999317129630071)</f>
        <v>0.99931712963007102</v>
      </c>
      <c r="F1866" s="1">
        <f ca="1">IFERROR(__xludf.DUMMYFUNCTION("""COMPUTED_VALUE"""),23787)</f>
        <v>23787</v>
      </c>
      <c r="G1866" s="1" t="str">
        <f ca="1">IFERROR(__xludf.DUMMYFUNCTION("""COMPUTED_VALUE"""),"12.9429/77.5758")</f>
        <v>12.9429/77.5758</v>
      </c>
      <c r="H1866" s="1" t="str">
        <f ca="1">IFERROR(__xludf.DUMMYFUNCTION("""COMPUTED_VALUE"""),"Venus Residency")</f>
        <v>Venus Residency</v>
      </c>
      <c r="I1866" s="1"/>
      <c r="J1866" s="1" t="str">
        <f ca="1">IFERROR(__xludf.DUMMYFUNCTION("""COMPUTED_VALUE"""),"0d 00h 00m")</f>
        <v>0d 00h 00m</v>
      </c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13.2">
      <c r="A1867" s="1">
        <f ca="1">IFERROR(__xludf.DUMMYFUNCTION("""COMPUTED_VALUE"""),229)</f>
        <v>229</v>
      </c>
      <c r="B1867" s="1" t="str">
        <f ca="1">IFERROR(__xludf.DUMMYFUNCTION("""COMPUTED_VALUE"""),"SW1_KA01B9896_Tanker")</f>
        <v>SW1_KA01B9896_Tanker</v>
      </c>
      <c r="C1867" s="1" t="str">
        <f ca="1">IFERROR(__xludf.DUMMYFUNCTION("""COMPUTED_VALUE"""),"sw1_ka01b9896_tanker")</f>
        <v>sw1_ka01b9896_tanker</v>
      </c>
      <c r="D1867" s="2">
        <f ca="1">IFERROR(__xludf.DUMMYFUNCTION("""COMPUTED_VALUE"""),44860)</f>
        <v>44860</v>
      </c>
      <c r="E1867" s="3">
        <f ca="1">IFERROR(__xludf.DUMMYFUNCTION("""COMPUTED_VALUE"""),0.999270833333866)</f>
        <v>0.99927083333386602</v>
      </c>
      <c r="F1867" s="1">
        <f ca="1">IFERROR(__xludf.DUMMYFUNCTION("""COMPUTED_VALUE"""),24211)</f>
        <v>24211</v>
      </c>
      <c r="G1867" s="1" t="str">
        <f ca="1">IFERROR(__xludf.DUMMYFUNCTION("""COMPUTED_VALUE"""),"12.9431/77.5754")</f>
        <v>12.9431/77.5754</v>
      </c>
      <c r="H1867" s="1" t="str">
        <f ca="1">IFERROR(__xludf.DUMMYFUNCTION("""COMPUTED_VALUE"""),"Venus Residency")</f>
        <v>Venus Residency</v>
      </c>
      <c r="I1867" s="1"/>
      <c r="J1867" s="1" t="str">
        <f ca="1">IFERROR(__xludf.DUMMYFUNCTION("""COMPUTED_VALUE"""),"0d 00h 00m")</f>
        <v>0d 00h 00m</v>
      </c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13.2">
      <c r="A1868" s="1">
        <f ca="1">IFERROR(__xludf.DUMMYFUNCTION("""COMPUTED_VALUE"""),50)</f>
        <v>50</v>
      </c>
      <c r="B1868" s="1" t="str">
        <f ca="1">IFERROR(__xludf.DUMMYFUNCTION("""COMPUTED_VALUE"""),"SW1_KA02AC5939_JETTING")</f>
        <v>SW1_KA02AC5939_JETTING</v>
      </c>
      <c r="C1868" s="1" t="str">
        <f ca="1">IFERROR(__xludf.DUMMYFUNCTION("""COMPUTED_VALUE"""),"sw1_ka02ac5939_jetting")</f>
        <v>sw1_ka02ac5939_jetting</v>
      </c>
      <c r="D1868" s="2">
        <f ca="1">IFERROR(__xludf.DUMMYFUNCTION("""COMPUTED_VALUE"""),41640)</f>
        <v>41640</v>
      </c>
      <c r="E1868" s="3">
        <f ca="1">IFERROR(__xludf.DUMMYFUNCTION("""COMPUTED_VALUE"""),0.336828703704668)</f>
        <v>0.336828703704668</v>
      </c>
      <c r="F1868" s="1">
        <f ca="1">IFERROR(__xludf.DUMMYFUNCTION("""COMPUTED_VALUE"""),21485)</f>
        <v>21485</v>
      </c>
      <c r="G1868" s="1" t="str">
        <f ca="1">IFERROR(__xludf.DUMMYFUNCTION("""COMPUTED_VALUE"""),"12.9701/77.5834")</f>
        <v>12.9701/77.5834</v>
      </c>
      <c r="H1868" s="1" t="str">
        <f ca="1">IFERROR(__xludf.DUMMYFUNCTION("""COMPUTED_VALUE"""),"Cubbonpet")</f>
        <v>Cubbonpet</v>
      </c>
      <c r="I1868" s="1"/>
      <c r="J1868" s="1" t="str">
        <f ca="1">IFERROR(__xludf.DUMMYFUNCTION("""COMPUTED_VALUE"""),"0d 00h 00m")</f>
        <v>0d 00h 00m</v>
      </c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13.2">
      <c r="A1869" s="1">
        <f ca="1">IFERROR(__xludf.DUMMYFUNCTION("""COMPUTED_VALUE"""),50)</f>
        <v>50</v>
      </c>
      <c r="B1869" s="1" t="str">
        <f ca="1">IFERROR(__xludf.DUMMYFUNCTION("""COMPUTED_VALUE"""),"SW1_KA02AC5939_JETTING")</f>
        <v>SW1_KA02AC5939_JETTING</v>
      </c>
      <c r="C1869" s="1" t="str">
        <f ca="1">IFERROR(__xludf.DUMMYFUNCTION("""COMPUTED_VALUE"""),"sw1_ka02ac5939_jetting")</f>
        <v>sw1_ka02ac5939_jetting</v>
      </c>
      <c r="D1869" s="2">
        <f ca="1">IFERROR(__xludf.DUMMYFUNCTION("""COMPUTED_VALUE"""),41640)</f>
        <v>41640</v>
      </c>
      <c r="E1869" s="3">
        <f ca="1">IFERROR(__xludf.DUMMYFUNCTION("""COMPUTED_VALUE"""),0.336828703704668)</f>
        <v>0.336828703704668</v>
      </c>
      <c r="F1869" s="1">
        <f ca="1">IFERROR(__xludf.DUMMYFUNCTION("""COMPUTED_VALUE"""),21485)</f>
        <v>21485</v>
      </c>
      <c r="G1869" s="1" t="str">
        <f ca="1">IFERROR(__xludf.DUMMYFUNCTION("""COMPUTED_VALUE"""),"12.9701/77.5834")</f>
        <v>12.9701/77.5834</v>
      </c>
      <c r="H1869" s="1" t="str">
        <f ca="1">IFERROR(__xludf.DUMMYFUNCTION("""COMPUTED_VALUE"""),"Cubbonpet")</f>
        <v>Cubbonpet</v>
      </c>
      <c r="I1869" s="1"/>
      <c r="J1869" s="1" t="str">
        <f ca="1">IFERROR(__xludf.DUMMYFUNCTION("""COMPUTED_VALUE"""),"0d 00h 00m")</f>
        <v>0d 00h 00m</v>
      </c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13.2">
      <c r="A1870" s="1">
        <f ca="1">IFERROR(__xludf.DUMMYFUNCTION("""COMPUTED_VALUE"""),50)</f>
        <v>50</v>
      </c>
      <c r="B1870" s="1" t="str">
        <f ca="1">IFERROR(__xludf.DUMMYFUNCTION("""COMPUTED_VALUE"""),"SW1_KA02AC5939_JETTING")</f>
        <v>SW1_KA02AC5939_JETTING</v>
      </c>
      <c r="C1870" s="1" t="str">
        <f ca="1">IFERROR(__xludf.DUMMYFUNCTION("""COMPUTED_VALUE"""),"sw1_ka02ac5939_jetting")</f>
        <v>sw1_ka02ac5939_jetting</v>
      </c>
      <c r="D1870" s="2">
        <f ca="1">IFERROR(__xludf.DUMMYFUNCTION("""COMPUTED_VALUE"""),41640)</f>
        <v>41640</v>
      </c>
      <c r="E1870" s="3">
        <f ca="1">IFERROR(__xludf.DUMMYFUNCTION("""COMPUTED_VALUE"""),0.336828703704668)</f>
        <v>0.336828703704668</v>
      </c>
      <c r="F1870" s="1">
        <f ca="1">IFERROR(__xludf.DUMMYFUNCTION("""COMPUTED_VALUE"""),21485)</f>
        <v>21485</v>
      </c>
      <c r="G1870" s="1" t="str">
        <f ca="1">IFERROR(__xludf.DUMMYFUNCTION("""COMPUTED_VALUE"""),"12.9701/77.5834")</f>
        <v>12.9701/77.5834</v>
      </c>
      <c r="H1870" s="1" t="str">
        <f ca="1">IFERROR(__xludf.DUMMYFUNCTION("""COMPUTED_VALUE"""),"Cubbonpet")</f>
        <v>Cubbonpet</v>
      </c>
      <c r="I1870" s="1"/>
      <c r="J1870" s="1" t="str">
        <f ca="1">IFERROR(__xludf.DUMMYFUNCTION("""COMPUTED_VALUE"""),"0d 00h 00m")</f>
        <v>0d 00h 00m</v>
      </c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13.2">
      <c r="A1871" s="1">
        <f ca="1">IFERROR(__xludf.DUMMYFUNCTION("""COMPUTED_VALUE"""),50)</f>
        <v>50</v>
      </c>
      <c r="B1871" s="1" t="str">
        <f ca="1">IFERROR(__xludf.DUMMYFUNCTION("""COMPUTED_VALUE"""),"SW1_KA02AC5939_JETTING")</f>
        <v>SW1_KA02AC5939_JETTING</v>
      </c>
      <c r="C1871" s="1" t="str">
        <f ca="1">IFERROR(__xludf.DUMMYFUNCTION("""COMPUTED_VALUE"""),"sw1_ka02ac5939_jetting")</f>
        <v>sw1_ka02ac5939_jetting</v>
      </c>
      <c r="D1871" s="2">
        <f ca="1">IFERROR(__xludf.DUMMYFUNCTION("""COMPUTED_VALUE"""),41640)</f>
        <v>41640</v>
      </c>
      <c r="E1871" s="3">
        <f ca="1">IFERROR(__xludf.DUMMYFUNCTION("""COMPUTED_VALUE"""),0.336828703704668)</f>
        <v>0.336828703704668</v>
      </c>
      <c r="F1871" s="1">
        <f ca="1">IFERROR(__xludf.DUMMYFUNCTION("""COMPUTED_VALUE"""),21485)</f>
        <v>21485</v>
      </c>
      <c r="G1871" s="1" t="str">
        <f ca="1">IFERROR(__xludf.DUMMYFUNCTION("""COMPUTED_VALUE"""),"12.9701/77.5834")</f>
        <v>12.9701/77.5834</v>
      </c>
      <c r="H1871" s="1" t="str">
        <f ca="1">IFERROR(__xludf.DUMMYFUNCTION("""COMPUTED_VALUE"""),"Cubbonpet")</f>
        <v>Cubbonpet</v>
      </c>
      <c r="I1871" s="1"/>
      <c r="J1871" s="1" t="str">
        <f ca="1">IFERROR(__xludf.DUMMYFUNCTION("""COMPUTED_VALUE"""),"0d 00h 00m")</f>
        <v>0d 00h 00m</v>
      </c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13.2">
      <c r="A1872" s="1">
        <f ca="1">IFERROR(__xludf.DUMMYFUNCTION("""COMPUTED_VALUE"""),50)</f>
        <v>50</v>
      </c>
      <c r="B1872" s="1" t="str">
        <f ca="1">IFERROR(__xludf.DUMMYFUNCTION("""COMPUTED_VALUE"""),"SW1_KA02AC5939_JETTING")</f>
        <v>SW1_KA02AC5939_JETTING</v>
      </c>
      <c r="C1872" s="1" t="str">
        <f ca="1">IFERROR(__xludf.DUMMYFUNCTION("""COMPUTED_VALUE"""),"sw1_ka02ac5939_jetting")</f>
        <v>sw1_ka02ac5939_jetting</v>
      </c>
      <c r="D1872" s="2">
        <f ca="1">IFERROR(__xludf.DUMMYFUNCTION("""COMPUTED_VALUE"""),41640)</f>
        <v>41640</v>
      </c>
      <c r="E1872" s="3">
        <f ca="1">IFERROR(__xludf.DUMMYFUNCTION("""COMPUTED_VALUE"""),0.336828703704668)</f>
        <v>0.336828703704668</v>
      </c>
      <c r="F1872" s="1">
        <f ca="1">IFERROR(__xludf.DUMMYFUNCTION("""COMPUTED_VALUE"""),21485)</f>
        <v>21485</v>
      </c>
      <c r="G1872" s="1" t="str">
        <f ca="1">IFERROR(__xludf.DUMMYFUNCTION("""COMPUTED_VALUE"""),"12.9701/77.5834")</f>
        <v>12.9701/77.5834</v>
      </c>
      <c r="H1872" s="1" t="str">
        <f ca="1">IFERROR(__xludf.DUMMYFUNCTION("""COMPUTED_VALUE"""),"Cubbonpet")</f>
        <v>Cubbonpet</v>
      </c>
      <c r="I1872" s="1"/>
      <c r="J1872" s="1" t="str">
        <f ca="1">IFERROR(__xludf.DUMMYFUNCTION("""COMPUTED_VALUE"""),"0d 00h 00m")</f>
        <v>0d 00h 00m</v>
      </c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13.2">
      <c r="A1873" s="1">
        <f ca="1">IFERROR(__xludf.DUMMYFUNCTION("""COMPUTED_VALUE"""),50)</f>
        <v>50</v>
      </c>
      <c r="B1873" s="1" t="str">
        <f ca="1">IFERROR(__xludf.DUMMYFUNCTION("""COMPUTED_VALUE"""),"SW1_KA02AC5939_JETTING")</f>
        <v>SW1_KA02AC5939_JETTING</v>
      </c>
      <c r="C1873" s="1" t="str">
        <f ca="1">IFERROR(__xludf.DUMMYFUNCTION("""COMPUTED_VALUE"""),"sw1_ka02ac5939_jetting")</f>
        <v>sw1_ka02ac5939_jetting</v>
      </c>
      <c r="D1873" s="2">
        <f ca="1">IFERROR(__xludf.DUMMYFUNCTION("""COMPUTED_VALUE"""),41640)</f>
        <v>41640</v>
      </c>
      <c r="E1873" s="3">
        <f ca="1">IFERROR(__xludf.DUMMYFUNCTION("""COMPUTED_VALUE"""),0.336828703704668)</f>
        <v>0.336828703704668</v>
      </c>
      <c r="F1873" s="1">
        <f ca="1">IFERROR(__xludf.DUMMYFUNCTION("""COMPUTED_VALUE"""),21485)</f>
        <v>21485</v>
      </c>
      <c r="G1873" s="1" t="str">
        <f ca="1">IFERROR(__xludf.DUMMYFUNCTION("""COMPUTED_VALUE"""),"12.9701/77.5834")</f>
        <v>12.9701/77.5834</v>
      </c>
      <c r="H1873" s="1" t="str">
        <f ca="1">IFERROR(__xludf.DUMMYFUNCTION("""COMPUTED_VALUE"""),"Cubbonpet")</f>
        <v>Cubbonpet</v>
      </c>
      <c r="I1873" s="1"/>
      <c r="J1873" s="1" t="str">
        <f ca="1">IFERROR(__xludf.DUMMYFUNCTION("""COMPUTED_VALUE"""),"0d 00h 00m")</f>
        <v>0d 00h 00m</v>
      </c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13.2">
      <c r="A1874" s="1">
        <f ca="1">IFERROR(__xludf.DUMMYFUNCTION("""COMPUTED_VALUE"""),50)</f>
        <v>50</v>
      </c>
      <c r="B1874" s="1" t="str">
        <f ca="1">IFERROR(__xludf.DUMMYFUNCTION("""COMPUTED_VALUE"""),"SW1_KA02AC5939_JETTING")</f>
        <v>SW1_KA02AC5939_JETTING</v>
      </c>
      <c r="C1874" s="1" t="str">
        <f ca="1">IFERROR(__xludf.DUMMYFUNCTION("""COMPUTED_VALUE"""),"sw1_ka02ac5939_jetting")</f>
        <v>sw1_ka02ac5939_jetting</v>
      </c>
      <c r="D1874" s="2">
        <f ca="1">IFERROR(__xludf.DUMMYFUNCTION("""COMPUTED_VALUE"""),41640)</f>
        <v>41640</v>
      </c>
      <c r="E1874" s="3">
        <f ca="1">IFERROR(__xludf.DUMMYFUNCTION("""COMPUTED_VALUE"""),0.336828703704668)</f>
        <v>0.336828703704668</v>
      </c>
      <c r="F1874" s="1">
        <f ca="1">IFERROR(__xludf.DUMMYFUNCTION("""COMPUTED_VALUE"""),21485)</f>
        <v>21485</v>
      </c>
      <c r="G1874" s="1" t="str">
        <f ca="1">IFERROR(__xludf.DUMMYFUNCTION("""COMPUTED_VALUE"""),"12.9701/77.5834")</f>
        <v>12.9701/77.5834</v>
      </c>
      <c r="H1874" s="1" t="str">
        <f ca="1">IFERROR(__xludf.DUMMYFUNCTION("""COMPUTED_VALUE"""),"Cubbonpet")</f>
        <v>Cubbonpet</v>
      </c>
      <c r="I1874" s="1"/>
      <c r="J1874" s="1" t="str">
        <f ca="1">IFERROR(__xludf.DUMMYFUNCTION("""COMPUTED_VALUE"""),"0d 00h 00m")</f>
        <v>0d 00h 00m</v>
      </c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13.2">
      <c r="A1875" s="1">
        <f ca="1">IFERROR(__xludf.DUMMYFUNCTION("""COMPUTED_VALUE"""),75)</f>
        <v>75</v>
      </c>
      <c r="B1875" s="1" t="str">
        <f ca="1">IFERROR(__xludf.DUMMYFUNCTION("""COMPUTED_VALUE"""),"SW1_KA04A3045_Jetting")</f>
        <v>SW1_KA04A3045_Jetting</v>
      </c>
      <c r="C1875" s="1" t="str">
        <f ca="1">IFERROR(__xludf.DUMMYFUNCTION("""COMPUTED_VALUE"""),"sw1_ka04a3045_jetting")</f>
        <v>sw1_ka04a3045_jetting</v>
      </c>
      <c r="D1875" s="2">
        <f ca="1">IFERROR(__xludf.DUMMYFUNCTION("""COMPUTED_VALUE"""),44693)</f>
        <v>44693</v>
      </c>
      <c r="E1875" s="3">
        <f ca="1">IFERROR(__xludf.DUMMYFUNCTION("""COMPUTED_VALUE"""),0.562754629630944)</f>
        <v>0.56275462963094403</v>
      </c>
      <c r="F1875" s="1">
        <f ca="1">IFERROR(__xludf.DUMMYFUNCTION("""COMPUTED_VALUE"""),19411)</f>
        <v>19411</v>
      </c>
      <c r="G1875" s="1" t="str">
        <f ca="1">IFERROR(__xludf.DUMMYFUNCTION("""COMPUTED_VALUE"""),"12.9569/77.5801")</f>
        <v>12.9569/77.5801</v>
      </c>
      <c r="H1875" s="1" t="str">
        <f ca="1">IFERROR(__xludf.DUMMYFUNCTION("""COMPUTED_VALUE"""),"Pai Viceroy")</f>
        <v>Pai Viceroy</v>
      </c>
      <c r="I1875" s="1"/>
      <c r="J1875" s="1" t="str">
        <f ca="1">IFERROR(__xludf.DUMMYFUNCTION("""COMPUTED_VALUE"""),"11d 20h 00m")</f>
        <v>11d 20h 00m</v>
      </c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13.2">
      <c r="A1876" s="1">
        <f ca="1">IFERROR(__xludf.DUMMYFUNCTION("""COMPUTED_VALUE"""),104)</f>
        <v>104</v>
      </c>
      <c r="B1876" s="1" t="str">
        <f ca="1">IFERROR(__xludf.DUMMYFUNCTION("""COMPUTED_VALUE"""),"SW1_KA04A3045_Jetting")</f>
        <v>SW1_KA04A3045_Jetting</v>
      </c>
      <c r="C1876" s="1" t="str">
        <f ca="1">IFERROR(__xludf.DUMMYFUNCTION("""COMPUTED_VALUE"""),"sw1_ka04a3045_jetting")</f>
        <v>sw1_ka04a3045_jetting</v>
      </c>
      <c r="D1876" s="2">
        <f ca="1">IFERROR(__xludf.DUMMYFUNCTION("""COMPUTED_VALUE"""),44734)</f>
        <v>44734</v>
      </c>
      <c r="E1876" s="3">
        <f ca="1">IFERROR(__xludf.DUMMYFUNCTION("""COMPUTED_VALUE"""),0.477476851850951)</f>
        <v>0.47747685185095101</v>
      </c>
      <c r="F1876" s="1">
        <f ca="1">IFERROR(__xludf.DUMMYFUNCTION("""COMPUTED_VALUE"""),19427)</f>
        <v>19427</v>
      </c>
      <c r="G1876" s="1" t="str">
        <f ca="1">IFERROR(__xludf.DUMMYFUNCTION("""COMPUTED_VALUE"""),"12.9560/77.5891")</f>
        <v>12.9560/77.5891</v>
      </c>
      <c r="H1876" s="1" t="str">
        <f ca="1">IFERROR(__xludf.DUMMYFUNCTION("""COMPUTED_VALUE"""),"Pai Vaibhav")</f>
        <v>Pai Vaibhav</v>
      </c>
      <c r="I1876" s="1"/>
      <c r="J1876" s="1" t="str">
        <f ca="1">IFERROR(__xludf.DUMMYFUNCTION("""COMPUTED_VALUE"""),"11d 20h 01m")</f>
        <v>11d 20h 01m</v>
      </c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13.2">
      <c r="A1877" s="1">
        <f ca="1">IFERROR(__xludf.DUMMYFUNCTION("""COMPUTED_VALUE"""),87)</f>
        <v>87</v>
      </c>
      <c r="B1877" s="1" t="str">
        <f ca="1">IFERROR(__xludf.DUMMYFUNCTION("""COMPUTED_VALUE"""),"SW1_KA04A3045_Jetting")</f>
        <v>SW1_KA04A3045_Jetting</v>
      </c>
      <c r="C1877" s="1" t="str">
        <f ca="1">IFERROR(__xludf.DUMMYFUNCTION("""COMPUTED_VALUE"""),"sw1_ka04a3045_jetting")</f>
        <v>sw1_ka04a3045_jetting</v>
      </c>
      <c r="D1877" s="2">
        <f ca="1">IFERROR(__xludf.DUMMYFUNCTION("""COMPUTED_VALUE"""),44753)</f>
        <v>44753</v>
      </c>
      <c r="E1877" s="3">
        <f ca="1">IFERROR(__xludf.DUMMYFUNCTION("""COMPUTED_VALUE"""),0.648993055554456)</f>
        <v>0.64899305555445597</v>
      </c>
      <c r="F1877" s="1">
        <f ca="1">IFERROR(__xludf.DUMMYFUNCTION("""COMPUTED_VALUE"""),19430)</f>
        <v>19430</v>
      </c>
      <c r="G1877" s="1" t="str">
        <f ca="1">IFERROR(__xludf.DUMMYFUNCTION("""COMPUTED_VALUE"""),"12.9500/77.5717")</f>
        <v>12.9500/77.5717</v>
      </c>
      <c r="H1877" s="1" t="str">
        <f ca="1">IFERROR(__xludf.DUMMYFUNCTION("""COMPUTED_VALUE"""),"ShankaraPuram")</f>
        <v>ShankaraPuram</v>
      </c>
      <c r="I1877" s="1"/>
      <c r="J1877" s="1" t="str">
        <f ca="1">IFERROR(__xludf.DUMMYFUNCTION("""COMPUTED_VALUE"""),"11d 20h 01m")</f>
        <v>11d 20h 01m</v>
      </c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13.2">
      <c r="A1878" s="1">
        <f ca="1">IFERROR(__xludf.DUMMYFUNCTION("""COMPUTED_VALUE"""),92)</f>
        <v>92</v>
      </c>
      <c r="B1878" s="1" t="str">
        <f ca="1">IFERROR(__xludf.DUMMYFUNCTION("""COMPUTED_VALUE"""),"SW1_KA04A3045_Jetting")</f>
        <v>SW1_KA04A3045_Jetting</v>
      </c>
      <c r="C1878" s="1" t="str">
        <f ca="1">IFERROR(__xludf.DUMMYFUNCTION("""COMPUTED_VALUE"""),"sw1_ka04a3045_jetting")</f>
        <v>sw1_ka04a3045_jetting</v>
      </c>
      <c r="D1878" s="2">
        <f ca="1">IFERROR(__xludf.DUMMYFUNCTION("""COMPUTED_VALUE"""),44778)</f>
        <v>44778</v>
      </c>
      <c r="E1878" s="3">
        <f ca="1">IFERROR(__xludf.DUMMYFUNCTION("""COMPUTED_VALUE"""),0.411250000001018)</f>
        <v>0.41125000000101802</v>
      </c>
      <c r="F1878" s="1">
        <f ca="1">IFERROR(__xludf.DUMMYFUNCTION("""COMPUTED_VALUE"""),19431)</f>
        <v>19431</v>
      </c>
      <c r="G1878" s="1" t="str">
        <f ca="1">IFERROR(__xludf.DUMMYFUNCTION("""COMPUTED_VALUE"""),"12.9511/77.5654")</f>
        <v>12.9511/77.5654</v>
      </c>
      <c r="H1878" s="1" t="str">
        <f ca="1">IFERROR(__xludf.DUMMYFUNCTION("""COMPUTED_VALUE"""),"Ramakrishna Ashram")</f>
        <v>Ramakrishna Ashram</v>
      </c>
      <c r="I1878" s="1"/>
      <c r="J1878" s="1" t="str">
        <f ca="1">IFERROR(__xludf.DUMMYFUNCTION("""COMPUTED_VALUE"""),"11d 20h 02m")</f>
        <v>11d 20h 02m</v>
      </c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13.2">
      <c r="A1879" s="1">
        <f ca="1">IFERROR(__xludf.DUMMYFUNCTION("""COMPUTED_VALUE"""),95)</f>
        <v>95</v>
      </c>
      <c r="B1879" s="1" t="str">
        <f ca="1">IFERROR(__xludf.DUMMYFUNCTION("""COMPUTED_VALUE"""),"SW1_KA04A3045_Jetting")</f>
        <v>SW1_KA04A3045_Jetting</v>
      </c>
      <c r="C1879" s="1" t="str">
        <f ca="1">IFERROR(__xludf.DUMMYFUNCTION("""COMPUTED_VALUE"""),"sw1_ka04a3045_jetting")</f>
        <v>sw1_ka04a3045_jetting</v>
      </c>
      <c r="D1879" s="2">
        <f ca="1">IFERROR(__xludf.DUMMYFUNCTION("""COMPUTED_VALUE"""),44817)</f>
        <v>44817</v>
      </c>
      <c r="E1879" s="3">
        <f ca="1">IFERROR(__xludf.DUMMYFUNCTION("""COMPUTED_VALUE"""),0.789525462962046)</f>
        <v>0.78952546296204595</v>
      </c>
      <c r="F1879" s="1">
        <f ca="1">IFERROR(__xludf.DUMMYFUNCTION("""COMPUTED_VALUE"""),19433)</f>
        <v>19433</v>
      </c>
      <c r="G1879" s="1" t="str">
        <f ca="1">IFERROR(__xludf.DUMMYFUNCTION("""COMPUTED_VALUE"""),"12.9426/77.5769")</f>
        <v>12.9426/77.5769</v>
      </c>
      <c r="H1879" s="1" t="str">
        <f ca="1">IFERROR(__xludf.DUMMYFUNCTION("""COMPUTED_VALUE"""),"Venus Residency")</f>
        <v>Venus Residency</v>
      </c>
      <c r="I1879" s="1"/>
      <c r="J1879" s="1" t="str">
        <f ca="1">IFERROR(__xludf.DUMMYFUNCTION("""COMPUTED_VALUE"""),"11d 20h 03m")</f>
        <v>11d 20h 03m</v>
      </c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13.2">
      <c r="A1880" s="1">
        <f ca="1">IFERROR(__xludf.DUMMYFUNCTION("""COMPUTED_VALUE"""),91)</f>
        <v>91</v>
      </c>
      <c r="B1880" s="1" t="str">
        <f ca="1">IFERROR(__xludf.DUMMYFUNCTION("""COMPUTED_VALUE"""),"SW1_KA04A3045_Jetting")</f>
        <v>SW1_KA04A3045_Jetting</v>
      </c>
      <c r="C1880" s="1" t="str">
        <f ca="1">IFERROR(__xludf.DUMMYFUNCTION("""COMPUTED_VALUE"""),"sw1_ka04a3045_jetting")</f>
        <v>sw1_ka04a3045_jetting</v>
      </c>
      <c r="D1880" s="2">
        <f ca="1">IFERROR(__xludf.DUMMYFUNCTION("""COMPUTED_VALUE"""),44853)</f>
        <v>44853</v>
      </c>
      <c r="E1880" s="3">
        <f ca="1">IFERROR(__xludf.DUMMYFUNCTION("""COMPUTED_VALUE"""),0.252789351852698)</f>
        <v>0.25278935185269802</v>
      </c>
      <c r="F1880" s="1">
        <f ca="1">IFERROR(__xludf.DUMMYFUNCTION("""COMPUTED_VALUE"""),19437)</f>
        <v>19437</v>
      </c>
      <c r="G1880" s="1" t="str">
        <f ca="1">IFERROR(__xludf.DUMMYFUNCTION("""COMPUTED_VALUE"""),"12.9701/77.5915")</f>
        <v>12.9701/77.5915</v>
      </c>
      <c r="H1880" s="1" t="str">
        <f ca="1">IFERROR(__xludf.DUMMYFUNCTION("""COMPUTED_VALUE"""),"Iris Hotel")</f>
        <v>Iris Hotel</v>
      </c>
      <c r="I1880" s="1"/>
      <c r="J1880" s="1" t="str">
        <f ca="1">IFERROR(__xludf.DUMMYFUNCTION("""COMPUTED_VALUE"""),"11d 20h 04m")</f>
        <v>11d 20h 04m</v>
      </c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13.2">
      <c r="A1881" s="1">
        <f ca="1">IFERROR(__xludf.DUMMYFUNCTION("""COMPUTED_VALUE"""),131)</f>
        <v>131</v>
      </c>
      <c r="B1881" s="1" t="str">
        <f ca="1">IFERROR(__xludf.DUMMYFUNCTION("""COMPUTED_VALUE"""),"SW1_KA04A7291_JETTING")</f>
        <v>SW1_KA04A7291_JETTING</v>
      </c>
      <c r="C1881" s="1" t="str">
        <f ca="1">IFERROR(__xludf.DUMMYFUNCTION("""COMPUTED_VALUE"""),"sw1_ka04a7291_jetting")</f>
        <v>sw1_ka04a7291_jetting</v>
      </c>
      <c r="D1881" s="2">
        <f ca="1">IFERROR(__xludf.DUMMYFUNCTION("""COMPUTED_VALUE"""),44915)</f>
        <v>44915</v>
      </c>
      <c r="E1881" s="3">
        <f ca="1">IFERROR(__xludf.DUMMYFUNCTION("""COMPUTED_VALUE"""),0.516921296297368)</f>
        <v>0.51692129629736805</v>
      </c>
      <c r="F1881" s="1">
        <f ca="1">IFERROR(__xludf.DUMMYFUNCTION("""COMPUTED_VALUE"""),12567)</f>
        <v>12567</v>
      </c>
      <c r="G1881" s="1" t="str">
        <f ca="1">IFERROR(__xludf.DUMMYFUNCTION("""COMPUTED_VALUE"""),"12.9806/77.5731")</f>
        <v>12.9806/77.5731</v>
      </c>
      <c r="H1881" s="1" t="str">
        <f ca="1">IFERROR(__xludf.DUMMYFUNCTION("""COMPUTED_VALUE"""),"Hotel Rajmahal")</f>
        <v>Hotel Rajmahal</v>
      </c>
      <c r="I1881" s="1"/>
      <c r="J1881" s="1" t="str">
        <f ca="1">IFERROR(__xludf.DUMMYFUNCTION("""COMPUTED_VALUE"""),"455d 23h 03m")</f>
        <v>455d 23h 03m</v>
      </c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13.2">
      <c r="A1882" s="1">
        <f ca="1">IFERROR(__xludf.DUMMYFUNCTION("""COMPUTED_VALUE"""),130)</f>
        <v>130</v>
      </c>
      <c r="B1882" s="1" t="str">
        <f ca="1">IFERROR(__xludf.DUMMYFUNCTION("""COMPUTED_VALUE"""),"SW1_KA04A7291_JETTING")</f>
        <v>SW1_KA04A7291_JETTING</v>
      </c>
      <c r="C1882" s="1" t="str">
        <f ca="1">IFERROR(__xludf.DUMMYFUNCTION("""COMPUTED_VALUE"""),"sw1_ka04a7291_jetting")</f>
        <v>sw1_ka04a7291_jetting</v>
      </c>
      <c r="D1882" s="2">
        <f ca="1">IFERROR(__xludf.DUMMYFUNCTION("""COMPUTED_VALUE"""),44915)</f>
        <v>44915</v>
      </c>
      <c r="E1882" s="3">
        <f ca="1">IFERROR(__xludf.DUMMYFUNCTION("""COMPUTED_VALUE"""),0.516921296297368)</f>
        <v>0.51692129629736805</v>
      </c>
      <c r="F1882" s="1">
        <f ca="1">IFERROR(__xludf.DUMMYFUNCTION("""COMPUTED_VALUE"""),12567)</f>
        <v>12567</v>
      </c>
      <c r="G1882" s="1" t="str">
        <f ca="1">IFERROR(__xludf.DUMMYFUNCTION("""COMPUTED_VALUE"""),"12.9806/77.5731")</f>
        <v>12.9806/77.5731</v>
      </c>
      <c r="H1882" s="1" t="str">
        <f ca="1">IFERROR(__xludf.DUMMYFUNCTION("""COMPUTED_VALUE"""),"Hotel Rajmahal")</f>
        <v>Hotel Rajmahal</v>
      </c>
      <c r="I1882" s="1"/>
      <c r="J1882" s="1" t="str">
        <f ca="1">IFERROR(__xludf.DUMMYFUNCTION("""COMPUTED_VALUE"""),"455d 23h 05m")</f>
        <v>455d 23h 05m</v>
      </c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13.2">
      <c r="A1883" s="1">
        <f ca="1">IFERROR(__xludf.DUMMYFUNCTION("""COMPUTED_VALUE"""),128)</f>
        <v>128</v>
      </c>
      <c r="B1883" s="1" t="str">
        <f ca="1">IFERROR(__xludf.DUMMYFUNCTION("""COMPUTED_VALUE"""),"SW1_KA04A7291_JETTING")</f>
        <v>SW1_KA04A7291_JETTING</v>
      </c>
      <c r="C1883" s="1" t="str">
        <f ca="1">IFERROR(__xludf.DUMMYFUNCTION("""COMPUTED_VALUE"""),"sw1_ka04a7291_jetting")</f>
        <v>sw1_ka04a7291_jetting</v>
      </c>
      <c r="D1883" s="2">
        <f ca="1">IFERROR(__xludf.DUMMYFUNCTION("""COMPUTED_VALUE"""),44915)</f>
        <v>44915</v>
      </c>
      <c r="E1883" s="3">
        <f ca="1">IFERROR(__xludf.DUMMYFUNCTION("""COMPUTED_VALUE"""),0.516921296297368)</f>
        <v>0.51692129629736805</v>
      </c>
      <c r="F1883" s="1">
        <f ca="1">IFERROR(__xludf.DUMMYFUNCTION("""COMPUTED_VALUE"""),12567)</f>
        <v>12567</v>
      </c>
      <c r="G1883" s="1" t="str">
        <f ca="1">IFERROR(__xludf.DUMMYFUNCTION("""COMPUTED_VALUE"""),"12.9806/77.5731")</f>
        <v>12.9806/77.5731</v>
      </c>
      <c r="H1883" s="1" t="str">
        <f ca="1">IFERROR(__xludf.DUMMYFUNCTION("""COMPUTED_VALUE"""),"Hotel Rajmahal")</f>
        <v>Hotel Rajmahal</v>
      </c>
      <c r="I1883" s="1"/>
      <c r="J1883" s="1" t="str">
        <f ca="1">IFERROR(__xludf.DUMMYFUNCTION("""COMPUTED_VALUE"""),"455d 23h 06m")</f>
        <v>455d 23h 06m</v>
      </c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13.2">
      <c r="A1884" s="1">
        <f ca="1">IFERROR(__xludf.DUMMYFUNCTION("""COMPUTED_VALUE"""),125)</f>
        <v>125</v>
      </c>
      <c r="B1884" s="1" t="str">
        <f ca="1">IFERROR(__xludf.DUMMYFUNCTION("""COMPUTED_VALUE"""),"SW1_KA04A7291_JETTING")</f>
        <v>SW1_KA04A7291_JETTING</v>
      </c>
      <c r="C1884" s="1" t="str">
        <f ca="1">IFERROR(__xludf.DUMMYFUNCTION("""COMPUTED_VALUE"""),"sw1_ka04a7291_jetting")</f>
        <v>sw1_ka04a7291_jetting</v>
      </c>
      <c r="D1884" s="2">
        <f ca="1">IFERROR(__xludf.DUMMYFUNCTION("""COMPUTED_VALUE"""),44915)</f>
        <v>44915</v>
      </c>
      <c r="E1884" s="3">
        <f ca="1">IFERROR(__xludf.DUMMYFUNCTION("""COMPUTED_VALUE"""),0.516921296297368)</f>
        <v>0.51692129629736805</v>
      </c>
      <c r="F1884" s="1">
        <f ca="1">IFERROR(__xludf.DUMMYFUNCTION("""COMPUTED_VALUE"""),12567)</f>
        <v>12567</v>
      </c>
      <c r="G1884" s="1" t="str">
        <f ca="1">IFERROR(__xludf.DUMMYFUNCTION("""COMPUTED_VALUE"""),"12.9806/77.5731")</f>
        <v>12.9806/77.5731</v>
      </c>
      <c r="H1884" s="1" t="str">
        <f ca="1">IFERROR(__xludf.DUMMYFUNCTION("""COMPUTED_VALUE"""),"Hotel Rajmahal")</f>
        <v>Hotel Rajmahal</v>
      </c>
      <c r="I1884" s="1"/>
      <c r="J1884" s="1" t="str">
        <f ca="1">IFERROR(__xludf.DUMMYFUNCTION("""COMPUTED_VALUE"""),"455d 23h 07m")</f>
        <v>455d 23h 07m</v>
      </c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13.2">
      <c r="A1885" s="1">
        <f ca="1">IFERROR(__xludf.DUMMYFUNCTION("""COMPUTED_VALUE"""),125)</f>
        <v>125</v>
      </c>
      <c r="B1885" s="1" t="str">
        <f ca="1">IFERROR(__xludf.DUMMYFUNCTION("""COMPUTED_VALUE"""),"SW1_KA04A7291_JETTING")</f>
        <v>SW1_KA04A7291_JETTING</v>
      </c>
      <c r="C1885" s="1" t="str">
        <f ca="1">IFERROR(__xludf.DUMMYFUNCTION("""COMPUTED_VALUE"""),"sw1_ka04a7291_jetting")</f>
        <v>sw1_ka04a7291_jetting</v>
      </c>
      <c r="D1885" s="2">
        <f ca="1">IFERROR(__xludf.DUMMYFUNCTION("""COMPUTED_VALUE"""),44915)</f>
        <v>44915</v>
      </c>
      <c r="E1885" s="3">
        <f ca="1">IFERROR(__xludf.DUMMYFUNCTION("""COMPUTED_VALUE"""),0.516921296297368)</f>
        <v>0.51692129629736805</v>
      </c>
      <c r="F1885" s="1">
        <f ca="1">IFERROR(__xludf.DUMMYFUNCTION("""COMPUTED_VALUE"""),12567)</f>
        <v>12567</v>
      </c>
      <c r="G1885" s="1" t="str">
        <f ca="1">IFERROR(__xludf.DUMMYFUNCTION("""COMPUTED_VALUE"""),"12.9806/77.5731")</f>
        <v>12.9806/77.5731</v>
      </c>
      <c r="H1885" s="1" t="str">
        <f ca="1">IFERROR(__xludf.DUMMYFUNCTION("""COMPUTED_VALUE"""),"Hotel Rajmahal")</f>
        <v>Hotel Rajmahal</v>
      </c>
      <c r="I1885" s="1"/>
      <c r="J1885" s="1" t="str">
        <f ca="1">IFERROR(__xludf.DUMMYFUNCTION("""COMPUTED_VALUE"""),"455d 23h 08m")</f>
        <v>455d 23h 08m</v>
      </c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13.2">
      <c r="A1886" s="1">
        <f ca="1">IFERROR(__xludf.DUMMYFUNCTION("""COMPUTED_VALUE"""),31)</f>
        <v>31</v>
      </c>
      <c r="B1886" s="1" t="str">
        <f ca="1">IFERROR(__xludf.DUMMYFUNCTION("""COMPUTED_VALUE"""),"SW1_KA04A9520_Jetting")</f>
        <v>SW1_KA04A9520_Jetting</v>
      </c>
      <c r="C1886" s="1" t="str">
        <f ca="1">IFERROR(__xludf.DUMMYFUNCTION("""COMPUTED_VALUE"""),"sw1_ka04a9520_jetting")</f>
        <v>sw1_ka04a9520_jetting</v>
      </c>
      <c r="D1886" s="2">
        <f ca="1">IFERROR(__xludf.DUMMYFUNCTION("""COMPUTED_VALUE"""),44208)</f>
        <v>44208</v>
      </c>
      <c r="E1886" s="3">
        <f ca="1">IFERROR(__xludf.DUMMYFUNCTION("""COMPUTED_VALUE"""),0.512488425927585)</f>
        <v>0.51248842592758503</v>
      </c>
      <c r="F1886" s="1">
        <f ca="1">IFERROR(__xludf.DUMMYFUNCTION("""COMPUTED_VALUE"""),9897)</f>
        <v>9897</v>
      </c>
      <c r="G1886" s="1" t="str">
        <f ca="1">IFERROR(__xludf.DUMMYFUNCTION("""COMPUTED_VALUE"""),"12.9777/77.4387")</f>
        <v>12.9777/77.4387</v>
      </c>
      <c r="H1886" s="1" t="str">
        <f ca="1">IFERROR(__xludf.DUMMYFUNCTION("""COMPUTED_VALUE"""),"Bayandhalli")</f>
        <v>Bayandhalli</v>
      </c>
      <c r="I1886" s="1"/>
      <c r="J1886" s="1" t="str">
        <f ca="1">IFERROR(__xludf.DUMMYFUNCTION("""COMPUTED_VALUE"""),"708d 22h 11m")</f>
        <v>708d 22h 11m</v>
      </c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13.2">
      <c r="A1887" s="1">
        <f ca="1">IFERROR(__xludf.DUMMYFUNCTION("""COMPUTED_VALUE"""),30)</f>
        <v>30</v>
      </c>
      <c r="B1887" s="1" t="str">
        <f ca="1">IFERROR(__xludf.DUMMYFUNCTION("""COMPUTED_VALUE"""),"SW1_KA04A9520_Jetting")</f>
        <v>SW1_KA04A9520_Jetting</v>
      </c>
      <c r="C1887" s="1" t="str">
        <f ca="1">IFERROR(__xludf.DUMMYFUNCTION("""COMPUTED_VALUE"""),"sw1_ka04a9520_jetting")</f>
        <v>sw1_ka04a9520_jetting</v>
      </c>
      <c r="D1887" s="2">
        <f ca="1">IFERROR(__xludf.DUMMYFUNCTION("""COMPUTED_VALUE"""),44208)</f>
        <v>44208</v>
      </c>
      <c r="E1887" s="3">
        <f ca="1">IFERROR(__xludf.DUMMYFUNCTION("""COMPUTED_VALUE"""),0.512488425927585)</f>
        <v>0.51248842592758503</v>
      </c>
      <c r="F1887" s="1">
        <f ca="1">IFERROR(__xludf.DUMMYFUNCTION("""COMPUTED_VALUE"""),9897)</f>
        <v>9897</v>
      </c>
      <c r="G1887" s="1" t="str">
        <f ca="1">IFERROR(__xludf.DUMMYFUNCTION("""COMPUTED_VALUE"""),"12.9777/77.4387")</f>
        <v>12.9777/77.4387</v>
      </c>
      <c r="H1887" s="1" t="str">
        <f ca="1">IFERROR(__xludf.DUMMYFUNCTION("""COMPUTED_VALUE"""),"Bayandhalli")</f>
        <v>Bayandhalli</v>
      </c>
      <c r="I1887" s="1"/>
      <c r="J1887" s="1" t="str">
        <f ca="1">IFERROR(__xludf.DUMMYFUNCTION("""COMPUTED_VALUE"""),"708d 22h 12m")</f>
        <v>708d 22h 12m</v>
      </c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13.2">
      <c r="A1888" s="1">
        <f ca="1">IFERROR(__xludf.DUMMYFUNCTION("""COMPUTED_VALUE"""),30)</f>
        <v>30</v>
      </c>
      <c r="B1888" s="1" t="str">
        <f ca="1">IFERROR(__xludf.DUMMYFUNCTION("""COMPUTED_VALUE"""),"SW1_KA04A9520_Jetting")</f>
        <v>SW1_KA04A9520_Jetting</v>
      </c>
      <c r="C1888" s="1" t="str">
        <f ca="1">IFERROR(__xludf.DUMMYFUNCTION("""COMPUTED_VALUE"""),"sw1_ka04a9520_jetting")</f>
        <v>sw1_ka04a9520_jetting</v>
      </c>
      <c r="D1888" s="2">
        <f ca="1">IFERROR(__xludf.DUMMYFUNCTION("""COMPUTED_VALUE"""),44208)</f>
        <v>44208</v>
      </c>
      <c r="E1888" s="3">
        <f ca="1">IFERROR(__xludf.DUMMYFUNCTION("""COMPUTED_VALUE"""),0.512488425927585)</f>
        <v>0.51248842592758503</v>
      </c>
      <c r="F1888" s="1">
        <f ca="1">IFERROR(__xludf.DUMMYFUNCTION("""COMPUTED_VALUE"""),9897)</f>
        <v>9897</v>
      </c>
      <c r="G1888" s="1" t="str">
        <f ca="1">IFERROR(__xludf.DUMMYFUNCTION("""COMPUTED_VALUE"""),"12.9777/77.4387")</f>
        <v>12.9777/77.4387</v>
      </c>
      <c r="H1888" s="1" t="str">
        <f ca="1">IFERROR(__xludf.DUMMYFUNCTION("""COMPUTED_VALUE"""),"Bayandhalli")</f>
        <v>Bayandhalli</v>
      </c>
      <c r="I1888" s="1"/>
      <c r="J1888" s="1" t="str">
        <f ca="1">IFERROR(__xludf.DUMMYFUNCTION("""COMPUTED_VALUE"""),"708d 22h 13m")</f>
        <v>708d 22h 13m</v>
      </c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13.2">
      <c r="A1889" s="1">
        <f ca="1">IFERROR(__xludf.DUMMYFUNCTION("""COMPUTED_VALUE"""),30)</f>
        <v>30</v>
      </c>
      <c r="B1889" s="1" t="str">
        <f ca="1">IFERROR(__xludf.DUMMYFUNCTION("""COMPUTED_VALUE"""),"SW1_KA04A9520_Jetting")</f>
        <v>SW1_KA04A9520_Jetting</v>
      </c>
      <c r="C1889" s="1" t="str">
        <f ca="1">IFERROR(__xludf.DUMMYFUNCTION("""COMPUTED_VALUE"""),"sw1_ka04a9520_jetting")</f>
        <v>sw1_ka04a9520_jetting</v>
      </c>
      <c r="D1889" s="2">
        <f ca="1">IFERROR(__xludf.DUMMYFUNCTION("""COMPUTED_VALUE"""),44208)</f>
        <v>44208</v>
      </c>
      <c r="E1889" s="3">
        <f ca="1">IFERROR(__xludf.DUMMYFUNCTION("""COMPUTED_VALUE"""),0.512488425927585)</f>
        <v>0.51248842592758503</v>
      </c>
      <c r="F1889" s="1">
        <f ca="1">IFERROR(__xludf.DUMMYFUNCTION("""COMPUTED_VALUE"""),9897)</f>
        <v>9897</v>
      </c>
      <c r="G1889" s="1" t="str">
        <f ca="1">IFERROR(__xludf.DUMMYFUNCTION("""COMPUTED_VALUE"""),"12.9777/77.4387")</f>
        <v>12.9777/77.4387</v>
      </c>
      <c r="H1889" s="1" t="str">
        <f ca="1">IFERROR(__xludf.DUMMYFUNCTION("""COMPUTED_VALUE"""),"Bayandhalli")</f>
        <v>Bayandhalli</v>
      </c>
      <c r="I1889" s="1"/>
      <c r="J1889" s="1" t="str">
        <f ca="1">IFERROR(__xludf.DUMMYFUNCTION("""COMPUTED_VALUE"""),"708d 22h 14m")</f>
        <v>708d 22h 14m</v>
      </c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13.2">
      <c r="A1890" s="1">
        <f ca="1">IFERROR(__xludf.DUMMYFUNCTION("""COMPUTED_VALUE"""),30)</f>
        <v>30</v>
      </c>
      <c r="B1890" s="1" t="str">
        <f ca="1">IFERROR(__xludf.DUMMYFUNCTION("""COMPUTED_VALUE"""),"SW1_KA04A9520_Jetting")</f>
        <v>SW1_KA04A9520_Jetting</v>
      </c>
      <c r="C1890" s="1" t="str">
        <f ca="1">IFERROR(__xludf.DUMMYFUNCTION("""COMPUTED_VALUE"""),"sw1_ka04a9520_jetting")</f>
        <v>sw1_ka04a9520_jetting</v>
      </c>
      <c r="D1890" s="2">
        <f ca="1">IFERROR(__xludf.DUMMYFUNCTION("""COMPUTED_VALUE"""),44208)</f>
        <v>44208</v>
      </c>
      <c r="E1890" s="3">
        <f ca="1">IFERROR(__xludf.DUMMYFUNCTION("""COMPUTED_VALUE"""),0.512488425927585)</f>
        <v>0.51248842592758503</v>
      </c>
      <c r="F1890" s="1">
        <f ca="1">IFERROR(__xludf.DUMMYFUNCTION("""COMPUTED_VALUE"""),9897)</f>
        <v>9897</v>
      </c>
      <c r="G1890" s="1" t="str">
        <f ca="1">IFERROR(__xludf.DUMMYFUNCTION("""COMPUTED_VALUE"""),"12.9777/77.4387")</f>
        <v>12.9777/77.4387</v>
      </c>
      <c r="H1890" s="1" t="str">
        <f ca="1">IFERROR(__xludf.DUMMYFUNCTION("""COMPUTED_VALUE"""),"Bayandhalli")</f>
        <v>Bayandhalli</v>
      </c>
      <c r="I1890" s="1"/>
      <c r="J1890" s="1" t="str">
        <f ca="1">IFERROR(__xludf.DUMMYFUNCTION("""COMPUTED_VALUE"""),"708d 22h 14m")</f>
        <v>708d 22h 14m</v>
      </c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13.2">
      <c r="A1891" s="1">
        <f ca="1">IFERROR(__xludf.DUMMYFUNCTION("""COMPUTED_VALUE"""),30)</f>
        <v>30</v>
      </c>
      <c r="B1891" s="1" t="str">
        <f ca="1">IFERROR(__xludf.DUMMYFUNCTION("""COMPUTED_VALUE"""),"SW1_KA04A9520_Jetting")</f>
        <v>SW1_KA04A9520_Jetting</v>
      </c>
      <c r="C1891" s="1" t="str">
        <f ca="1">IFERROR(__xludf.DUMMYFUNCTION("""COMPUTED_VALUE"""),"sw1_ka04a9520_jetting")</f>
        <v>sw1_ka04a9520_jetting</v>
      </c>
      <c r="D1891" s="2">
        <f ca="1">IFERROR(__xludf.DUMMYFUNCTION("""COMPUTED_VALUE"""),44208)</f>
        <v>44208</v>
      </c>
      <c r="E1891" s="3">
        <f ca="1">IFERROR(__xludf.DUMMYFUNCTION("""COMPUTED_VALUE"""),0.512488425927585)</f>
        <v>0.51248842592758503</v>
      </c>
      <c r="F1891" s="1">
        <f ca="1">IFERROR(__xludf.DUMMYFUNCTION("""COMPUTED_VALUE"""),9897)</f>
        <v>9897</v>
      </c>
      <c r="G1891" s="1" t="str">
        <f ca="1">IFERROR(__xludf.DUMMYFUNCTION("""COMPUTED_VALUE"""),"12.9777/77.4387")</f>
        <v>12.9777/77.4387</v>
      </c>
      <c r="H1891" s="1" t="str">
        <f ca="1">IFERROR(__xludf.DUMMYFUNCTION("""COMPUTED_VALUE"""),"Bayandhalli")</f>
        <v>Bayandhalli</v>
      </c>
      <c r="I1891" s="1"/>
      <c r="J1891" s="1" t="str">
        <f ca="1">IFERROR(__xludf.DUMMYFUNCTION("""COMPUTED_VALUE"""),"708d 22h 15m")</f>
        <v>708d 22h 15m</v>
      </c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13.2">
      <c r="A1892" s="1">
        <f ca="1">IFERROR(__xludf.DUMMYFUNCTION("""COMPUTED_VALUE"""),74)</f>
        <v>74</v>
      </c>
      <c r="B1892" s="1" t="str">
        <f ca="1">IFERROR(__xludf.DUMMYFUNCTION("""COMPUTED_VALUE"""),"SW1_KA04A9522_Jetting")</f>
        <v>SW1_KA04A9522_Jetting</v>
      </c>
      <c r="C1892" s="1" t="str">
        <f ca="1">IFERROR(__xludf.DUMMYFUNCTION("""COMPUTED_VALUE"""),"sw1_ka04a9522_jetting")</f>
        <v>sw1_ka04a9522_jetting</v>
      </c>
      <c r="D1892" s="2">
        <f ca="1">IFERROR(__xludf.DUMMYFUNCTION("""COMPUTED_VALUE"""),44692)</f>
        <v>44692</v>
      </c>
      <c r="E1892" s="3">
        <f ca="1">IFERROR(__xludf.DUMMYFUNCTION("""COMPUTED_VALUE"""),0.747222222220443)</f>
        <v>0.74722222222044299</v>
      </c>
      <c r="F1892" s="1">
        <f ca="1">IFERROR(__xludf.DUMMYFUNCTION("""COMPUTED_VALUE"""),740122)</f>
        <v>740122</v>
      </c>
      <c r="G1892" s="1" t="str">
        <f ca="1">IFERROR(__xludf.DUMMYFUNCTION("""COMPUTED_VALUE"""),"12.9517/77.5771")</f>
        <v>12.9517/77.5771</v>
      </c>
      <c r="H1892" s="1" t="str">
        <f ca="1">IFERROR(__xludf.DUMMYFUNCTION("""COMPUTED_VALUE"""),"Sajjan Rao Circle")</f>
        <v>Sajjan Rao Circle</v>
      </c>
      <c r="I1892" s="1"/>
      <c r="J1892" s="1" t="str">
        <f ca="1">IFERROR(__xludf.DUMMYFUNCTION("""COMPUTED_VALUE"""),"190d 20h 13m")</f>
        <v>190d 20h 13m</v>
      </c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13.2">
      <c r="A1893" s="1">
        <f ca="1">IFERROR(__xludf.DUMMYFUNCTION("""COMPUTED_VALUE"""),82)</f>
        <v>82</v>
      </c>
      <c r="B1893" s="1" t="str">
        <f ca="1">IFERROR(__xludf.DUMMYFUNCTION("""COMPUTED_VALUE"""),"SW1_KA04A9522_Jetting")</f>
        <v>SW1_KA04A9522_Jetting</v>
      </c>
      <c r="C1893" s="1" t="str">
        <f ca="1">IFERROR(__xludf.DUMMYFUNCTION("""COMPUTED_VALUE"""),"sw1_ka04a9522_jetting")</f>
        <v>sw1_ka04a9522_jetting</v>
      </c>
      <c r="D1893" s="2">
        <f ca="1">IFERROR(__xludf.DUMMYFUNCTION("""COMPUTED_VALUE"""),44726)</f>
        <v>44726</v>
      </c>
      <c r="E1893" s="3">
        <f ca="1">IFERROR(__xludf.DUMMYFUNCTION("""COMPUTED_VALUE"""),0.595335648147738)</f>
        <v>0.59533564814773798</v>
      </c>
      <c r="F1893" s="1">
        <f ca="1">IFERROR(__xludf.DUMMYFUNCTION("""COMPUTED_VALUE"""),740150)</f>
        <v>740150</v>
      </c>
      <c r="G1893" s="1" t="str">
        <f ca="1">IFERROR(__xludf.DUMMYFUNCTION("""COMPUTED_VALUE"""),"12.9623/77.5785")</f>
        <v>12.9623/77.5785</v>
      </c>
      <c r="H1893" s="1" t="str">
        <f ca="1">IFERROR(__xludf.DUMMYFUNCTION("""COMPUTED_VALUE"""),"Hotel Sapphire")</f>
        <v>Hotel Sapphire</v>
      </c>
      <c r="I1893" s="1"/>
      <c r="J1893" s="1" t="str">
        <f ca="1">IFERROR(__xludf.DUMMYFUNCTION("""COMPUTED_VALUE"""),"190d 20h 15m")</f>
        <v>190d 20h 15m</v>
      </c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13.2">
      <c r="A1894" s="1">
        <f ca="1">IFERROR(__xludf.DUMMYFUNCTION("""COMPUTED_VALUE"""),61)</f>
        <v>61</v>
      </c>
      <c r="B1894" s="1" t="str">
        <f ca="1">IFERROR(__xludf.DUMMYFUNCTION("""COMPUTED_VALUE"""),"SW1_KA04A9522_Jetting")</f>
        <v>SW1_KA04A9522_Jetting</v>
      </c>
      <c r="C1894" s="1" t="str">
        <f ca="1">IFERROR(__xludf.DUMMYFUNCTION("""COMPUTED_VALUE"""),"sw1_ka04a9522_jetting")</f>
        <v>sw1_ka04a9522_jetting</v>
      </c>
      <c r="D1894" s="2">
        <f ca="1">IFERROR(__xludf.DUMMYFUNCTION("""COMPUTED_VALUE"""),44726)</f>
        <v>44726</v>
      </c>
      <c r="E1894" s="3">
        <f ca="1">IFERROR(__xludf.DUMMYFUNCTION("""COMPUTED_VALUE"""),0.595335648147738)</f>
        <v>0.59533564814773798</v>
      </c>
      <c r="F1894" s="1">
        <f ca="1">IFERROR(__xludf.DUMMYFUNCTION("""COMPUTED_VALUE"""),740150)</f>
        <v>740150</v>
      </c>
      <c r="G1894" s="1" t="str">
        <f ca="1">IFERROR(__xludf.DUMMYFUNCTION("""COMPUTED_VALUE"""),"12.9623/77.5785")</f>
        <v>12.9623/77.5785</v>
      </c>
      <c r="H1894" s="1" t="str">
        <f ca="1">IFERROR(__xludf.DUMMYFUNCTION("""COMPUTED_VALUE"""),"Hotel Sapphire")</f>
        <v>Hotel Sapphire</v>
      </c>
      <c r="I1894" s="1"/>
      <c r="J1894" s="1" t="str">
        <f ca="1">IFERROR(__xludf.DUMMYFUNCTION("""COMPUTED_VALUE"""),"190d 20h 15m")</f>
        <v>190d 20h 15m</v>
      </c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13.2">
      <c r="A1895" s="1">
        <f ca="1">IFERROR(__xludf.DUMMYFUNCTION("""COMPUTED_VALUE"""),58)</f>
        <v>58</v>
      </c>
      <c r="B1895" s="1" t="str">
        <f ca="1">IFERROR(__xludf.DUMMYFUNCTION("""COMPUTED_VALUE"""),"SW1_KA04A9522_Jetting")</f>
        <v>SW1_KA04A9522_Jetting</v>
      </c>
      <c r="C1895" s="1" t="str">
        <f ca="1">IFERROR(__xludf.DUMMYFUNCTION("""COMPUTED_VALUE"""),"sw1_ka04a9522_jetting")</f>
        <v>sw1_ka04a9522_jetting</v>
      </c>
      <c r="D1895" s="2">
        <f ca="1">IFERROR(__xludf.DUMMYFUNCTION("""COMPUTED_VALUE"""),44726)</f>
        <v>44726</v>
      </c>
      <c r="E1895" s="3">
        <f ca="1">IFERROR(__xludf.DUMMYFUNCTION("""COMPUTED_VALUE"""),0.595335648147738)</f>
        <v>0.59533564814773798</v>
      </c>
      <c r="F1895" s="1">
        <f ca="1">IFERROR(__xludf.DUMMYFUNCTION("""COMPUTED_VALUE"""),740150)</f>
        <v>740150</v>
      </c>
      <c r="G1895" s="1" t="str">
        <f ca="1">IFERROR(__xludf.DUMMYFUNCTION("""COMPUTED_VALUE"""),"12.9623/77.5785")</f>
        <v>12.9623/77.5785</v>
      </c>
      <c r="H1895" s="1" t="str">
        <f ca="1">IFERROR(__xludf.DUMMYFUNCTION("""COMPUTED_VALUE"""),"Hotel Sapphire")</f>
        <v>Hotel Sapphire</v>
      </c>
      <c r="I1895" s="1"/>
      <c r="J1895" s="1" t="str">
        <f ca="1">IFERROR(__xludf.DUMMYFUNCTION("""COMPUTED_VALUE"""),"190d 20h 16m")</f>
        <v>190d 20h 16m</v>
      </c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13.2">
      <c r="A1896" s="1">
        <f ca="1">IFERROR(__xludf.DUMMYFUNCTION("""COMPUTED_VALUE"""),48)</f>
        <v>48</v>
      </c>
      <c r="B1896" s="1" t="str">
        <f ca="1">IFERROR(__xludf.DUMMYFUNCTION("""COMPUTED_VALUE"""),"SW1_KA04A9522_Jetting")</f>
        <v>SW1_KA04A9522_Jetting</v>
      </c>
      <c r="C1896" s="1" t="str">
        <f ca="1">IFERROR(__xludf.DUMMYFUNCTION("""COMPUTED_VALUE"""),"sw1_ka04a9522_jetting")</f>
        <v>sw1_ka04a9522_jetting</v>
      </c>
      <c r="D1896" s="2">
        <f ca="1">IFERROR(__xludf.DUMMYFUNCTION("""COMPUTED_VALUE"""),44726)</f>
        <v>44726</v>
      </c>
      <c r="E1896" s="3">
        <f ca="1">IFERROR(__xludf.DUMMYFUNCTION("""COMPUTED_VALUE"""),0.595335648147738)</f>
        <v>0.59533564814773798</v>
      </c>
      <c r="F1896" s="1">
        <f ca="1">IFERROR(__xludf.DUMMYFUNCTION("""COMPUTED_VALUE"""),740150)</f>
        <v>740150</v>
      </c>
      <c r="G1896" s="1" t="str">
        <f ca="1">IFERROR(__xludf.DUMMYFUNCTION("""COMPUTED_VALUE"""),"12.9623/77.5785")</f>
        <v>12.9623/77.5785</v>
      </c>
      <c r="H1896" s="1" t="str">
        <f ca="1">IFERROR(__xludf.DUMMYFUNCTION("""COMPUTED_VALUE"""),"Hotel Sapphire")</f>
        <v>Hotel Sapphire</v>
      </c>
      <c r="I1896" s="1"/>
      <c r="J1896" s="1" t="str">
        <f ca="1">IFERROR(__xludf.DUMMYFUNCTION("""COMPUTED_VALUE"""),"190d 20h 17m")</f>
        <v>190d 20h 17m</v>
      </c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13.2">
      <c r="A1897" s="1">
        <f ca="1">IFERROR(__xludf.DUMMYFUNCTION("""COMPUTED_VALUE"""),48)</f>
        <v>48</v>
      </c>
      <c r="B1897" s="1" t="str">
        <f ca="1">IFERROR(__xludf.DUMMYFUNCTION("""COMPUTED_VALUE"""),"SW1_KA04A9522_Jetting")</f>
        <v>SW1_KA04A9522_Jetting</v>
      </c>
      <c r="C1897" s="1" t="str">
        <f ca="1">IFERROR(__xludf.DUMMYFUNCTION("""COMPUTED_VALUE"""),"sw1_ka04a9522_jetting")</f>
        <v>sw1_ka04a9522_jetting</v>
      </c>
      <c r="D1897" s="2">
        <f ca="1">IFERROR(__xludf.DUMMYFUNCTION("""COMPUTED_VALUE"""),44726)</f>
        <v>44726</v>
      </c>
      <c r="E1897" s="3">
        <f ca="1">IFERROR(__xludf.DUMMYFUNCTION("""COMPUTED_VALUE"""),0.595335648147738)</f>
        <v>0.59533564814773798</v>
      </c>
      <c r="F1897" s="1">
        <f ca="1">IFERROR(__xludf.DUMMYFUNCTION("""COMPUTED_VALUE"""),740150)</f>
        <v>740150</v>
      </c>
      <c r="G1897" s="1" t="str">
        <f ca="1">IFERROR(__xludf.DUMMYFUNCTION("""COMPUTED_VALUE"""),"12.9623/77.5785")</f>
        <v>12.9623/77.5785</v>
      </c>
      <c r="H1897" s="1" t="str">
        <f ca="1">IFERROR(__xludf.DUMMYFUNCTION("""COMPUTED_VALUE"""),"Hotel Sapphire")</f>
        <v>Hotel Sapphire</v>
      </c>
      <c r="I1897" s="1"/>
      <c r="J1897" s="1" t="str">
        <f ca="1">IFERROR(__xludf.DUMMYFUNCTION("""COMPUTED_VALUE"""),"190d 20h 18m")</f>
        <v>190d 20h 18m</v>
      </c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13.2">
      <c r="A1898" s="1">
        <f ca="1">IFERROR(__xludf.DUMMYFUNCTION("""COMPUTED_VALUE"""),127)</f>
        <v>127</v>
      </c>
      <c r="B1898" s="1" t="str">
        <f ca="1">IFERROR(__xludf.DUMMYFUNCTION("""COMPUTED_VALUE"""),"SW1_KA04AA7685_Desilting")</f>
        <v>SW1_KA04AA7685_Desilting</v>
      </c>
      <c r="C1898" s="1" t="str">
        <f ca="1">IFERROR(__xludf.DUMMYFUNCTION("""COMPUTED_VALUE"""),"sw1_ka04aa7685_desilting")</f>
        <v>sw1_ka04aa7685_desilting</v>
      </c>
      <c r="D1898" s="2">
        <f ca="1">IFERROR(__xludf.DUMMYFUNCTION("""COMPUTED_VALUE"""),44707)</f>
        <v>44707</v>
      </c>
      <c r="E1898" s="3">
        <f ca="1">IFERROR(__xludf.DUMMYFUNCTION("""COMPUTED_VALUE"""),0.578495370369637)</f>
        <v>0.57849537036963705</v>
      </c>
      <c r="F1898" s="1">
        <f ca="1">IFERROR(__xludf.DUMMYFUNCTION("""COMPUTED_VALUE"""),7314)</f>
        <v>7314</v>
      </c>
      <c r="G1898" s="1" t="str">
        <f ca="1">IFERROR(__xludf.DUMMYFUNCTION("""COMPUTED_VALUE"""),"12.9578/77.5660")</f>
        <v>12.9578/77.5660</v>
      </c>
      <c r="H1898" s="1" t="str">
        <f ca="1">IFERROR(__xludf.DUMMYFUNCTION("""COMPUTED_VALUE"""),"Raghavendra Colony")</f>
        <v>Raghavendra Colony</v>
      </c>
      <c r="I1898" s="1"/>
      <c r="J1898" s="1" t="str">
        <f ca="1">IFERROR(__xludf.DUMMYFUNCTION("""COMPUTED_VALUE"""),"13d 21h 27m")</f>
        <v>13d 21h 27m</v>
      </c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13.2">
      <c r="A1899" s="1">
        <f ca="1">IFERROR(__xludf.DUMMYFUNCTION("""COMPUTED_VALUE"""),118)</f>
        <v>118</v>
      </c>
      <c r="B1899" s="1" t="str">
        <f ca="1">IFERROR(__xludf.DUMMYFUNCTION("""COMPUTED_VALUE"""),"SW1_KA04AA7685_Desilting")</f>
        <v>SW1_KA04AA7685_Desilting</v>
      </c>
      <c r="C1899" s="1" t="str">
        <f ca="1">IFERROR(__xludf.DUMMYFUNCTION("""COMPUTED_VALUE"""),"sw1_ka04aa7685_desilting")</f>
        <v>sw1_ka04aa7685_desilting</v>
      </c>
      <c r="D1899" s="2">
        <f ca="1">IFERROR(__xludf.DUMMYFUNCTION("""COMPUTED_VALUE"""),44737)</f>
        <v>44737</v>
      </c>
      <c r="E1899" s="3">
        <f ca="1">IFERROR(__xludf.DUMMYFUNCTION("""COMPUTED_VALUE"""),0.401134259260288)</f>
        <v>0.40113425926028801</v>
      </c>
      <c r="F1899" s="1">
        <f ca="1">IFERROR(__xludf.DUMMYFUNCTION("""COMPUTED_VALUE"""),7353)</f>
        <v>7353</v>
      </c>
      <c r="G1899" s="1" t="str">
        <f ca="1">IFERROR(__xludf.DUMMYFUNCTION("""COMPUTED_VALUE"""),"12.9292/77.5489")</f>
        <v>12.9292/77.5489</v>
      </c>
      <c r="H1899" s="1" t="str">
        <f ca="1">IFERROR(__xludf.DUMMYFUNCTION("""COMPUTED_VALUE"""),"Kathriguppe")</f>
        <v>Kathriguppe</v>
      </c>
      <c r="I1899" s="1"/>
      <c r="J1899" s="1" t="str">
        <f ca="1">IFERROR(__xludf.DUMMYFUNCTION("""COMPUTED_VALUE"""),"13d 21h 28m")</f>
        <v>13d 21h 28m</v>
      </c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13.2">
      <c r="A1900" s="1">
        <f ca="1">IFERROR(__xludf.DUMMYFUNCTION("""COMPUTED_VALUE"""),131)</f>
        <v>131</v>
      </c>
      <c r="B1900" s="1" t="str">
        <f ca="1">IFERROR(__xludf.DUMMYFUNCTION("""COMPUTED_VALUE"""),"SW1_KA04AA7685_Desilting")</f>
        <v>SW1_KA04AA7685_Desilting</v>
      </c>
      <c r="C1900" s="1" t="str">
        <f ca="1">IFERROR(__xludf.DUMMYFUNCTION("""COMPUTED_VALUE"""),"sw1_ka04aa7685_desilting")</f>
        <v>sw1_ka04aa7685_desilting</v>
      </c>
      <c r="D1900" s="2">
        <f ca="1">IFERROR(__xludf.DUMMYFUNCTION("""COMPUTED_VALUE"""),44768)</f>
        <v>44768</v>
      </c>
      <c r="E1900" s="3">
        <f ca="1">IFERROR(__xludf.DUMMYFUNCTION("""COMPUTED_VALUE"""),0.424456018517958)</f>
        <v>0.424456018517958</v>
      </c>
      <c r="F1900" s="1">
        <f ca="1">IFERROR(__xludf.DUMMYFUNCTION("""COMPUTED_VALUE"""),7395)</f>
        <v>7395</v>
      </c>
      <c r="G1900" s="1" t="str">
        <f ca="1">IFERROR(__xludf.DUMMYFUNCTION("""COMPUTED_VALUE"""),"12.9594/77.5826")</f>
        <v>12.9594/77.5826</v>
      </c>
      <c r="H1900" s="1" t="str">
        <f ca="1">IFERROR(__xludf.DUMMYFUNCTION("""COMPUTED_VALUE"""),"JC Road")</f>
        <v>JC Road</v>
      </c>
      <c r="I1900" s="1"/>
      <c r="J1900" s="1" t="str">
        <f ca="1">IFERROR(__xludf.DUMMYFUNCTION("""COMPUTED_VALUE"""),"13d 21h 29m")</f>
        <v>13d 21h 29m</v>
      </c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13.2">
      <c r="A1901" s="1">
        <f ca="1">IFERROR(__xludf.DUMMYFUNCTION("""COMPUTED_VALUE"""),141)</f>
        <v>141</v>
      </c>
      <c r="B1901" s="1" t="str">
        <f ca="1">IFERROR(__xludf.DUMMYFUNCTION("""COMPUTED_VALUE"""),"SW1_KA04AA7685_Desilting")</f>
        <v>SW1_KA04AA7685_Desilting</v>
      </c>
      <c r="C1901" s="1" t="str">
        <f ca="1">IFERROR(__xludf.DUMMYFUNCTION("""COMPUTED_VALUE"""),"sw1_ka04aa7685_desilting")</f>
        <v>sw1_ka04aa7685_desilting</v>
      </c>
      <c r="D1901" s="2">
        <f ca="1">IFERROR(__xludf.DUMMYFUNCTION("""COMPUTED_VALUE"""),44798)</f>
        <v>44798</v>
      </c>
      <c r="E1901" s="3">
        <f ca="1">IFERROR(__xludf.DUMMYFUNCTION("""COMPUTED_VALUE"""),0.452557870368764)</f>
        <v>0.45255787036876399</v>
      </c>
      <c r="F1901" s="1">
        <f ca="1">IFERROR(__xludf.DUMMYFUNCTION("""COMPUTED_VALUE"""),7416)</f>
        <v>7416</v>
      </c>
      <c r="G1901" s="1" t="str">
        <f ca="1">IFERROR(__xludf.DUMMYFUNCTION("""COMPUTED_VALUE"""),"12.9608/77.5711")</f>
        <v>12.9608/77.5711</v>
      </c>
      <c r="H1901" s="1" t="str">
        <f ca="1">IFERROR(__xludf.DUMMYFUNCTION("""COMPUTED_VALUE"""),"Makalakutta")</f>
        <v>Makalakutta</v>
      </c>
      <c r="I1901" s="1"/>
      <c r="J1901" s="1" t="str">
        <f ca="1">IFERROR(__xludf.DUMMYFUNCTION("""COMPUTED_VALUE"""),"13d 21h 30m")</f>
        <v>13d 21h 30m</v>
      </c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13.2">
      <c r="A1902" s="1">
        <f ca="1">IFERROR(__xludf.DUMMYFUNCTION("""COMPUTED_VALUE"""),144)</f>
        <v>144</v>
      </c>
      <c r="B1902" s="1" t="str">
        <f ca="1">IFERROR(__xludf.DUMMYFUNCTION("""COMPUTED_VALUE"""),"SW1_KA04AA7685_Desilting")</f>
        <v>SW1_KA04AA7685_Desilting</v>
      </c>
      <c r="C1902" s="1" t="str">
        <f ca="1">IFERROR(__xludf.DUMMYFUNCTION("""COMPUTED_VALUE"""),"sw1_ka04aa7685_desilting")</f>
        <v>sw1_ka04aa7685_desilting</v>
      </c>
      <c r="D1902" s="2">
        <f ca="1">IFERROR(__xludf.DUMMYFUNCTION("""COMPUTED_VALUE"""),44830)</f>
        <v>44830</v>
      </c>
      <c r="E1902" s="3">
        <f ca="1">IFERROR(__xludf.DUMMYFUNCTION("""COMPUTED_VALUE"""),0.552893518517521)</f>
        <v>0.552893518517521</v>
      </c>
      <c r="F1902" s="1">
        <f ca="1">IFERROR(__xludf.DUMMYFUNCTION("""COMPUTED_VALUE"""),7425)</f>
        <v>7425</v>
      </c>
      <c r="G1902" s="1" t="str">
        <f ca="1">IFERROR(__xludf.DUMMYFUNCTION("""COMPUTED_VALUE"""),"12.9615/77.5770")</f>
        <v>12.9615/77.5770</v>
      </c>
      <c r="H1902" s="1" t="str">
        <f ca="1">IFERROR(__xludf.DUMMYFUNCTION("""COMPUTED_VALUE"""),"Kalasipalya")</f>
        <v>Kalasipalya</v>
      </c>
      <c r="I1902" s="1"/>
      <c r="J1902" s="1" t="str">
        <f ca="1">IFERROR(__xludf.DUMMYFUNCTION("""COMPUTED_VALUE"""),"13d 21h 31m")</f>
        <v>13d 21h 31m</v>
      </c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13.2">
      <c r="A1903" s="1">
        <f ca="1">IFERROR(__xludf.DUMMYFUNCTION("""COMPUTED_VALUE"""),84)</f>
        <v>84</v>
      </c>
      <c r="B1903" s="1" t="str">
        <f ca="1">IFERROR(__xludf.DUMMYFUNCTION("""COMPUTED_VALUE"""),"SW1_KA04AA7685_Desilting")</f>
        <v>SW1_KA04AA7685_Desilting</v>
      </c>
      <c r="C1903" s="1" t="str">
        <f ca="1">IFERROR(__xludf.DUMMYFUNCTION("""COMPUTED_VALUE"""),"sw1_ka04aa7685_desilting")</f>
        <v>sw1_ka04aa7685_desilting</v>
      </c>
      <c r="D1903" s="2">
        <f ca="1">IFERROR(__xludf.DUMMYFUNCTION("""COMPUTED_VALUE"""),44848)</f>
        <v>44848</v>
      </c>
      <c r="E1903" s="3">
        <f ca="1">IFERROR(__xludf.DUMMYFUNCTION("""COMPUTED_VALUE"""),0.542731481480586)</f>
        <v>0.54273148148058603</v>
      </c>
      <c r="F1903" s="1">
        <f ca="1">IFERROR(__xludf.DUMMYFUNCTION("""COMPUTED_VALUE"""),7431)</f>
        <v>7431</v>
      </c>
      <c r="G1903" s="1" t="str">
        <f ca="1">IFERROR(__xludf.DUMMYFUNCTION("""COMPUTED_VALUE"""),"12.9612/77.5620")</f>
        <v>12.9612/77.5620</v>
      </c>
      <c r="H1903" s="1" t="str">
        <f ca="1">IFERROR(__xludf.DUMMYFUNCTION("""COMPUTED_VALUE"""),"Raghavendra Colony")</f>
        <v>Raghavendra Colony</v>
      </c>
      <c r="I1903" s="1"/>
      <c r="J1903" s="1" t="str">
        <f ca="1">IFERROR(__xludf.DUMMYFUNCTION("""COMPUTED_VALUE"""),"13d 21h 32m")</f>
        <v>13d 21h 32m</v>
      </c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13.2">
      <c r="A1904" s="1">
        <f ca="1">IFERROR(__xludf.DUMMYFUNCTION("""COMPUTED_VALUE"""),36)</f>
        <v>36</v>
      </c>
      <c r="B1904" s="1" t="str">
        <f ca="1">IFERROR(__xludf.DUMMYFUNCTION("""COMPUTED_VALUE"""),"SW1_KA04C5126_JETTING")</f>
        <v>SW1_KA04C5126_JETTING</v>
      </c>
      <c r="C1904" s="1" t="str">
        <f ca="1">IFERROR(__xludf.DUMMYFUNCTION("""COMPUTED_VALUE"""),"sw1_ka04c5126_jetting")</f>
        <v>sw1_ka04c5126_jetting</v>
      </c>
      <c r="D1904" s="2">
        <f ca="1">IFERROR(__xludf.DUMMYFUNCTION("""COMPUTED_VALUE"""),41640)</f>
        <v>41640</v>
      </c>
      <c r="E1904" s="3">
        <f ca="1">IFERROR(__xludf.DUMMYFUNCTION("""COMPUTED_VALUE"""),0.231469907408609)</f>
        <v>0.23146990740860901</v>
      </c>
      <c r="F1904" s="1">
        <f ca="1">IFERROR(__xludf.DUMMYFUNCTION("""COMPUTED_VALUE"""),13883)</f>
        <v>13883</v>
      </c>
      <c r="G1904" s="1"/>
      <c r="H1904" s="1"/>
      <c r="I1904" s="1"/>
      <c r="J1904" s="1" t="str">
        <f ca="1">IFERROR(__xludf.DUMMYFUNCTION("""COMPUTED_VALUE"""),"0d 00h 00m")</f>
        <v>0d 00h 00m</v>
      </c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13.2">
      <c r="A1905" s="1">
        <f ca="1">IFERROR(__xludf.DUMMYFUNCTION("""COMPUTED_VALUE"""),36)</f>
        <v>36</v>
      </c>
      <c r="B1905" s="1" t="str">
        <f ca="1">IFERROR(__xludf.DUMMYFUNCTION("""COMPUTED_VALUE"""),"SW1_KA04C5126_JETTING")</f>
        <v>SW1_KA04C5126_JETTING</v>
      </c>
      <c r="C1905" s="1" t="str">
        <f ca="1">IFERROR(__xludf.DUMMYFUNCTION("""COMPUTED_VALUE"""),"sw1_ka04c5126_jetting")</f>
        <v>sw1_ka04c5126_jetting</v>
      </c>
      <c r="D1905" s="2">
        <f ca="1">IFERROR(__xludf.DUMMYFUNCTION("""COMPUTED_VALUE"""),41640)</f>
        <v>41640</v>
      </c>
      <c r="E1905" s="3">
        <f ca="1">IFERROR(__xludf.DUMMYFUNCTION("""COMPUTED_VALUE"""),0.231469907408609)</f>
        <v>0.23146990740860901</v>
      </c>
      <c r="F1905" s="1">
        <f ca="1">IFERROR(__xludf.DUMMYFUNCTION("""COMPUTED_VALUE"""),13883)</f>
        <v>13883</v>
      </c>
      <c r="G1905" s="1"/>
      <c r="H1905" s="1"/>
      <c r="I1905" s="1"/>
      <c r="J1905" s="1" t="str">
        <f ca="1">IFERROR(__xludf.DUMMYFUNCTION("""COMPUTED_VALUE"""),"0d 00h 00m")</f>
        <v>0d 00h 00m</v>
      </c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13.2">
      <c r="A1906" s="1">
        <f ca="1">IFERROR(__xludf.DUMMYFUNCTION("""COMPUTED_VALUE"""),36)</f>
        <v>36</v>
      </c>
      <c r="B1906" s="1" t="str">
        <f ca="1">IFERROR(__xludf.DUMMYFUNCTION("""COMPUTED_VALUE"""),"SW1_KA04C5126_JETTING")</f>
        <v>SW1_KA04C5126_JETTING</v>
      </c>
      <c r="C1906" s="1" t="str">
        <f ca="1">IFERROR(__xludf.DUMMYFUNCTION("""COMPUTED_VALUE"""),"sw1_ka04c5126_jetting")</f>
        <v>sw1_ka04c5126_jetting</v>
      </c>
      <c r="D1906" s="2">
        <f ca="1">IFERROR(__xludf.DUMMYFUNCTION("""COMPUTED_VALUE"""),41640)</f>
        <v>41640</v>
      </c>
      <c r="E1906" s="3">
        <f ca="1">IFERROR(__xludf.DUMMYFUNCTION("""COMPUTED_VALUE"""),0.231469907408609)</f>
        <v>0.23146990740860901</v>
      </c>
      <c r="F1906" s="1">
        <f ca="1">IFERROR(__xludf.DUMMYFUNCTION("""COMPUTED_VALUE"""),13883)</f>
        <v>13883</v>
      </c>
      <c r="G1906" s="1"/>
      <c r="H1906" s="1"/>
      <c r="I1906" s="1"/>
      <c r="J1906" s="1" t="str">
        <f ca="1">IFERROR(__xludf.DUMMYFUNCTION("""COMPUTED_VALUE"""),"0d 00h 00m")</f>
        <v>0d 00h 00m</v>
      </c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13.2">
      <c r="A1907" s="1">
        <f ca="1">IFERROR(__xludf.DUMMYFUNCTION("""COMPUTED_VALUE"""),36)</f>
        <v>36</v>
      </c>
      <c r="B1907" s="1" t="str">
        <f ca="1">IFERROR(__xludf.DUMMYFUNCTION("""COMPUTED_VALUE"""),"SW1_KA04C5126_JETTING")</f>
        <v>SW1_KA04C5126_JETTING</v>
      </c>
      <c r="C1907" s="1" t="str">
        <f ca="1">IFERROR(__xludf.DUMMYFUNCTION("""COMPUTED_VALUE"""),"sw1_ka04c5126_jetting")</f>
        <v>sw1_ka04c5126_jetting</v>
      </c>
      <c r="D1907" s="2">
        <f ca="1">IFERROR(__xludf.DUMMYFUNCTION("""COMPUTED_VALUE"""),41640)</f>
        <v>41640</v>
      </c>
      <c r="E1907" s="3">
        <f ca="1">IFERROR(__xludf.DUMMYFUNCTION("""COMPUTED_VALUE"""),0.231469907408609)</f>
        <v>0.23146990740860901</v>
      </c>
      <c r="F1907" s="1">
        <f ca="1">IFERROR(__xludf.DUMMYFUNCTION("""COMPUTED_VALUE"""),13883)</f>
        <v>13883</v>
      </c>
      <c r="G1907" s="1"/>
      <c r="H1907" s="1"/>
      <c r="I1907" s="1"/>
      <c r="J1907" s="1" t="str">
        <f ca="1">IFERROR(__xludf.DUMMYFUNCTION("""COMPUTED_VALUE"""),"0d 00h 00m")</f>
        <v>0d 00h 00m</v>
      </c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13.2">
      <c r="A1908" s="1">
        <f ca="1">IFERROR(__xludf.DUMMYFUNCTION("""COMPUTED_VALUE"""),36)</f>
        <v>36</v>
      </c>
      <c r="B1908" s="1" t="str">
        <f ca="1">IFERROR(__xludf.DUMMYFUNCTION("""COMPUTED_VALUE"""),"SW1_KA04C5126_JETTING")</f>
        <v>SW1_KA04C5126_JETTING</v>
      </c>
      <c r="C1908" s="1" t="str">
        <f ca="1">IFERROR(__xludf.DUMMYFUNCTION("""COMPUTED_VALUE"""),"sw1_ka04c5126_jetting")</f>
        <v>sw1_ka04c5126_jetting</v>
      </c>
      <c r="D1908" s="2">
        <f ca="1">IFERROR(__xludf.DUMMYFUNCTION("""COMPUTED_VALUE"""),41640)</f>
        <v>41640</v>
      </c>
      <c r="E1908" s="3">
        <f ca="1">IFERROR(__xludf.DUMMYFUNCTION("""COMPUTED_VALUE"""),0.231469907408609)</f>
        <v>0.23146990740860901</v>
      </c>
      <c r="F1908" s="1">
        <f ca="1">IFERROR(__xludf.DUMMYFUNCTION("""COMPUTED_VALUE"""),13883)</f>
        <v>13883</v>
      </c>
      <c r="G1908" s="1"/>
      <c r="H1908" s="1"/>
      <c r="I1908" s="1"/>
      <c r="J1908" s="1" t="str">
        <f ca="1">IFERROR(__xludf.DUMMYFUNCTION("""COMPUTED_VALUE"""),"0d 00h 00m")</f>
        <v>0d 00h 00m</v>
      </c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13.2">
      <c r="A1909" s="1">
        <f ca="1">IFERROR(__xludf.DUMMYFUNCTION("""COMPUTED_VALUE"""),36)</f>
        <v>36</v>
      </c>
      <c r="B1909" s="1" t="str">
        <f ca="1">IFERROR(__xludf.DUMMYFUNCTION("""COMPUTED_VALUE"""),"SW1_KA04C5126_JETTING")</f>
        <v>SW1_KA04C5126_JETTING</v>
      </c>
      <c r="C1909" s="1" t="str">
        <f ca="1">IFERROR(__xludf.DUMMYFUNCTION("""COMPUTED_VALUE"""),"sw1_ka04c5126_jetting")</f>
        <v>sw1_ka04c5126_jetting</v>
      </c>
      <c r="D1909" s="2">
        <f ca="1">IFERROR(__xludf.DUMMYFUNCTION("""COMPUTED_VALUE"""),41640)</f>
        <v>41640</v>
      </c>
      <c r="E1909" s="3">
        <f ca="1">IFERROR(__xludf.DUMMYFUNCTION("""COMPUTED_VALUE"""),0.231469907408609)</f>
        <v>0.23146990740860901</v>
      </c>
      <c r="F1909" s="1">
        <f ca="1">IFERROR(__xludf.DUMMYFUNCTION("""COMPUTED_VALUE"""),13883)</f>
        <v>13883</v>
      </c>
      <c r="G1909" s="1"/>
      <c r="H1909" s="1"/>
      <c r="I1909" s="1"/>
      <c r="J1909" s="1" t="str">
        <f ca="1">IFERROR(__xludf.DUMMYFUNCTION("""COMPUTED_VALUE"""),"0d 00h 00m")</f>
        <v>0d 00h 00m</v>
      </c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13.2">
      <c r="A1910" s="1">
        <f ca="1">IFERROR(__xludf.DUMMYFUNCTION("""COMPUTED_VALUE"""),36)</f>
        <v>36</v>
      </c>
      <c r="B1910" s="1" t="str">
        <f ca="1">IFERROR(__xludf.DUMMYFUNCTION("""COMPUTED_VALUE"""),"SW1_KA04C5126_JETTING")</f>
        <v>SW1_KA04C5126_JETTING</v>
      </c>
      <c r="C1910" s="1" t="str">
        <f ca="1">IFERROR(__xludf.DUMMYFUNCTION("""COMPUTED_VALUE"""),"sw1_ka04c5126_jetting")</f>
        <v>sw1_ka04c5126_jetting</v>
      </c>
      <c r="D1910" s="2">
        <f ca="1">IFERROR(__xludf.DUMMYFUNCTION("""COMPUTED_VALUE"""),41640)</f>
        <v>41640</v>
      </c>
      <c r="E1910" s="3">
        <f ca="1">IFERROR(__xludf.DUMMYFUNCTION("""COMPUTED_VALUE"""),0.231469907408609)</f>
        <v>0.23146990740860901</v>
      </c>
      <c r="F1910" s="1">
        <f ca="1">IFERROR(__xludf.DUMMYFUNCTION("""COMPUTED_VALUE"""),13883)</f>
        <v>13883</v>
      </c>
      <c r="G1910" s="1"/>
      <c r="H1910" s="1"/>
      <c r="I1910" s="1"/>
      <c r="J1910" s="1" t="str">
        <f ca="1">IFERROR(__xludf.DUMMYFUNCTION("""COMPUTED_VALUE"""),"0d 00h 00m")</f>
        <v>0d 00h 00m</v>
      </c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13.2">
      <c r="A1911" s="1">
        <f ca="1">IFERROR(__xludf.DUMMYFUNCTION("""COMPUTED_VALUE"""),233)</f>
        <v>233</v>
      </c>
      <c r="B1911" s="1" t="str">
        <f ca="1">IFERROR(__xludf.DUMMYFUNCTION("""COMPUTED_VALUE"""),"SW1_KA04D4607_Jetting")</f>
        <v>SW1_KA04D4607_Jetting</v>
      </c>
      <c r="C1911" s="1" t="str">
        <f ca="1">IFERROR(__xludf.DUMMYFUNCTION("""COMPUTED_VALUE"""),"sw1_ka04d4607_jetting")</f>
        <v>sw1_ka04d4607_jetting</v>
      </c>
      <c r="D1911" s="2">
        <f ca="1">IFERROR(__xludf.DUMMYFUNCTION("""COMPUTED_VALUE"""),44707)</f>
        <v>44707</v>
      </c>
      <c r="E1911" s="3">
        <f ca="1">IFERROR(__xludf.DUMMYFUNCTION("""COMPUTED_VALUE"""),0.999317129630071)</f>
        <v>0.99931712963007102</v>
      </c>
      <c r="F1911" s="1">
        <f ca="1">IFERROR(__xludf.DUMMYFUNCTION("""COMPUTED_VALUE"""),14817)</f>
        <v>14817</v>
      </c>
      <c r="G1911" s="1" t="str">
        <f ca="1">IFERROR(__xludf.DUMMYFUNCTION("""COMPUTED_VALUE"""),"12.9596/77.5638")</f>
        <v>12.9596/77.5638</v>
      </c>
      <c r="H1911" s="1" t="str">
        <f ca="1">IFERROR(__xludf.DUMMYFUNCTION("""COMPUTED_VALUE"""),"Raghavendra Colony")</f>
        <v>Raghavendra Colony</v>
      </c>
      <c r="I1911" s="1"/>
      <c r="J1911" s="1" t="str">
        <f ca="1">IFERROR(__xludf.DUMMYFUNCTION("""COMPUTED_VALUE"""),"0d 00h 00m")</f>
        <v>0d 00h 00m</v>
      </c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13.2">
      <c r="A1912" s="1">
        <f ca="1">IFERROR(__xludf.DUMMYFUNCTION("""COMPUTED_VALUE"""),199)</f>
        <v>199</v>
      </c>
      <c r="B1912" s="1" t="str">
        <f ca="1">IFERROR(__xludf.DUMMYFUNCTION("""COMPUTED_VALUE"""),"SW1_KA04D4607_Jetting")</f>
        <v>SW1_KA04D4607_Jetting</v>
      </c>
      <c r="C1912" s="1" t="str">
        <f ca="1">IFERROR(__xludf.DUMMYFUNCTION("""COMPUTED_VALUE"""),"sw1_ka04d4607_jetting")</f>
        <v>sw1_ka04d4607_jetting</v>
      </c>
      <c r="D1912" s="2">
        <f ca="1">IFERROR(__xludf.DUMMYFUNCTION("""COMPUTED_VALUE"""),44738)</f>
        <v>44738</v>
      </c>
      <c r="E1912" s="3">
        <f ca="1">IFERROR(__xludf.DUMMYFUNCTION("""COMPUTED_VALUE"""),0.999155092591536)</f>
        <v>0.99915509259153601</v>
      </c>
      <c r="F1912" s="1">
        <f ca="1">IFERROR(__xludf.DUMMYFUNCTION("""COMPUTED_VALUE"""),14972)</f>
        <v>14972</v>
      </c>
      <c r="G1912" s="1" t="str">
        <f ca="1">IFERROR(__xludf.DUMMYFUNCTION("""COMPUTED_VALUE"""),"12.9604/77.5635")</f>
        <v>12.9604/77.5635</v>
      </c>
      <c r="H1912" s="1" t="str">
        <f ca="1">IFERROR(__xludf.DUMMYFUNCTION("""COMPUTED_VALUE"""),"Raghavendra Colony")</f>
        <v>Raghavendra Colony</v>
      </c>
      <c r="I1912" s="1"/>
      <c r="J1912" s="1" t="str">
        <f ca="1">IFERROR(__xludf.DUMMYFUNCTION("""COMPUTED_VALUE"""),"0d 00h 00m")</f>
        <v>0d 00h 00m</v>
      </c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13.2">
      <c r="A1913" s="1">
        <f ca="1">IFERROR(__xludf.DUMMYFUNCTION("""COMPUTED_VALUE"""),195)</f>
        <v>195</v>
      </c>
      <c r="B1913" s="1" t="str">
        <f ca="1">IFERROR(__xludf.DUMMYFUNCTION("""COMPUTED_VALUE"""),"SW1_KA04D4607_Jetting")</f>
        <v>SW1_KA04D4607_Jetting</v>
      </c>
      <c r="C1913" s="1" t="str">
        <f ca="1">IFERROR(__xludf.DUMMYFUNCTION("""COMPUTED_VALUE"""),"sw1_ka04d4607_jetting")</f>
        <v>sw1_ka04d4607_jetting</v>
      </c>
      <c r="D1913" s="2">
        <f ca="1">IFERROR(__xludf.DUMMYFUNCTION("""COMPUTED_VALUE"""),44768)</f>
        <v>44768</v>
      </c>
      <c r="E1913" s="3">
        <f ca="1">IFERROR(__xludf.DUMMYFUNCTION("""COMPUTED_VALUE"""),0.999108796295331)</f>
        <v>0.999108796295331</v>
      </c>
      <c r="F1913" s="1">
        <f ca="1">IFERROR(__xludf.DUMMYFUNCTION("""COMPUTED_VALUE"""),15107)</f>
        <v>15107</v>
      </c>
      <c r="G1913" s="1" t="str">
        <f ca="1">IFERROR(__xludf.DUMMYFUNCTION("""COMPUTED_VALUE"""),"12.9603/77.5634")</f>
        <v>12.9603/77.5634</v>
      </c>
      <c r="H1913" s="1" t="str">
        <f ca="1">IFERROR(__xludf.DUMMYFUNCTION("""COMPUTED_VALUE"""),"Raghavendra Colony")</f>
        <v>Raghavendra Colony</v>
      </c>
      <c r="I1913" s="1"/>
      <c r="J1913" s="1" t="str">
        <f ca="1">IFERROR(__xludf.DUMMYFUNCTION("""COMPUTED_VALUE"""),"0d 00h 00m")</f>
        <v>0d 00h 00m</v>
      </c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13.2">
      <c r="A1914" s="1">
        <f ca="1">IFERROR(__xludf.DUMMYFUNCTION("""COMPUTED_VALUE"""),184)</f>
        <v>184</v>
      </c>
      <c r="B1914" s="1" t="str">
        <f ca="1">IFERROR(__xludf.DUMMYFUNCTION("""COMPUTED_VALUE"""),"SW1_KA04D4607_Jetting")</f>
        <v>SW1_KA04D4607_Jetting</v>
      </c>
      <c r="C1914" s="1" t="str">
        <f ca="1">IFERROR(__xludf.DUMMYFUNCTION("""COMPUTED_VALUE"""),"sw1_ka04d4607_jetting")</f>
        <v>sw1_ka04d4607_jetting</v>
      </c>
      <c r="D1914" s="2">
        <f ca="1">IFERROR(__xludf.DUMMYFUNCTION("""COMPUTED_VALUE"""),44799)</f>
        <v>44799</v>
      </c>
      <c r="E1914" s="3">
        <f ca="1">IFERROR(__xludf.DUMMYFUNCTION("""COMPUTED_VALUE"""),0.999050925925985)</f>
        <v>0.99905092592598499</v>
      </c>
      <c r="F1914" s="1">
        <f ca="1">IFERROR(__xludf.DUMMYFUNCTION("""COMPUTED_VALUE"""),15278)</f>
        <v>15278</v>
      </c>
      <c r="G1914" s="1" t="str">
        <f ca="1">IFERROR(__xludf.DUMMYFUNCTION("""COMPUTED_VALUE"""),"12.9604/77.5635")</f>
        <v>12.9604/77.5635</v>
      </c>
      <c r="H1914" s="1" t="str">
        <f ca="1">IFERROR(__xludf.DUMMYFUNCTION("""COMPUTED_VALUE"""),"Raghavendra Colony")</f>
        <v>Raghavendra Colony</v>
      </c>
      <c r="I1914" s="1"/>
      <c r="J1914" s="1" t="str">
        <f ca="1">IFERROR(__xludf.DUMMYFUNCTION("""COMPUTED_VALUE"""),"0d 00h 00m")</f>
        <v>0d 00h 00m</v>
      </c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13.2">
      <c r="A1915" s="1">
        <f ca="1">IFERROR(__xludf.DUMMYFUNCTION("""COMPUTED_VALUE"""),102)</f>
        <v>102</v>
      </c>
      <c r="B1915" s="1" t="str">
        <f ca="1">IFERROR(__xludf.DUMMYFUNCTION("""COMPUTED_VALUE"""),"SW1_KA04D4607_Jetting")</f>
        <v>SW1_KA04D4607_Jetting</v>
      </c>
      <c r="C1915" s="1" t="str">
        <f ca="1">IFERROR(__xludf.DUMMYFUNCTION("""COMPUTED_VALUE"""),"sw1_ka04d4607_jetting")</f>
        <v>sw1_ka04d4607_jetting</v>
      </c>
      <c r="D1915" s="2">
        <f ca="1">IFERROR(__xludf.DUMMYFUNCTION("""COMPUTED_VALUE"""),44819)</f>
        <v>44819</v>
      </c>
      <c r="E1915" s="3">
        <f ca="1">IFERROR(__xludf.DUMMYFUNCTION("""COMPUTED_VALUE"""),0.46844907407285)</f>
        <v>0.46844907407285002</v>
      </c>
      <c r="F1915" s="1">
        <f ca="1">IFERROR(__xludf.DUMMYFUNCTION("""COMPUTED_VALUE"""),15304)</f>
        <v>15304</v>
      </c>
      <c r="G1915" s="1" t="str">
        <f ca="1">IFERROR(__xludf.DUMMYFUNCTION("""COMPUTED_VALUE"""),"12.8985/77.5118")</f>
        <v>12.8985/77.5118</v>
      </c>
      <c r="H1915" s="1" t="str">
        <f ca="1">IFERROR(__xludf.DUMMYFUNCTION("""COMPUTED_VALUE"""),"Rajarajeshwari Nagar")</f>
        <v>Rajarajeshwari Nagar</v>
      </c>
      <c r="I1915" s="1"/>
      <c r="J1915" s="1" t="str">
        <f ca="1">IFERROR(__xludf.DUMMYFUNCTION("""COMPUTED_VALUE"""),"0d 00h 00m")</f>
        <v>0d 00h 00m</v>
      </c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13.2">
      <c r="A1916" s="1">
        <f ca="1">IFERROR(__xludf.DUMMYFUNCTION("""COMPUTED_VALUE"""),128)</f>
        <v>128</v>
      </c>
      <c r="B1916" s="1" t="str">
        <f ca="1">IFERROR(__xludf.DUMMYFUNCTION("""COMPUTED_VALUE"""),"SW1_KA04D4607_Jetting")</f>
        <v>SW1_KA04D4607_Jetting</v>
      </c>
      <c r="C1916" s="1" t="str">
        <f ca="1">IFERROR(__xludf.DUMMYFUNCTION("""COMPUTED_VALUE"""),"sw1_ka04d4607_jetting")</f>
        <v>sw1_ka04d4607_jetting</v>
      </c>
      <c r="D1916" s="2">
        <f ca="1">IFERROR(__xludf.DUMMYFUNCTION("""COMPUTED_VALUE"""),44860)</f>
        <v>44860</v>
      </c>
      <c r="E1916" s="3">
        <f ca="1">IFERROR(__xludf.DUMMYFUNCTION("""COMPUTED_VALUE"""),0.479386574075761)</f>
        <v>0.47938657407576102</v>
      </c>
      <c r="F1916" s="1">
        <f ca="1">IFERROR(__xludf.DUMMYFUNCTION("""COMPUTED_VALUE"""),15439)</f>
        <v>15439</v>
      </c>
      <c r="G1916" s="1" t="str">
        <f ca="1">IFERROR(__xludf.DUMMYFUNCTION("""COMPUTED_VALUE"""),"12.9578/77.5606")</f>
        <v>12.9578/77.5606</v>
      </c>
      <c r="H1916" s="1" t="str">
        <f ca="1">IFERROR(__xludf.DUMMYFUNCTION("""COMPUTED_VALUE"""),"TR Mill")</f>
        <v>TR Mill</v>
      </c>
      <c r="I1916" s="1"/>
      <c r="J1916" s="1" t="str">
        <f ca="1">IFERROR(__xludf.DUMMYFUNCTION("""COMPUTED_VALUE"""),"0d 00h 00m")</f>
        <v>0d 00h 00m</v>
      </c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13.2">
      <c r="A1917" s="1">
        <f ca="1">IFERROR(__xludf.DUMMYFUNCTION("""COMPUTED_VALUE"""),100)</f>
        <v>100</v>
      </c>
      <c r="B1917" s="1" t="str">
        <f ca="1">IFERROR(__xludf.DUMMYFUNCTION("""COMPUTED_VALUE"""),"SW1_KA04D4872_jetting")</f>
        <v>SW1_KA04D4872_jetting</v>
      </c>
      <c r="C1917" s="1" t="str">
        <f ca="1">IFERROR(__xludf.DUMMYFUNCTION("""COMPUTED_VALUE"""),"sw1_ka04d4872_jetting")</f>
        <v>sw1_ka04d4872_jetting</v>
      </c>
      <c r="D1917" s="2">
        <f ca="1">IFERROR(__xludf.DUMMYFUNCTION("""COMPUTED_VALUE"""),44704)</f>
        <v>44704</v>
      </c>
      <c r="E1917" s="3">
        <f ca="1">IFERROR(__xludf.DUMMYFUNCTION("""COMPUTED_VALUE"""),0.0181134259255486)</f>
        <v>1.8113425925548599E-2</v>
      </c>
      <c r="F1917" s="1">
        <f ca="1">IFERROR(__xludf.DUMMYFUNCTION("""COMPUTED_VALUE"""),20185)</f>
        <v>20185</v>
      </c>
      <c r="G1917" s="1" t="str">
        <f ca="1">IFERROR(__xludf.DUMMYFUNCTION("""COMPUTED_VALUE"""),"12.9430/77.5763")</f>
        <v>12.9430/77.5763</v>
      </c>
      <c r="H1917" s="1" t="str">
        <f ca="1">IFERROR(__xludf.DUMMYFUNCTION("""COMPUTED_VALUE"""),"Venus Residency")</f>
        <v>Venus Residency</v>
      </c>
      <c r="I1917" s="1"/>
      <c r="J1917" s="1" t="str">
        <f ca="1">IFERROR(__xludf.DUMMYFUNCTION("""COMPUTED_VALUE"""),"0d 00h 00m")</f>
        <v>0d 00h 00m</v>
      </c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13.2">
      <c r="A1918" s="1">
        <f ca="1">IFERROR(__xludf.DUMMYFUNCTION("""COMPUTED_VALUE"""),188)</f>
        <v>188</v>
      </c>
      <c r="B1918" s="1" t="str">
        <f ca="1">IFERROR(__xludf.DUMMYFUNCTION("""COMPUTED_VALUE"""),"SW1_KA04D4872_jetting")</f>
        <v>SW1_KA04D4872_jetting</v>
      </c>
      <c r="C1918" s="1" t="str">
        <f ca="1">IFERROR(__xludf.DUMMYFUNCTION("""COMPUTED_VALUE"""),"sw1_ka04d4872_jetting")</f>
        <v>sw1_ka04d4872_jetting</v>
      </c>
      <c r="D1918" s="2">
        <f ca="1">IFERROR(__xludf.DUMMYFUNCTION("""COMPUTED_VALUE"""),44738)</f>
        <v>44738</v>
      </c>
      <c r="E1918" s="3">
        <f ca="1">IFERROR(__xludf.DUMMYFUNCTION("""COMPUTED_VALUE"""),0.999108796295331)</f>
        <v>0.999108796295331</v>
      </c>
      <c r="F1918" s="1">
        <f ca="1">IFERROR(__xludf.DUMMYFUNCTION("""COMPUTED_VALUE"""),20240)</f>
        <v>20240</v>
      </c>
      <c r="G1918" s="1" t="str">
        <f ca="1">IFERROR(__xludf.DUMMYFUNCTION("""COMPUTED_VALUE"""),"12.9431/77.5760")</f>
        <v>12.9431/77.5760</v>
      </c>
      <c r="H1918" s="1" t="str">
        <f ca="1">IFERROR(__xludf.DUMMYFUNCTION("""COMPUTED_VALUE"""),"Venus Residency")</f>
        <v>Venus Residency</v>
      </c>
      <c r="I1918" s="1"/>
      <c r="J1918" s="1" t="str">
        <f ca="1">IFERROR(__xludf.DUMMYFUNCTION("""COMPUTED_VALUE"""),"0d 00h 00m")</f>
        <v>0d 00h 00m</v>
      </c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13.2">
      <c r="A1919" s="1">
        <f ca="1">IFERROR(__xludf.DUMMYFUNCTION("""COMPUTED_VALUE"""),188)</f>
        <v>188</v>
      </c>
      <c r="B1919" s="1" t="str">
        <f ca="1">IFERROR(__xludf.DUMMYFUNCTION("""COMPUTED_VALUE"""),"SW1_KA04D4872_jetting")</f>
        <v>SW1_KA04D4872_jetting</v>
      </c>
      <c r="C1919" s="1" t="str">
        <f ca="1">IFERROR(__xludf.DUMMYFUNCTION("""COMPUTED_VALUE"""),"sw1_ka04d4872_jetting")</f>
        <v>sw1_ka04d4872_jetting</v>
      </c>
      <c r="D1919" s="2">
        <f ca="1">IFERROR(__xludf.DUMMYFUNCTION("""COMPUTED_VALUE"""),44768)</f>
        <v>44768</v>
      </c>
      <c r="E1919" s="3">
        <f ca="1">IFERROR(__xludf.DUMMYFUNCTION("""COMPUTED_VALUE"""),0.999062499999126)</f>
        <v>0.999062499999126</v>
      </c>
      <c r="F1919" s="1">
        <f ca="1">IFERROR(__xludf.DUMMYFUNCTION("""COMPUTED_VALUE"""),20614)</f>
        <v>20614</v>
      </c>
      <c r="G1919" s="1" t="str">
        <f ca="1">IFERROR(__xludf.DUMMYFUNCTION("""COMPUTED_VALUE"""),"12.9431/77.5760")</f>
        <v>12.9431/77.5760</v>
      </c>
      <c r="H1919" s="1" t="str">
        <f ca="1">IFERROR(__xludf.DUMMYFUNCTION("""COMPUTED_VALUE"""),"Venus Residency")</f>
        <v>Venus Residency</v>
      </c>
      <c r="I1919" s="1"/>
      <c r="J1919" s="1" t="str">
        <f ca="1">IFERROR(__xludf.DUMMYFUNCTION("""COMPUTED_VALUE"""),"0d 00h 00m")</f>
        <v>0d 00h 00m</v>
      </c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13.2">
      <c r="A1920" s="1">
        <f ca="1">IFERROR(__xludf.DUMMYFUNCTION("""COMPUTED_VALUE"""),196)</f>
        <v>196</v>
      </c>
      <c r="B1920" s="1" t="str">
        <f ca="1">IFERROR(__xludf.DUMMYFUNCTION("""COMPUTED_VALUE"""),"SW1_KA04D4872_jetting")</f>
        <v>SW1_KA04D4872_jetting</v>
      </c>
      <c r="C1920" s="1" t="str">
        <f ca="1">IFERROR(__xludf.DUMMYFUNCTION("""COMPUTED_VALUE"""),"sw1_ka04d4872_jetting")</f>
        <v>sw1_ka04d4872_jetting</v>
      </c>
      <c r="D1920" s="2">
        <f ca="1">IFERROR(__xludf.DUMMYFUNCTION("""COMPUTED_VALUE"""),44799)</f>
        <v>44799</v>
      </c>
      <c r="E1920" s="3">
        <f ca="1">IFERROR(__xludf.DUMMYFUNCTION("""COMPUTED_VALUE"""),0.999097222222189)</f>
        <v>0.999097222222189</v>
      </c>
      <c r="F1920" s="1">
        <f ca="1">IFERROR(__xludf.DUMMYFUNCTION("""COMPUTED_VALUE"""),21203)</f>
        <v>21203</v>
      </c>
      <c r="G1920" s="1" t="str">
        <f ca="1">IFERROR(__xludf.DUMMYFUNCTION("""COMPUTED_VALUE"""),"12.9432/77.5764")</f>
        <v>12.9432/77.5764</v>
      </c>
      <c r="H1920" s="1" t="str">
        <f ca="1">IFERROR(__xludf.DUMMYFUNCTION("""COMPUTED_VALUE"""),"Venus Residency")</f>
        <v>Venus Residency</v>
      </c>
      <c r="I1920" s="1"/>
      <c r="J1920" s="1" t="str">
        <f ca="1">IFERROR(__xludf.DUMMYFUNCTION("""COMPUTED_VALUE"""),"0d 00h 00m")</f>
        <v>0d 00h 00m</v>
      </c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13.2">
      <c r="A1921" s="1">
        <f ca="1">IFERROR(__xludf.DUMMYFUNCTION("""COMPUTED_VALUE"""),198)</f>
        <v>198</v>
      </c>
      <c r="B1921" s="1" t="str">
        <f ca="1">IFERROR(__xludf.DUMMYFUNCTION("""COMPUTED_VALUE"""),"SW1_KA04D4872_jetting")</f>
        <v>SW1_KA04D4872_jetting</v>
      </c>
      <c r="C1921" s="1" t="str">
        <f ca="1">IFERROR(__xludf.DUMMYFUNCTION("""COMPUTED_VALUE"""),"sw1_ka04d4872_jetting")</f>
        <v>sw1_ka04d4872_jetting</v>
      </c>
      <c r="D1921" s="2">
        <f ca="1">IFERROR(__xludf.DUMMYFUNCTION("""COMPUTED_VALUE"""),44830)</f>
        <v>44830</v>
      </c>
      <c r="E1921" s="3">
        <f ca="1">IFERROR(__xludf.DUMMYFUNCTION("""COMPUTED_VALUE"""),0.999131944445252)</f>
        <v>0.999131944445252</v>
      </c>
      <c r="F1921" s="1">
        <f ca="1">IFERROR(__xludf.DUMMYFUNCTION("""COMPUTED_VALUE"""),21908)</f>
        <v>21908</v>
      </c>
      <c r="G1921" s="1" t="str">
        <f ca="1">IFERROR(__xludf.DUMMYFUNCTION("""COMPUTED_VALUE"""),"12.9430/77.5762")</f>
        <v>12.9430/77.5762</v>
      </c>
      <c r="H1921" s="1" t="str">
        <f ca="1">IFERROR(__xludf.DUMMYFUNCTION("""COMPUTED_VALUE"""),"Venus Residency")</f>
        <v>Venus Residency</v>
      </c>
      <c r="I1921" s="1"/>
      <c r="J1921" s="1" t="str">
        <f ca="1">IFERROR(__xludf.DUMMYFUNCTION("""COMPUTED_VALUE"""),"0d 00h 00m")</f>
        <v>0d 00h 00m</v>
      </c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13.2">
      <c r="A1922" s="1">
        <f ca="1">IFERROR(__xludf.DUMMYFUNCTION("""COMPUTED_VALUE"""),158)</f>
        <v>158</v>
      </c>
      <c r="B1922" s="1" t="str">
        <f ca="1">IFERROR(__xludf.DUMMYFUNCTION("""COMPUTED_VALUE"""),"SW1_KA04D4872_jetting")</f>
        <v>SW1_KA04D4872_jetting</v>
      </c>
      <c r="C1922" s="1" t="str">
        <f ca="1">IFERROR(__xludf.DUMMYFUNCTION("""COMPUTED_VALUE"""),"sw1_ka04d4872_jetting")</f>
        <v>sw1_ka04d4872_jetting</v>
      </c>
      <c r="D1922" s="2">
        <f ca="1">IFERROR(__xludf.DUMMYFUNCTION("""COMPUTED_VALUE"""),44860)</f>
        <v>44860</v>
      </c>
      <c r="E1922" s="3">
        <f ca="1">IFERROR(__xludf.DUMMYFUNCTION("""COMPUTED_VALUE"""),0.998680555556347)</f>
        <v>0.99868055555634705</v>
      </c>
      <c r="F1922" s="1">
        <f ca="1">IFERROR(__xludf.DUMMYFUNCTION("""COMPUTED_VALUE"""),22553)</f>
        <v>22553</v>
      </c>
      <c r="G1922" s="1" t="str">
        <f ca="1">IFERROR(__xludf.DUMMYFUNCTION("""COMPUTED_VALUE"""),"12.9431/77.5763")</f>
        <v>12.9431/77.5763</v>
      </c>
      <c r="H1922" s="1" t="str">
        <f ca="1">IFERROR(__xludf.DUMMYFUNCTION("""COMPUTED_VALUE"""),"Venus Residency")</f>
        <v>Venus Residency</v>
      </c>
      <c r="I1922" s="1"/>
      <c r="J1922" s="1" t="str">
        <f ca="1">IFERROR(__xludf.DUMMYFUNCTION("""COMPUTED_VALUE"""),"0d 00h 00m")</f>
        <v>0d 00h 00m</v>
      </c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13.2">
      <c r="A1923" s="1">
        <f ca="1">IFERROR(__xludf.DUMMYFUNCTION("""COMPUTED_VALUE"""),19)</f>
        <v>19</v>
      </c>
      <c r="B1923" s="1" t="str">
        <f ca="1">IFERROR(__xludf.DUMMYFUNCTION("""COMPUTED_VALUE"""),"SW1_KA04D5123_TANKER")</f>
        <v>SW1_KA04D5123_TANKER</v>
      </c>
      <c r="C1923" s="1" t="str">
        <f ca="1">IFERROR(__xludf.DUMMYFUNCTION("""COMPUTED_VALUE"""),"sw1_ka04d5123_tanker")</f>
        <v>sw1_ka04d5123_tanker</v>
      </c>
      <c r="D1923" s="2">
        <f ca="1">IFERROR(__xludf.DUMMYFUNCTION("""COMPUTED_VALUE"""),41640)</f>
        <v>41640</v>
      </c>
      <c r="E1923" s="3">
        <f ca="1">IFERROR(__xludf.DUMMYFUNCTION("""COMPUTED_VALUE"""),0.229745370368618)</f>
        <v>0.229745370368618</v>
      </c>
      <c r="F1923" s="1">
        <f ca="1">IFERROR(__xludf.DUMMYFUNCTION("""COMPUTED_VALUE"""),14994)</f>
        <v>14994</v>
      </c>
      <c r="G1923" s="1"/>
      <c r="H1923" s="1"/>
      <c r="I1923" s="1"/>
      <c r="J1923" s="1" t="str">
        <f ca="1">IFERROR(__xludf.DUMMYFUNCTION("""COMPUTED_VALUE"""),"0d 00h 00m")</f>
        <v>0d 00h 00m</v>
      </c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13.2">
      <c r="A1924" s="1">
        <f ca="1">IFERROR(__xludf.DUMMYFUNCTION("""COMPUTED_VALUE"""),19)</f>
        <v>19</v>
      </c>
      <c r="B1924" s="1" t="str">
        <f ca="1">IFERROR(__xludf.DUMMYFUNCTION("""COMPUTED_VALUE"""),"SW1_KA04D5123_TANKER")</f>
        <v>SW1_KA04D5123_TANKER</v>
      </c>
      <c r="C1924" s="1" t="str">
        <f ca="1">IFERROR(__xludf.DUMMYFUNCTION("""COMPUTED_VALUE"""),"sw1_ka04d5123_tanker")</f>
        <v>sw1_ka04d5123_tanker</v>
      </c>
      <c r="D1924" s="2">
        <f ca="1">IFERROR(__xludf.DUMMYFUNCTION("""COMPUTED_VALUE"""),41640)</f>
        <v>41640</v>
      </c>
      <c r="E1924" s="3">
        <f ca="1">IFERROR(__xludf.DUMMYFUNCTION("""COMPUTED_VALUE"""),0.229745370368618)</f>
        <v>0.229745370368618</v>
      </c>
      <c r="F1924" s="1">
        <f ca="1">IFERROR(__xludf.DUMMYFUNCTION("""COMPUTED_VALUE"""),14994)</f>
        <v>14994</v>
      </c>
      <c r="G1924" s="1"/>
      <c r="H1924" s="1"/>
      <c r="I1924" s="1"/>
      <c r="J1924" s="1" t="str">
        <f ca="1">IFERROR(__xludf.DUMMYFUNCTION("""COMPUTED_VALUE"""),"0d 00h 00m")</f>
        <v>0d 00h 00m</v>
      </c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13.2">
      <c r="A1925" s="1">
        <f ca="1">IFERROR(__xludf.DUMMYFUNCTION("""COMPUTED_VALUE"""),19)</f>
        <v>19</v>
      </c>
      <c r="B1925" s="1" t="str">
        <f ca="1">IFERROR(__xludf.DUMMYFUNCTION("""COMPUTED_VALUE"""),"SW1_KA04D5123_TANKER")</f>
        <v>SW1_KA04D5123_TANKER</v>
      </c>
      <c r="C1925" s="1" t="str">
        <f ca="1">IFERROR(__xludf.DUMMYFUNCTION("""COMPUTED_VALUE"""),"sw1_ka04d5123_tanker")</f>
        <v>sw1_ka04d5123_tanker</v>
      </c>
      <c r="D1925" s="2">
        <f ca="1">IFERROR(__xludf.DUMMYFUNCTION("""COMPUTED_VALUE"""),41640)</f>
        <v>41640</v>
      </c>
      <c r="E1925" s="3">
        <f ca="1">IFERROR(__xludf.DUMMYFUNCTION("""COMPUTED_VALUE"""),0.229745370368618)</f>
        <v>0.229745370368618</v>
      </c>
      <c r="F1925" s="1">
        <f ca="1">IFERROR(__xludf.DUMMYFUNCTION("""COMPUTED_VALUE"""),14994)</f>
        <v>14994</v>
      </c>
      <c r="G1925" s="1"/>
      <c r="H1925" s="1"/>
      <c r="I1925" s="1"/>
      <c r="J1925" s="1" t="str">
        <f ca="1">IFERROR(__xludf.DUMMYFUNCTION("""COMPUTED_VALUE"""),"0d 00h 00m")</f>
        <v>0d 00h 00m</v>
      </c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13.2">
      <c r="A1926" s="1">
        <f ca="1">IFERROR(__xludf.DUMMYFUNCTION("""COMPUTED_VALUE"""),19)</f>
        <v>19</v>
      </c>
      <c r="B1926" s="1" t="str">
        <f ca="1">IFERROR(__xludf.DUMMYFUNCTION("""COMPUTED_VALUE"""),"SW1_KA04D5123_TANKER")</f>
        <v>SW1_KA04D5123_TANKER</v>
      </c>
      <c r="C1926" s="1" t="str">
        <f ca="1">IFERROR(__xludf.DUMMYFUNCTION("""COMPUTED_VALUE"""),"sw1_ka04d5123_tanker")</f>
        <v>sw1_ka04d5123_tanker</v>
      </c>
      <c r="D1926" s="2">
        <f ca="1">IFERROR(__xludf.DUMMYFUNCTION("""COMPUTED_VALUE"""),41640)</f>
        <v>41640</v>
      </c>
      <c r="E1926" s="3">
        <f ca="1">IFERROR(__xludf.DUMMYFUNCTION("""COMPUTED_VALUE"""),0.229745370368618)</f>
        <v>0.229745370368618</v>
      </c>
      <c r="F1926" s="1">
        <f ca="1">IFERROR(__xludf.DUMMYFUNCTION("""COMPUTED_VALUE"""),14994)</f>
        <v>14994</v>
      </c>
      <c r="G1926" s="1"/>
      <c r="H1926" s="1"/>
      <c r="I1926" s="1"/>
      <c r="J1926" s="1" t="str">
        <f ca="1">IFERROR(__xludf.DUMMYFUNCTION("""COMPUTED_VALUE"""),"0d 00h 00m")</f>
        <v>0d 00h 00m</v>
      </c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13.2">
      <c r="A1927" s="1">
        <f ca="1">IFERROR(__xludf.DUMMYFUNCTION("""COMPUTED_VALUE"""),19)</f>
        <v>19</v>
      </c>
      <c r="B1927" s="1" t="str">
        <f ca="1">IFERROR(__xludf.DUMMYFUNCTION("""COMPUTED_VALUE"""),"SW1_KA04D5123_TANKER")</f>
        <v>SW1_KA04D5123_TANKER</v>
      </c>
      <c r="C1927" s="1" t="str">
        <f ca="1">IFERROR(__xludf.DUMMYFUNCTION("""COMPUTED_VALUE"""),"sw1_ka04d5123_tanker")</f>
        <v>sw1_ka04d5123_tanker</v>
      </c>
      <c r="D1927" s="2">
        <f ca="1">IFERROR(__xludf.DUMMYFUNCTION("""COMPUTED_VALUE"""),41640)</f>
        <v>41640</v>
      </c>
      <c r="E1927" s="3">
        <f ca="1">IFERROR(__xludf.DUMMYFUNCTION("""COMPUTED_VALUE"""),0.229745370368618)</f>
        <v>0.229745370368618</v>
      </c>
      <c r="F1927" s="1">
        <f ca="1">IFERROR(__xludf.DUMMYFUNCTION("""COMPUTED_VALUE"""),14994)</f>
        <v>14994</v>
      </c>
      <c r="G1927" s="1"/>
      <c r="H1927" s="1"/>
      <c r="I1927" s="1"/>
      <c r="J1927" s="1" t="str">
        <f ca="1">IFERROR(__xludf.DUMMYFUNCTION("""COMPUTED_VALUE"""),"0d 00h 00m")</f>
        <v>0d 00h 00m</v>
      </c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13.2">
      <c r="A1928" s="1">
        <f ca="1">IFERROR(__xludf.DUMMYFUNCTION("""COMPUTED_VALUE"""),19)</f>
        <v>19</v>
      </c>
      <c r="B1928" s="1" t="str">
        <f ca="1">IFERROR(__xludf.DUMMYFUNCTION("""COMPUTED_VALUE"""),"SW1_KA04D5123_TANKER")</f>
        <v>SW1_KA04D5123_TANKER</v>
      </c>
      <c r="C1928" s="1" t="str">
        <f ca="1">IFERROR(__xludf.DUMMYFUNCTION("""COMPUTED_VALUE"""),"sw1_ka04d5123_tanker")</f>
        <v>sw1_ka04d5123_tanker</v>
      </c>
      <c r="D1928" s="2">
        <f ca="1">IFERROR(__xludf.DUMMYFUNCTION("""COMPUTED_VALUE"""),41640)</f>
        <v>41640</v>
      </c>
      <c r="E1928" s="3">
        <f ca="1">IFERROR(__xludf.DUMMYFUNCTION("""COMPUTED_VALUE"""),0.229745370368618)</f>
        <v>0.229745370368618</v>
      </c>
      <c r="F1928" s="1">
        <f ca="1">IFERROR(__xludf.DUMMYFUNCTION("""COMPUTED_VALUE"""),14994)</f>
        <v>14994</v>
      </c>
      <c r="G1928" s="1"/>
      <c r="H1928" s="1"/>
      <c r="I1928" s="1"/>
      <c r="J1928" s="1" t="str">
        <f ca="1">IFERROR(__xludf.DUMMYFUNCTION("""COMPUTED_VALUE"""),"0d 00h 00m")</f>
        <v>0d 00h 00m</v>
      </c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13.2">
      <c r="A1929" s="1">
        <f ca="1">IFERROR(__xludf.DUMMYFUNCTION("""COMPUTED_VALUE"""),19)</f>
        <v>19</v>
      </c>
      <c r="B1929" s="1" t="str">
        <f ca="1">IFERROR(__xludf.DUMMYFUNCTION("""COMPUTED_VALUE"""),"SW1_KA04D5123_TANKER")</f>
        <v>SW1_KA04D5123_TANKER</v>
      </c>
      <c r="C1929" s="1" t="str">
        <f ca="1">IFERROR(__xludf.DUMMYFUNCTION("""COMPUTED_VALUE"""),"sw1_ka04d5123_tanker")</f>
        <v>sw1_ka04d5123_tanker</v>
      </c>
      <c r="D1929" s="2">
        <f ca="1">IFERROR(__xludf.DUMMYFUNCTION("""COMPUTED_VALUE"""),41640)</f>
        <v>41640</v>
      </c>
      <c r="E1929" s="3">
        <f ca="1">IFERROR(__xludf.DUMMYFUNCTION("""COMPUTED_VALUE"""),0.229745370368618)</f>
        <v>0.229745370368618</v>
      </c>
      <c r="F1929" s="1">
        <f ca="1">IFERROR(__xludf.DUMMYFUNCTION("""COMPUTED_VALUE"""),14994)</f>
        <v>14994</v>
      </c>
      <c r="G1929" s="1"/>
      <c r="H1929" s="1"/>
      <c r="I1929" s="1"/>
      <c r="J1929" s="1" t="str">
        <f ca="1">IFERROR(__xludf.DUMMYFUNCTION("""COMPUTED_VALUE"""),"0d 00h 00m")</f>
        <v>0d 00h 00m</v>
      </c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13.2">
      <c r="A1930" s="1">
        <f ca="1">IFERROR(__xludf.DUMMYFUNCTION("""COMPUTED_VALUE"""),13)</f>
        <v>13</v>
      </c>
      <c r="B1930" s="1" t="str">
        <f ca="1">IFERROR(__xludf.DUMMYFUNCTION("""COMPUTED_VALUE"""),"SW2_CAW236_Jetting")</f>
        <v>SW2_CAW236_Jetting</v>
      </c>
      <c r="C1930" s="1" t="str">
        <f ca="1">IFERROR(__xludf.DUMMYFUNCTION("""COMPUTED_VALUE"""),"sw2_caw236_jetting")</f>
        <v>sw2_caw236_jetting</v>
      </c>
      <c r="D1930" s="2">
        <f ca="1">IFERROR(__xludf.DUMMYFUNCTION("""COMPUTED_VALUE"""),43832)</f>
        <v>43832</v>
      </c>
      <c r="E1930" s="3">
        <f ca="1">IFERROR(__xludf.DUMMYFUNCTION("""COMPUTED_VALUE"""),0.540462962962919)</f>
        <v>0.54046296296291896</v>
      </c>
      <c r="F1930" s="1">
        <f ca="1">IFERROR(__xludf.DUMMYFUNCTION("""COMPUTED_VALUE"""),1736)</f>
        <v>1736</v>
      </c>
      <c r="G1930" s="1" t="str">
        <f ca="1">IFERROR(__xludf.DUMMYFUNCTION("""COMPUTED_VALUE"""),"12.8814/77.5453")</f>
        <v>12.8814/77.5453</v>
      </c>
      <c r="H1930" s="1" t="str">
        <f ca="1">IFERROR(__xludf.DUMMYFUNCTION("""COMPUTED_VALUE"""),"Vasantpura")</f>
        <v>Vasantpura</v>
      </c>
      <c r="I1930" s="1"/>
      <c r="J1930" s="1" t="str">
        <f ca="1">IFERROR(__xludf.DUMMYFUNCTION("""COMPUTED_VALUE"""),"1084d 19h 07m")</f>
        <v>1084d 19h 07m</v>
      </c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13.2">
      <c r="A1931" s="1">
        <f ca="1">IFERROR(__xludf.DUMMYFUNCTION("""COMPUTED_VALUE"""),13)</f>
        <v>13</v>
      </c>
      <c r="B1931" s="1" t="str">
        <f ca="1">IFERROR(__xludf.DUMMYFUNCTION("""COMPUTED_VALUE"""),"SW2_CAW236_Jetting")</f>
        <v>SW2_CAW236_Jetting</v>
      </c>
      <c r="C1931" s="1" t="str">
        <f ca="1">IFERROR(__xludf.DUMMYFUNCTION("""COMPUTED_VALUE"""),"sw2_caw236_jetting")</f>
        <v>sw2_caw236_jetting</v>
      </c>
      <c r="D1931" s="2">
        <f ca="1">IFERROR(__xludf.DUMMYFUNCTION("""COMPUTED_VALUE"""),43832)</f>
        <v>43832</v>
      </c>
      <c r="E1931" s="3">
        <f ca="1">IFERROR(__xludf.DUMMYFUNCTION("""COMPUTED_VALUE"""),0.540462962962919)</f>
        <v>0.54046296296291896</v>
      </c>
      <c r="F1931" s="1">
        <f ca="1">IFERROR(__xludf.DUMMYFUNCTION("""COMPUTED_VALUE"""),1736)</f>
        <v>1736</v>
      </c>
      <c r="G1931" s="1" t="str">
        <f ca="1">IFERROR(__xludf.DUMMYFUNCTION("""COMPUTED_VALUE"""),"12.8814/77.5453")</f>
        <v>12.8814/77.5453</v>
      </c>
      <c r="H1931" s="1" t="str">
        <f ca="1">IFERROR(__xludf.DUMMYFUNCTION("""COMPUTED_VALUE"""),"Vasantpura")</f>
        <v>Vasantpura</v>
      </c>
      <c r="I1931" s="1"/>
      <c r="J1931" s="1" t="str">
        <f ca="1">IFERROR(__xludf.DUMMYFUNCTION("""COMPUTED_VALUE"""),"1084d 19h 08m")</f>
        <v>1084d 19h 08m</v>
      </c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13.2">
      <c r="A1932" s="1">
        <f ca="1">IFERROR(__xludf.DUMMYFUNCTION("""COMPUTED_VALUE"""),13)</f>
        <v>13</v>
      </c>
      <c r="B1932" s="1" t="str">
        <f ca="1">IFERROR(__xludf.DUMMYFUNCTION("""COMPUTED_VALUE"""),"SW2_CAW236_Jetting")</f>
        <v>SW2_CAW236_Jetting</v>
      </c>
      <c r="C1932" s="1" t="str">
        <f ca="1">IFERROR(__xludf.DUMMYFUNCTION("""COMPUTED_VALUE"""),"sw2_caw236_jetting")</f>
        <v>sw2_caw236_jetting</v>
      </c>
      <c r="D1932" s="2">
        <f ca="1">IFERROR(__xludf.DUMMYFUNCTION("""COMPUTED_VALUE"""),43832)</f>
        <v>43832</v>
      </c>
      <c r="E1932" s="3">
        <f ca="1">IFERROR(__xludf.DUMMYFUNCTION("""COMPUTED_VALUE"""),0.540462962962919)</f>
        <v>0.54046296296291896</v>
      </c>
      <c r="F1932" s="1">
        <f ca="1">IFERROR(__xludf.DUMMYFUNCTION("""COMPUTED_VALUE"""),1736)</f>
        <v>1736</v>
      </c>
      <c r="G1932" s="1" t="str">
        <f ca="1">IFERROR(__xludf.DUMMYFUNCTION("""COMPUTED_VALUE"""),"12.8814/77.5453")</f>
        <v>12.8814/77.5453</v>
      </c>
      <c r="H1932" s="1" t="str">
        <f ca="1">IFERROR(__xludf.DUMMYFUNCTION("""COMPUTED_VALUE"""),"Vasantpura")</f>
        <v>Vasantpura</v>
      </c>
      <c r="I1932" s="1"/>
      <c r="J1932" s="1" t="str">
        <f ca="1">IFERROR(__xludf.DUMMYFUNCTION("""COMPUTED_VALUE"""),"1084d 19h 09m")</f>
        <v>1084d 19h 09m</v>
      </c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13.2">
      <c r="A1933" s="1">
        <f ca="1">IFERROR(__xludf.DUMMYFUNCTION("""COMPUTED_VALUE"""),13)</f>
        <v>13</v>
      </c>
      <c r="B1933" s="1" t="str">
        <f ca="1">IFERROR(__xludf.DUMMYFUNCTION("""COMPUTED_VALUE"""),"SW2_CAW236_Jetting")</f>
        <v>SW2_CAW236_Jetting</v>
      </c>
      <c r="C1933" s="1" t="str">
        <f ca="1">IFERROR(__xludf.DUMMYFUNCTION("""COMPUTED_VALUE"""),"sw2_caw236_jetting")</f>
        <v>sw2_caw236_jetting</v>
      </c>
      <c r="D1933" s="2">
        <f ca="1">IFERROR(__xludf.DUMMYFUNCTION("""COMPUTED_VALUE"""),43832)</f>
        <v>43832</v>
      </c>
      <c r="E1933" s="3">
        <f ca="1">IFERROR(__xludf.DUMMYFUNCTION("""COMPUTED_VALUE"""),0.540462962962919)</f>
        <v>0.54046296296291896</v>
      </c>
      <c r="F1933" s="1">
        <f ca="1">IFERROR(__xludf.DUMMYFUNCTION("""COMPUTED_VALUE"""),1736)</f>
        <v>1736</v>
      </c>
      <c r="G1933" s="1" t="str">
        <f ca="1">IFERROR(__xludf.DUMMYFUNCTION("""COMPUTED_VALUE"""),"12.8814/77.5453")</f>
        <v>12.8814/77.5453</v>
      </c>
      <c r="H1933" s="1" t="str">
        <f ca="1">IFERROR(__xludf.DUMMYFUNCTION("""COMPUTED_VALUE"""),"Vasantpura")</f>
        <v>Vasantpura</v>
      </c>
      <c r="I1933" s="1"/>
      <c r="J1933" s="1" t="str">
        <f ca="1">IFERROR(__xludf.DUMMYFUNCTION("""COMPUTED_VALUE"""),"1084d 19h 10m")</f>
        <v>1084d 19h 10m</v>
      </c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13.2">
      <c r="A1934" s="1">
        <f ca="1">IFERROR(__xludf.DUMMYFUNCTION("""COMPUTED_VALUE"""),13)</f>
        <v>13</v>
      </c>
      <c r="B1934" s="1" t="str">
        <f ca="1">IFERROR(__xludf.DUMMYFUNCTION("""COMPUTED_VALUE"""),"SW2_CAW236_Jetting")</f>
        <v>SW2_CAW236_Jetting</v>
      </c>
      <c r="C1934" s="1" t="str">
        <f ca="1">IFERROR(__xludf.DUMMYFUNCTION("""COMPUTED_VALUE"""),"sw2_caw236_jetting")</f>
        <v>sw2_caw236_jetting</v>
      </c>
      <c r="D1934" s="2">
        <f ca="1">IFERROR(__xludf.DUMMYFUNCTION("""COMPUTED_VALUE"""),43832)</f>
        <v>43832</v>
      </c>
      <c r="E1934" s="3">
        <f ca="1">IFERROR(__xludf.DUMMYFUNCTION("""COMPUTED_VALUE"""),0.540462962962919)</f>
        <v>0.54046296296291896</v>
      </c>
      <c r="F1934" s="1">
        <f ca="1">IFERROR(__xludf.DUMMYFUNCTION("""COMPUTED_VALUE"""),1736)</f>
        <v>1736</v>
      </c>
      <c r="G1934" s="1" t="str">
        <f ca="1">IFERROR(__xludf.DUMMYFUNCTION("""COMPUTED_VALUE"""),"12.8814/77.5453")</f>
        <v>12.8814/77.5453</v>
      </c>
      <c r="H1934" s="1" t="str">
        <f ca="1">IFERROR(__xludf.DUMMYFUNCTION("""COMPUTED_VALUE"""),"Vasantpura")</f>
        <v>Vasantpura</v>
      </c>
      <c r="I1934" s="1"/>
      <c r="J1934" s="1" t="str">
        <f ca="1">IFERROR(__xludf.DUMMYFUNCTION("""COMPUTED_VALUE"""),"1084d 19h 10m")</f>
        <v>1084d 19h 10m</v>
      </c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13.2">
      <c r="A1935" s="1">
        <f ca="1">IFERROR(__xludf.DUMMYFUNCTION("""COMPUTED_VALUE"""),13)</f>
        <v>13</v>
      </c>
      <c r="B1935" s="1" t="str">
        <f ca="1">IFERROR(__xludf.DUMMYFUNCTION("""COMPUTED_VALUE"""),"SW2_CAW236_Jetting")</f>
        <v>SW2_CAW236_Jetting</v>
      </c>
      <c r="C1935" s="1" t="str">
        <f ca="1">IFERROR(__xludf.DUMMYFUNCTION("""COMPUTED_VALUE"""),"sw2_caw236_jetting")</f>
        <v>sw2_caw236_jetting</v>
      </c>
      <c r="D1935" s="2">
        <f ca="1">IFERROR(__xludf.DUMMYFUNCTION("""COMPUTED_VALUE"""),43832)</f>
        <v>43832</v>
      </c>
      <c r="E1935" s="3">
        <f ca="1">IFERROR(__xludf.DUMMYFUNCTION("""COMPUTED_VALUE"""),0.540462962962919)</f>
        <v>0.54046296296291896</v>
      </c>
      <c r="F1935" s="1">
        <f ca="1">IFERROR(__xludf.DUMMYFUNCTION("""COMPUTED_VALUE"""),1736)</f>
        <v>1736</v>
      </c>
      <c r="G1935" s="1" t="str">
        <f ca="1">IFERROR(__xludf.DUMMYFUNCTION("""COMPUTED_VALUE"""),"12.8814/77.5453")</f>
        <v>12.8814/77.5453</v>
      </c>
      <c r="H1935" s="1" t="str">
        <f ca="1">IFERROR(__xludf.DUMMYFUNCTION("""COMPUTED_VALUE"""),"Vasantpura")</f>
        <v>Vasantpura</v>
      </c>
      <c r="I1935" s="1"/>
      <c r="J1935" s="1" t="str">
        <f ca="1">IFERROR(__xludf.DUMMYFUNCTION("""COMPUTED_VALUE"""),"1084d 19h 11m")</f>
        <v>1084d 19h 11m</v>
      </c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13.2">
      <c r="A1936" s="1">
        <f ca="1">IFERROR(__xludf.DUMMYFUNCTION("""COMPUTED_VALUE"""),105)</f>
        <v>105</v>
      </c>
      <c r="B1936" s="1" t="str">
        <f ca="1">IFERROR(__xludf.DUMMYFUNCTION("""COMPUTED_VALUE"""),"SW2_CAW236_JETTING")</f>
        <v>SW2_CAW236_JETTING</v>
      </c>
      <c r="C1936" s="1" t="str">
        <f ca="1">IFERROR(__xludf.DUMMYFUNCTION("""COMPUTED_VALUE"""),"sw2_caw236_jetting")</f>
        <v>sw2_caw236_jetting</v>
      </c>
      <c r="D1936" s="2">
        <f ca="1">IFERROR(__xludf.DUMMYFUNCTION("""COMPUTED_VALUE"""),43832)</f>
        <v>43832</v>
      </c>
      <c r="E1936" s="3">
        <f ca="1">IFERROR(__xludf.DUMMYFUNCTION("""COMPUTED_VALUE"""),0.540462962962919)</f>
        <v>0.54046296296291896</v>
      </c>
      <c r="F1936" s="1">
        <f ca="1">IFERROR(__xludf.DUMMYFUNCTION("""COMPUTED_VALUE"""),1736)</f>
        <v>1736</v>
      </c>
      <c r="G1936" s="1" t="str">
        <f ca="1">IFERROR(__xludf.DUMMYFUNCTION("""COMPUTED_VALUE"""),"12.8814/77.5453")</f>
        <v>12.8814/77.5453</v>
      </c>
      <c r="H1936" s="1" t="str">
        <f ca="1">IFERROR(__xludf.DUMMYFUNCTION("""COMPUTED_VALUE"""),"Vasantpura")</f>
        <v>Vasantpura</v>
      </c>
      <c r="I1936" s="1"/>
      <c r="J1936" s="1" t="str">
        <f ca="1">IFERROR(__xludf.DUMMYFUNCTION("""COMPUTED_VALUE"""),"1538d 20h 00m")</f>
        <v>1538d 20h 00m</v>
      </c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13.2">
      <c r="A1937" s="1">
        <f ca="1">IFERROR(__xludf.DUMMYFUNCTION("""COMPUTED_VALUE"""),105)</f>
        <v>105</v>
      </c>
      <c r="B1937" s="1" t="str">
        <f ca="1">IFERROR(__xludf.DUMMYFUNCTION("""COMPUTED_VALUE"""),"SW2_CAW236_JETTING")</f>
        <v>SW2_CAW236_JETTING</v>
      </c>
      <c r="C1937" s="1" t="str">
        <f ca="1">IFERROR(__xludf.DUMMYFUNCTION("""COMPUTED_VALUE"""),"sw2_caw236_jetting")</f>
        <v>sw2_caw236_jetting</v>
      </c>
      <c r="D1937" s="2">
        <f ca="1">IFERROR(__xludf.DUMMYFUNCTION("""COMPUTED_VALUE"""),43832)</f>
        <v>43832</v>
      </c>
      <c r="E1937" s="3">
        <f ca="1">IFERROR(__xludf.DUMMYFUNCTION("""COMPUTED_VALUE"""),0.540462962962919)</f>
        <v>0.54046296296291896</v>
      </c>
      <c r="F1937" s="1">
        <f ca="1">IFERROR(__xludf.DUMMYFUNCTION("""COMPUTED_VALUE"""),1736)</f>
        <v>1736</v>
      </c>
      <c r="G1937" s="1" t="str">
        <f ca="1">IFERROR(__xludf.DUMMYFUNCTION("""COMPUTED_VALUE"""),"12.8814/77.5453")</f>
        <v>12.8814/77.5453</v>
      </c>
      <c r="H1937" s="1" t="str">
        <f ca="1">IFERROR(__xludf.DUMMYFUNCTION("""COMPUTED_VALUE"""),"Vasantpura")</f>
        <v>Vasantpura</v>
      </c>
      <c r="I1937" s="1"/>
      <c r="J1937" s="1" t="str">
        <f ca="1">IFERROR(__xludf.DUMMYFUNCTION("""COMPUTED_VALUE"""),"1538d 20h 01m")</f>
        <v>1538d 20h 01m</v>
      </c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13.2">
      <c r="A1938" s="1">
        <f ca="1">IFERROR(__xludf.DUMMYFUNCTION("""COMPUTED_VALUE"""),102)</f>
        <v>102</v>
      </c>
      <c r="B1938" s="1" t="str">
        <f ca="1">IFERROR(__xludf.DUMMYFUNCTION("""COMPUTED_VALUE"""),"SW2_CAW236_JETTING")</f>
        <v>SW2_CAW236_JETTING</v>
      </c>
      <c r="C1938" s="1" t="str">
        <f ca="1">IFERROR(__xludf.DUMMYFUNCTION("""COMPUTED_VALUE"""),"sw2_caw236_jetting")</f>
        <v>sw2_caw236_jetting</v>
      </c>
      <c r="D1938" s="2">
        <f ca="1">IFERROR(__xludf.DUMMYFUNCTION("""COMPUTED_VALUE"""),43832)</f>
        <v>43832</v>
      </c>
      <c r="E1938" s="3">
        <f ca="1">IFERROR(__xludf.DUMMYFUNCTION("""COMPUTED_VALUE"""),0.540462962962919)</f>
        <v>0.54046296296291896</v>
      </c>
      <c r="F1938" s="1">
        <f ca="1">IFERROR(__xludf.DUMMYFUNCTION("""COMPUTED_VALUE"""),1736)</f>
        <v>1736</v>
      </c>
      <c r="G1938" s="1" t="str">
        <f ca="1">IFERROR(__xludf.DUMMYFUNCTION("""COMPUTED_VALUE"""),"12.8814/77.5453")</f>
        <v>12.8814/77.5453</v>
      </c>
      <c r="H1938" s="1" t="str">
        <f ca="1">IFERROR(__xludf.DUMMYFUNCTION("""COMPUTED_VALUE"""),"Vasantpura")</f>
        <v>Vasantpura</v>
      </c>
      <c r="I1938" s="1"/>
      <c r="J1938" s="1" t="str">
        <f ca="1">IFERROR(__xludf.DUMMYFUNCTION("""COMPUTED_VALUE"""),"1538d 20h 04m")</f>
        <v>1538d 20h 04m</v>
      </c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13.2">
      <c r="A1939" s="1">
        <f ca="1">IFERROR(__xludf.DUMMYFUNCTION("""COMPUTED_VALUE"""),102)</f>
        <v>102</v>
      </c>
      <c r="B1939" s="1" t="str">
        <f ca="1">IFERROR(__xludf.DUMMYFUNCTION("""COMPUTED_VALUE"""),"SW2_CAW236_JETTING")</f>
        <v>SW2_CAW236_JETTING</v>
      </c>
      <c r="C1939" s="1" t="str">
        <f ca="1">IFERROR(__xludf.DUMMYFUNCTION("""COMPUTED_VALUE"""),"sw2_caw236_jetting")</f>
        <v>sw2_caw236_jetting</v>
      </c>
      <c r="D1939" s="2">
        <f ca="1">IFERROR(__xludf.DUMMYFUNCTION("""COMPUTED_VALUE"""),43832)</f>
        <v>43832</v>
      </c>
      <c r="E1939" s="3">
        <f ca="1">IFERROR(__xludf.DUMMYFUNCTION("""COMPUTED_VALUE"""),0.540462962962919)</f>
        <v>0.54046296296291896</v>
      </c>
      <c r="F1939" s="1">
        <f ca="1">IFERROR(__xludf.DUMMYFUNCTION("""COMPUTED_VALUE"""),1736)</f>
        <v>1736</v>
      </c>
      <c r="G1939" s="1" t="str">
        <f ca="1">IFERROR(__xludf.DUMMYFUNCTION("""COMPUTED_VALUE"""),"12.8814/77.5453")</f>
        <v>12.8814/77.5453</v>
      </c>
      <c r="H1939" s="1" t="str">
        <f ca="1">IFERROR(__xludf.DUMMYFUNCTION("""COMPUTED_VALUE"""),"Vasantpura")</f>
        <v>Vasantpura</v>
      </c>
      <c r="I1939" s="1"/>
      <c r="J1939" s="1" t="str">
        <f ca="1">IFERROR(__xludf.DUMMYFUNCTION("""COMPUTED_VALUE"""),"1538d 20h 05m")</f>
        <v>1538d 20h 05m</v>
      </c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13.2">
      <c r="A1940" s="1">
        <f ca="1">IFERROR(__xludf.DUMMYFUNCTION("""COMPUTED_VALUE"""),102)</f>
        <v>102</v>
      </c>
      <c r="B1940" s="1" t="str">
        <f ca="1">IFERROR(__xludf.DUMMYFUNCTION("""COMPUTED_VALUE"""),"SW2_CAW236_JETTING")</f>
        <v>SW2_CAW236_JETTING</v>
      </c>
      <c r="C1940" s="1" t="str">
        <f ca="1">IFERROR(__xludf.DUMMYFUNCTION("""COMPUTED_VALUE"""),"sw2_caw236_jetting")</f>
        <v>sw2_caw236_jetting</v>
      </c>
      <c r="D1940" s="2">
        <f ca="1">IFERROR(__xludf.DUMMYFUNCTION("""COMPUTED_VALUE"""),43832)</f>
        <v>43832</v>
      </c>
      <c r="E1940" s="3">
        <f ca="1">IFERROR(__xludf.DUMMYFUNCTION("""COMPUTED_VALUE"""),0.540462962962919)</f>
        <v>0.54046296296291896</v>
      </c>
      <c r="F1940" s="1">
        <f ca="1">IFERROR(__xludf.DUMMYFUNCTION("""COMPUTED_VALUE"""),1736)</f>
        <v>1736</v>
      </c>
      <c r="G1940" s="1" t="str">
        <f ca="1">IFERROR(__xludf.DUMMYFUNCTION("""COMPUTED_VALUE"""),"12.8814/77.5453")</f>
        <v>12.8814/77.5453</v>
      </c>
      <c r="H1940" s="1" t="str">
        <f ca="1">IFERROR(__xludf.DUMMYFUNCTION("""COMPUTED_VALUE"""),"Vasantpura")</f>
        <v>Vasantpura</v>
      </c>
      <c r="I1940" s="1"/>
      <c r="J1940" s="1" t="str">
        <f ca="1">IFERROR(__xludf.DUMMYFUNCTION("""COMPUTED_VALUE"""),"1538d 20h 06m")</f>
        <v>1538d 20h 06m</v>
      </c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13.2">
      <c r="A1941" s="1">
        <f ca="1">IFERROR(__xludf.DUMMYFUNCTION("""COMPUTED_VALUE"""),102)</f>
        <v>102</v>
      </c>
      <c r="B1941" s="1" t="str">
        <f ca="1">IFERROR(__xludf.DUMMYFUNCTION("""COMPUTED_VALUE"""),"SW2_CAW236_JETTING")</f>
        <v>SW2_CAW236_JETTING</v>
      </c>
      <c r="C1941" s="1" t="str">
        <f ca="1">IFERROR(__xludf.DUMMYFUNCTION("""COMPUTED_VALUE"""),"sw2_caw236_jetting")</f>
        <v>sw2_caw236_jetting</v>
      </c>
      <c r="D1941" s="2">
        <f ca="1">IFERROR(__xludf.DUMMYFUNCTION("""COMPUTED_VALUE"""),43832)</f>
        <v>43832</v>
      </c>
      <c r="E1941" s="3">
        <f ca="1">IFERROR(__xludf.DUMMYFUNCTION("""COMPUTED_VALUE"""),0.540462962962919)</f>
        <v>0.54046296296291896</v>
      </c>
      <c r="F1941" s="1">
        <f ca="1">IFERROR(__xludf.DUMMYFUNCTION("""COMPUTED_VALUE"""),1736)</f>
        <v>1736</v>
      </c>
      <c r="G1941" s="1" t="str">
        <f ca="1">IFERROR(__xludf.DUMMYFUNCTION("""COMPUTED_VALUE"""),"12.8814/77.5453")</f>
        <v>12.8814/77.5453</v>
      </c>
      <c r="H1941" s="1" t="str">
        <f ca="1">IFERROR(__xludf.DUMMYFUNCTION("""COMPUTED_VALUE"""),"Vasantpura")</f>
        <v>Vasantpura</v>
      </c>
      <c r="I1941" s="1"/>
      <c r="J1941" s="1" t="str">
        <f ca="1">IFERROR(__xludf.DUMMYFUNCTION("""COMPUTED_VALUE"""),"1538d 20h 08m")</f>
        <v>1538d 20h 08m</v>
      </c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13.2">
      <c r="A1942" s="1">
        <f ca="1">IFERROR(__xludf.DUMMYFUNCTION("""COMPUTED_VALUE"""),102)</f>
        <v>102</v>
      </c>
      <c r="B1942" s="1" t="str">
        <f ca="1">IFERROR(__xludf.DUMMYFUNCTION("""COMPUTED_VALUE"""),"SW2_CAW236_JETTING")</f>
        <v>SW2_CAW236_JETTING</v>
      </c>
      <c r="C1942" s="1" t="str">
        <f ca="1">IFERROR(__xludf.DUMMYFUNCTION("""COMPUTED_VALUE"""),"sw2_caw236_jetting")</f>
        <v>sw2_caw236_jetting</v>
      </c>
      <c r="D1942" s="2">
        <f ca="1">IFERROR(__xludf.DUMMYFUNCTION("""COMPUTED_VALUE"""),43832)</f>
        <v>43832</v>
      </c>
      <c r="E1942" s="3">
        <f ca="1">IFERROR(__xludf.DUMMYFUNCTION("""COMPUTED_VALUE"""),0.540462962962919)</f>
        <v>0.54046296296291896</v>
      </c>
      <c r="F1942" s="1">
        <f ca="1">IFERROR(__xludf.DUMMYFUNCTION("""COMPUTED_VALUE"""),1736)</f>
        <v>1736</v>
      </c>
      <c r="G1942" s="1" t="str">
        <f ca="1">IFERROR(__xludf.DUMMYFUNCTION("""COMPUTED_VALUE"""),"12.8814/77.5453")</f>
        <v>12.8814/77.5453</v>
      </c>
      <c r="H1942" s="1" t="str">
        <f ca="1">IFERROR(__xludf.DUMMYFUNCTION("""COMPUTED_VALUE"""),"Vasantpura")</f>
        <v>Vasantpura</v>
      </c>
      <c r="I1942" s="1"/>
      <c r="J1942" s="1" t="str">
        <f ca="1">IFERROR(__xludf.DUMMYFUNCTION("""COMPUTED_VALUE"""),"1538d 20h 09m")</f>
        <v>1538d 20h 09m</v>
      </c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13.2">
      <c r="A1943" s="1">
        <f ca="1">IFERROR(__xludf.DUMMYFUNCTION("""COMPUTED_VALUE"""),6)</f>
        <v>6</v>
      </c>
      <c r="B1943" s="1" t="str">
        <f ca="1">IFERROR(__xludf.DUMMYFUNCTION("""COMPUTED_VALUE"""),"SW2_CAW311_Tanker")</f>
        <v>SW2_CAW311_Tanker</v>
      </c>
      <c r="C1943" s="1" t="str">
        <f ca="1">IFERROR(__xludf.DUMMYFUNCTION("""COMPUTED_VALUE"""),"SW2_CAW311_Tanker")</f>
        <v>SW2_CAW311_Tanker</v>
      </c>
      <c r="D1943" s="2">
        <f ca="1">IFERROR(__xludf.DUMMYFUNCTION("""COMPUTED_VALUE"""),43404)</f>
        <v>43404</v>
      </c>
      <c r="E1943" s="3">
        <f ca="1">IFERROR(__xludf.DUMMYFUNCTION("""COMPUTED_VALUE"""),0.473599537035624)</f>
        <v>0.47359953703562402</v>
      </c>
      <c r="F1943" s="1">
        <f ca="1">IFERROR(__xludf.DUMMYFUNCTION("""COMPUTED_VALUE"""),326)</f>
        <v>326</v>
      </c>
      <c r="G1943" s="1" t="str">
        <f ca="1">IFERROR(__xludf.DUMMYFUNCTION("""COMPUTED_VALUE"""),"12.9267/77.5598")</f>
        <v>12.9267/77.5598</v>
      </c>
      <c r="H1943" s="1" t="str">
        <f ca="1">IFERROR(__xludf.DUMMYFUNCTION("""COMPUTED_VALUE"""),"Banagiri Nagar")</f>
        <v>Banagiri Nagar</v>
      </c>
      <c r="I1943" s="1"/>
      <c r="J1943" s="1" t="str">
        <f ca="1">IFERROR(__xludf.DUMMYFUNCTION("""COMPUTED_VALUE"""),"2007d 18h 31m")</f>
        <v>2007d 18h 31m</v>
      </c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13.2">
      <c r="A1944" s="1">
        <f ca="1">IFERROR(__xludf.DUMMYFUNCTION("""COMPUTED_VALUE"""),6)</f>
        <v>6</v>
      </c>
      <c r="B1944" s="1" t="str">
        <f ca="1">IFERROR(__xludf.DUMMYFUNCTION("""COMPUTED_VALUE"""),"SW2_CAW311_Tanker")</f>
        <v>SW2_CAW311_Tanker</v>
      </c>
      <c r="C1944" s="1" t="str">
        <f ca="1">IFERROR(__xludf.DUMMYFUNCTION("""COMPUTED_VALUE"""),"SW2_CAW311_Tanker")</f>
        <v>SW2_CAW311_Tanker</v>
      </c>
      <c r="D1944" s="2">
        <f ca="1">IFERROR(__xludf.DUMMYFUNCTION("""COMPUTED_VALUE"""),43404)</f>
        <v>43404</v>
      </c>
      <c r="E1944" s="3">
        <f ca="1">IFERROR(__xludf.DUMMYFUNCTION("""COMPUTED_VALUE"""),0.473599537035624)</f>
        <v>0.47359953703562402</v>
      </c>
      <c r="F1944" s="1">
        <f ca="1">IFERROR(__xludf.DUMMYFUNCTION("""COMPUTED_VALUE"""),326)</f>
        <v>326</v>
      </c>
      <c r="G1944" s="1" t="str">
        <f ca="1">IFERROR(__xludf.DUMMYFUNCTION("""COMPUTED_VALUE"""),"12.9267/77.5598")</f>
        <v>12.9267/77.5598</v>
      </c>
      <c r="H1944" s="1" t="str">
        <f ca="1">IFERROR(__xludf.DUMMYFUNCTION("""COMPUTED_VALUE"""),"Banagiri Nagar")</f>
        <v>Banagiri Nagar</v>
      </c>
      <c r="I1944" s="1"/>
      <c r="J1944" s="1" t="str">
        <f ca="1">IFERROR(__xludf.DUMMYFUNCTION("""COMPUTED_VALUE"""),"2007d 18h 32m")</f>
        <v>2007d 18h 32m</v>
      </c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13.2">
      <c r="A1945" s="1">
        <f ca="1">IFERROR(__xludf.DUMMYFUNCTION("""COMPUTED_VALUE"""),6)</f>
        <v>6</v>
      </c>
      <c r="B1945" s="1" t="str">
        <f ca="1">IFERROR(__xludf.DUMMYFUNCTION("""COMPUTED_VALUE"""),"SW2_CAW311_Tanker")</f>
        <v>SW2_CAW311_Tanker</v>
      </c>
      <c r="C1945" s="1" t="str">
        <f ca="1">IFERROR(__xludf.DUMMYFUNCTION("""COMPUTED_VALUE"""),"SW2_CAW311_Tanker")</f>
        <v>SW2_CAW311_Tanker</v>
      </c>
      <c r="D1945" s="2">
        <f ca="1">IFERROR(__xludf.DUMMYFUNCTION("""COMPUTED_VALUE"""),43404)</f>
        <v>43404</v>
      </c>
      <c r="E1945" s="3">
        <f ca="1">IFERROR(__xludf.DUMMYFUNCTION("""COMPUTED_VALUE"""),0.473599537035624)</f>
        <v>0.47359953703562402</v>
      </c>
      <c r="F1945" s="1">
        <f ca="1">IFERROR(__xludf.DUMMYFUNCTION("""COMPUTED_VALUE"""),326)</f>
        <v>326</v>
      </c>
      <c r="G1945" s="1" t="str">
        <f ca="1">IFERROR(__xludf.DUMMYFUNCTION("""COMPUTED_VALUE"""),"12.9267/77.5598")</f>
        <v>12.9267/77.5598</v>
      </c>
      <c r="H1945" s="1" t="str">
        <f ca="1">IFERROR(__xludf.DUMMYFUNCTION("""COMPUTED_VALUE"""),"Banagiri Nagar")</f>
        <v>Banagiri Nagar</v>
      </c>
      <c r="I1945" s="1"/>
      <c r="J1945" s="1" t="str">
        <f ca="1">IFERROR(__xludf.DUMMYFUNCTION("""COMPUTED_VALUE"""),"2007d 18h 33m")</f>
        <v>2007d 18h 33m</v>
      </c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13.2">
      <c r="A1946" s="1">
        <f ca="1">IFERROR(__xludf.DUMMYFUNCTION("""COMPUTED_VALUE"""),6)</f>
        <v>6</v>
      </c>
      <c r="B1946" s="1" t="str">
        <f ca="1">IFERROR(__xludf.DUMMYFUNCTION("""COMPUTED_VALUE"""),"SW2_CAW311_Tanker")</f>
        <v>SW2_CAW311_Tanker</v>
      </c>
      <c r="C1946" s="1" t="str">
        <f ca="1">IFERROR(__xludf.DUMMYFUNCTION("""COMPUTED_VALUE"""),"SW2_CAW311_Tanker")</f>
        <v>SW2_CAW311_Tanker</v>
      </c>
      <c r="D1946" s="2">
        <f ca="1">IFERROR(__xludf.DUMMYFUNCTION("""COMPUTED_VALUE"""),43404)</f>
        <v>43404</v>
      </c>
      <c r="E1946" s="3">
        <f ca="1">IFERROR(__xludf.DUMMYFUNCTION("""COMPUTED_VALUE"""),0.473599537035624)</f>
        <v>0.47359953703562402</v>
      </c>
      <c r="F1946" s="1">
        <f ca="1">IFERROR(__xludf.DUMMYFUNCTION("""COMPUTED_VALUE"""),326)</f>
        <v>326</v>
      </c>
      <c r="G1946" s="1" t="str">
        <f ca="1">IFERROR(__xludf.DUMMYFUNCTION("""COMPUTED_VALUE"""),"12.9267/77.5598")</f>
        <v>12.9267/77.5598</v>
      </c>
      <c r="H1946" s="1" t="str">
        <f ca="1">IFERROR(__xludf.DUMMYFUNCTION("""COMPUTED_VALUE"""),"Banagiri Nagar")</f>
        <v>Banagiri Nagar</v>
      </c>
      <c r="I1946" s="1"/>
      <c r="J1946" s="1" t="str">
        <f ca="1">IFERROR(__xludf.DUMMYFUNCTION("""COMPUTED_VALUE"""),"2007d 18h 34m")</f>
        <v>2007d 18h 34m</v>
      </c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13.2">
      <c r="A1947" s="1">
        <f ca="1">IFERROR(__xludf.DUMMYFUNCTION("""COMPUTED_VALUE"""),6)</f>
        <v>6</v>
      </c>
      <c r="B1947" s="1" t="str">
        <f ca="1">IFERROR(__xludf.DUMMYFUNCTION("""COMPUTED_VALUE"""),"SW2_CAW311_Tanker")</f>
        <v>SW2_CAW311_Tanker</v>
      </c>
      <c r="C1947" s="1" t="str">
        <f ca="1">IFERROR(__xludf.DUMMYFUNCTION("""COMPUTED_VALUE"""),"SW2_CAW311_Tanker")</f>
        <v>SW2_CAW311_Tanker</v>
      </c>
      <c r="D1947" s="2">
        <f ca="1">IFERROR(__xludf.DUMMYFUNCTION("""COMPUTED_VALUE"""),43404)</f>
        <v>43404</v>
      </c>
      <c r="E1947" s="3">
        <f ca="1">IFERROR(__xludf.DUMMYFUNCTION("""COMPUTED_VALUE"""),0.473599537035624)</f>
        <v>0.47359953703562402</v>
      </c>
      <c r="F1947" s="1">
        <f ca="1">IFERROR(__xludf.DUMMYFUNCTION("""COMPUTED_VALUE"""),326)</f>
        <v>326</v>
      </c>
      <c r="G1947" s="1" t="str">
        <f ca="1">IFERROR(__xludf.DUMMYFUNCTION("""COMPUTED_VALUE"""),"12.9267/77.5598")</f>
        <v>12.9267/77.5598</v>
      </c>
      <c r="H1947" s="1" t="str">
        <f ca="1">IFERROR(__xludf.DUMMYFUNCTION("""COMPUTED_VALUE"""),"Banagiri Nagar")</f>
        <v>Banagiri Nagar</v>
      </c>
      <c r="I1947" s="1"/>
      <c r="J1947" s="1" t="str">
        <f ca="1">IFERROR(__xludf.DUMMYFUNCTION("""COMPUTED_VALUE"""),"2007d 18h 34m")</f>
        <v>2007d 18h 34m</v>
      </c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13.2">
      <c r="A1948" s="1">
        <f ca="1">IFERROR(__xludf.DUMMYFUNCTION("""COMPUTED_VALUE"""),6)</f>
        <v>6</v>
      </c>
      <c r="B1948" s="1" t="str">
        <f ca="1">IFERROR(__xludf.DUMMYFUNCTION("""COMPUTED_VALUE"""),"SW2_CAW311_Tanker")</f>
        <v>SW2_CAW311_Tanker</v>
      </c>
      <c r="C1948" s="1" t="str">
        <f ca="1">IFERROR(__xludf.DUMMYFUNCTION("""COMPUTED_VALUE"""),"SW2_CAW311_Tanker")</f>
        <v>SW2_CAW311_Tanker</v>
      </c>
      <c r="D1948" s="2">
        <f ca="1">IFERROR(__xludf.DUMMYFUNCTION("""COMPUTED_VALUE"""),43404)</f>
        <v>43404</v>
      </c>
      <c r="E1948" s="3">
        <f ca="1">IFERROR(__xludf.DUMMYFUNCTION("""COMPUTED_VALUE"""),0.473599537035624)</f>
        <v>0.47359953703562402</v>
      </c>
      <c r="F1948" s="1">
        <f ca="1">IFERROR(__xludf.DUMMYFUNCTION("""COMPUTED_VALUE"""),326)</f>
        <v>326</v>
      </c>
      <c r="G1948" s="1" t="str">
        <f ca="1">IFERROR(__xludf.DUMMYFUNCTION("""COMPUTED_VALUE"""),"12.9267/77.5598")</f>
        <v>12.9267/77.5598</v>
      </c>
      <c r="H1948" s="1" t="str">
        <f ca="1">IFERROR(__xludf.DUMMYFUNCTION("""COMPUTED_VALUE"""),"Banagiri Nagar")</f>
        <v>Banagiri Nagar</v>
      </c>
      <c r="I1948" s="1"/>
      <c r="J1948" s="1" t="str">
        <f ca="1">IFERROR(__xludf.DUMMYFUNCTION("""COMPUTED_VALUE"""),"2007d 18h 35m")</f>
        <v>2007d 18h 35m</v>
      </c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13.2">
      <c r="A1949" s="1">
        <f ca="1">IFERROR(__xludf.DUMMYFUNCTION("""COMPUTED_VALUE"""),100)</f>
        <v>100</v>
      </c>
      <c r="B1949" s="1" t="str">
        <f ca="1">IFERROR(__xludf.DUMMYFUNCTION("""COMPUTED_VALUE"""),"SW2_CAW311_TANKER")</f>
        <v>SW2_CAW311_TANKER</v>
      </c>
      <c r="C1949" s="1" t="str">
        <f ca="1">IFERROR(__xludf.DUMMYFUNCTION("""COMPUTED_VALUE"""),"SW2_CAW311_Tanker")</f>
        <v>SW2_CAW311_Tanker</v>
      </c>
      <c r="D1949" s="2">
        <f ca="1">IFERROR(__xludf.DUMMYFUNCTION("""COMPUTED_VALUE"""),43404)</f>
        <v>43404</v>
      </c>
      <c r="E1949" s="3">
        <f ca="1">IFERROR(__xludf.DUMMYFUNCTION("""COMPUTED_VALUE"""),0.473599537035624)</f>
        <v>0.47359953703562402</v>
      </c>
      <c r="F1949" s="1">
        <f ca="1">IFERROR(__xludf.DUMMYFUNCTION("""COMPUTED_VALUE"""),326)</f>
        <v>326</v>
      </c>
      <c r="G1949" s="1" t="str">
        <f ca="1">IFERROR(__xludf.DUMMYFUNCTION("""COMPUTED_VALUE"""),"12.9267/77.5598")</f>
        <v>12.9267/77.5598</v>
      </c>
      <c r="H1949" s="1" t="str">
        <f ca="1">IFERROR(__xludf.DUMMYFUNCTION("""COMPUTED_VALUE"""),"Banagiri Nagar")</f>
        <v>Banagiri Nagar</v>
      </c>
      <c r="I1949" s="1"/>
      <c r="J1949" s="1" t="str">
        <f ca="1">IFERROR(__xludf.DUMMYFUNCTION("""COMPUTED_VALUE"""),"2461d 19h 24m")</f>
        <v>2461d 19h 24m</v>
      </c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13.2">
      <c r="A1950" s="1">
        <f ca="1">IFERROR(__xludf.DUMMYFUNCTION("""COMPUTED_VALUE"""),100)</f>
        <v>100</v>
      </c>
      <c r="B1950" s="1" t="str">
        <f ca="1">IFERROR(__xludf.DUMMYFUNCTION("""COMPUTED_VALUE"""),"SW2_CAW311_TANKER")</f>
        <v>SW2_CAW311_TANKER</v>
      </c>
      <c r="C1950" s="1" t="str">
        <f ca="1">IFERROR(__xludf.DUMMYFUNCTION("""COMPUTED_VALUE"""),"SW2_CAW311_Tanker")</f>
        <v>SW2_CAW311_Tanker</v>
      </c>
      <c r="D1950" s="2">
        <f ca="1">IFERROR(__xludf.DUMMYFUNCTION("""COMPUTED_VALUE"""),43404)</f>
        <v>43404</v>
      </c>
      <c r="E1950" s="3">
        <f ca="1">IFERROR(__xludf.DUMMYFUNCTION("""COMPUTED_VALUE"""),0.473599537035624)</f>
        <v>0.47359953703562402</v>
      </c>
      <c r="F1950" s="1">
        <f ca="1">IFERROR(__xludf.DUMMYFUNCTION("""COMPUTED_VALUE"""),326)</f>
        <v>326</v>
      </c>
      <c r="G1950" s="1" t="str">
        <f ca="1">IFERROR(__xludf.DUMMYFUNCTION("""COMPUTED_VALUE"""),"12.9267/77.5598")</f>
        <v>12.9267/77.5598</v>
      </c>
      <c r="H1950" s="1" t="str">
        <f ca="1">IFERROR(__xludf.DUMMYFUNCTION("""COMPUTED_VALUE"""),"Banagiri Nagar")</f>
        <v>Banagiri Nagar</v>
      </c>
      <c r="I1950" s="1"/>
      <c r="J1950" s="1" t="str">
        <f ca="1">IFERROR(__xludf.DUMMYFUNCTION("""COMPUTED_VALUE"""),"2461d 19h 25m")</f>
        <v>2461d 19h 25m</v>
      </c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13.2">
      <c r="A1951" s="1">
        <f ca="1">IFERROR(__xludf.DUMMYFUNCTION("""COMPUTED_VALUE"""),97)</f>
        <v>97</v>
      </c>
      <c r="B1951" s="1" t="str">
        <f ca="1">IFERROR(__xludf.DUMMYFUNCTION("""COMPUTED_VALUE"""),"SW2_CAW311_TANKER")</f>
        <v>SW2_CAW311_TANKER</v>
      </c>
      <c r="C1951" s="1" t="str">
        <f ca="1">IFERROR(__xludf.DUMMYFUNCTION("""COMPUTED_VALUE"""),"SW2_CAW311_Tanker")</f>
        <v>SW2_CAW311_Tanker</v>
      </c>
      <c r="D1951" s="2">
        <f ca="1">IFERROR(__xludf.DUMMYFUNCTION("""COMPUTED_VALUE"""),43404)</f>
        <v>43404</v>
      </c>
      <c r="E1951" s="3">
        <f ca="1">IFERROR(__xludf.DUMMYFUNCTION("""COMPUTED_VALUE"""),0.473599537035624)</f>
        <v>0.47359953703562402</v>
      </c>
      <c r="F1951" s="1">
        <f ca="1">IFERROR(__xludf.DUMMYFUNCTION("""COMPUTED_VALUE"""),326)</f>
        <v>326</v>
      </c>
      <c r="G1951" s="1" t="str">
        <f ca="1">IFERROR(__xludf.DUMMYFUNCTION("""COMPUTED_VALUE"""),"12.9267/77.5598")</f>
        <v>12.9267/77.5598</v>
      </c>
      <c r="H1951" s="1" t="str">
        <f ca="1">IFERROR(__xludf.DUMMYFUNCTION("""COMPUTED_VALUE"""),"Banagiri Nagar")</f>
        <v>Banagiri Nagar</v>
      </c>
      <c r="I1951" s="1"/>
      <c r="J1951" s="1" t="str">
        <f ca="1">IFERROR(__xludf.DUMMYFUNCTION("""COMPUTED_VALUE"""),"2461d 19h 28m")</f>
        <v>2461d 19h 28m</v>
      </c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13.2">
      <c r="A1952" s="1">
        <f ca="1">IFERROR(__xludf.DUMMYFUNCTION("""COMPUTED_VALUE"""),97)</f>
        <v>97</v>
      </c>
      <c r="B1952" s="1" t="str">
        <f ca="1">IFERROR(__xludf.DUMMYFUNCTION("""COMPUTED_VALUE"""),"SW2_CAW311_TANKER")</f>
        <v>SW2_CAW311_TANKER</v>
      </c>
      <c r="C1952" s="1" t="str">
        <f ca="1">IFERROR(__xludf.DUMMYFUNCTION("""COMPUTED_VALUE"""),"SW2_CAW311_Tanker")</f>
        <v>SW2_CAW311_Tanker</v>
      </c>
      <c r="D1952" s="2">
        <f ca="1">IFERROR(__xludf.DUMMYFUNCTION("""COMPUTED_VALUE"""),43404)</f>
        <v>43404</v>
      </c>
      <c r="E1952" s="3">
        <f ca="1">IFERROR(__xludf.DUMMYFUNCTION("""COMPUTED_VALUE"""),0.473599537035624)</f>
        <v>0.47359953703562402</v>
      </c>
      <c r="F1952" s="1">
        <f ca="1">IFERROR(__xludf.DUMMYFUNCTION("""COMPUTED_VALUE"""),326)</f>
        <v>326</v>
      </c>
      <c r="G1952" s="1" t="str">
        <f ca="1">IFERROR(__xludf.DUMMYFUNCTION("""COMPUTED_VALUE"""),"12.9267/77.5598")</f>
        <v>12.9267/77.5598</v>
      </c>
      <c r="H1952" s="1" t="str">
        <f ca="1">IFERROR(__xludf.DUMMYFUNCTION("""COMPUTED_VALUE"""),"Banagiri Nagar")</f>
        <v>Banagiri Nagar</v>
      </c>
      <c r="I1952" s="1"/>
      <c r="J1952" s="1" t="str">
        <f ca="1">IFERROR(__xludf.DUMMYFUNCTION("""COMPUTED_VALUE"""),"2461d 19h 29m")</f>
        <v>2461d 19h 29m</v>
      </c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13.2">
      <c r="A1953" s="1">
        <f ca="1">IFERROR(__xludf.DUMMYFUNCTION("""COMPUTED_VALUE"""),97)</f>
        <v>97</v>
      </c>
      <c r="B1953" s="1" t="str">
        <f ca="1">IFERROR(__xludf.DUMMYFUNCTION("""COMPUTED_VALUE"""),"SW2_CAW311_TANKER")</f>
        <v>SW2_CAW311_TANKER</v>
      </c>
      <c r="C1953" s="1" t="str">
        <f ca="1">IFERROR(__xludf.DUMMYFUNCTION("""COMPUTED_VALUE"""),"SW2_CAW311_Tanker")</f>
        <v>SW2_CAW311_Tanker</v>
      </c>
      <c r="D1953" s="2">
        <f ca="1">IFERROR(__xludf.DUMMYFUNCTION("""COMPUTED_VALUE"""),43404)</f>
        <v>43404</v>
      </c>
      <c r="E1953" s="3">
        <f ca="1">IFERROR(__xludf.DUMMYFUNCTION("""COMPUTED_VALUE"""),0.473599537035624)</f>
        <v>0.47359953703562402</v>
      </c>
      <c r="F1953" s="1">
        <f ca="1">IFERROR(__xludf.DUMMYFUNCTION("""COMPUTED_VALUE"""),326)</f>
        <v>326</v>
      </c>
      <c r="G1953" s="1" t="str">
        <f ca="1">IFERROR(__xludf.DUMMYFUNCTION("""COMPUTED_VALUE"""),"12.9267/77.5598")</f>
        <v>12.9267/77.5598</v>
      </c>
      <c r="H1953" s="1" t="str">
        <f ca="1">IFERROR(__xludf.DUMMYFUNCTION("""COMPUTED_VALUE"""),"Banagiri Nagar")</f>
        <v>Banagiri Nagar</v>
      </c>
      <c r="I1953" s="1"/>
      <c r="J1953" s="1" t="str">
        <f ca="1">IFERROR(__xludf.DUMMYFUNCTION("""COMPUTED_VALUE"""),"2461d 19h 30m")</f>
        <v>2461d 19h 30m</v>
      </c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13.2">
      <c r="A1954" s="1">
        <f ca="1">IFERROR(__xludf.DUMMYFUNCTION("""COMPUTED_VALUE"""),97)</f>
        <v>97</v>
      </c>
      <c r="B1954" s="1" t="str">
        <f ca="1">IFERROR(__xludf.DUMMYFUNCTION("""COMPUTED_VALUE"""),"SW2_CAW311_TANKER")</f>
        <v>SW2_CAW311_TANKER</v>
      </c>
      <c r="C1954" s="1" t="str">
        <f ca="1">IFERROR(__xludf.DUMMYFUNCTION("""COMPUTED_VALUE"""),"SW2_CAW311_Tanker")</f>
        <v>SW2_CAW311_Tanker</v>
      </c>
      <c r="D1954" s="2">
        <f ca="1">IFERROR(__xludf.DUMMYFUNCTION("""COMPUTED_VALUE"""),43404)</f>
        <v>43404</v>
      </c>
      <c r="E1954" s="3">
        <f ca="1">IFERROR(__xludf.DUMMYFUNCTION("""COMPUTED_VALUE"""),0.473599537035624)</f>
        <v>0.47359953703562402</v>
      </c>
      <c r="F1954" s="1">
        <f ca="1">IFERROR(__xludf.DUMMYFUNCTION("""COMPUTED_VALUE"""),326)</f>
        <v>326</v>
      </c>
      <c r="G1954" s="1" t="str">
        <f ca="1">IFERROR(__xludf.DUMMYFUNCTION("""COMPUTED_VALUE"""),"12.9267/77.5598")</f>
        <v>12.9267/77.5598</v>
      </c>
      <c r="H1954" s="1" t="str">
        <f ca="1">IFERROR(__xludf.DUMMYFUNCTION("""COMPUTED_VALUE"""),"Banagiri Nagar")</f>
        <v>Banagiri Nagar</v>
      </c>
      <c r="I1954" s="1"/>
      <c r="J1954" s="1" t="str">
        <f ca="1">IFERROR(__xludf.DUMMYFUNCTION("""COMPUTED_VALUE"""),"2461d 19h 31m")</f>
        <v>2461d 19h 31m</v>
      </c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13.2">
      <c r="A1955" s="1">
        <f ca="1">IFERROR(__xludf.DUMMYFUNCTION("""COMPUTED_VALUE"""),97)</f>
        <v>97</v>
      </c>
      <c r="B1955" s="1" t="str">
        <f ca="1">IFERROR(__xludf.DUMMYFUNCTION("""COMPUTED_VALUE"""),"SW2_CAW311_TANKER")</f>
        <v>SW2_CAW311_TANKER</v>
      </c>
      <c r="C1955" s="1" t="str">
        <f ca="1">IFERROR(__xludf.DUMMYFUNCTION("""COMPUTED_VALUE"""),"SW2_CAW311_Tanker")</f>
        <v>SW2_CAW311_Tanker</v>
      </c>
      <c r="D1955" s="2">
        <f ca="1">IFERROR(__xludf.DUMMYFUNCTION("""COMPUTED_VALUE"""),43404)</f>
        <v>43404</v>
      </c>
      <c r="E1955" s="3">
        <f ca="1">IFERROR(__xludf.DUMMYFUNCTION("""COMPUTED_VALUE"""),0.473599537035624)</f>
        <v>0.47359953703562402</v>
      </c>
      <c r="F1955" s="1">
        <f ca="1">IFERROR(__xludf.DUMMYFUNCTION("""COMPUTED_VALUE"""),326)</f>
        <v>326</v>
      </c>
      <c r="G1955" s="1" t="str">
        <f ca="1">IFERROR(__xludf.DUMMYFUNCTION("""COMPUTED_VALUE"""),"12.9267/77.5598")</f>
        <v>12.9267/77.5598</v>
      </c>
      <c r="H1955" s="1" t="str">
        <f ca="1">IFERROR(__xludf.DUMMYFUNCTION("""COMPUTED_VALUE"""),"Banagiri Nagar")</f>
        <v>Banagiri Nagar</v>
      </c>
      <c r="I1955" s="1"/>
      <c r="J1955" s="1" t="str">
        <f ca="1">IFERROR(__xludf.DUMMYFUNCTION("""COMPUTED_VALUE"""),"2461d 19h 33m")</f>
        <v>2461d 19h 33m</v>
      </c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13.2">
      <c r="A1956" s="1">
        <f ca="1">IFERROR(__xludf.DUMMYFUNCTION("""COMPUTED_VALUE"""),144)</f>
        <v>144</v>
      </c>
      <c r="B1956" s="1" t="str">
        <f ca="1">IFERROR(__xludf.DUMMYFUNCTION("""COMPUTED_VALUE"""),"SW2_KA04A3045_JETTING")</f>
        <v>SW2_KA04A3045_JETTING</v>
      </c>
      <c r="C1956" s="1" t="str">
        <f ca="1">IFERROR(__xludf.DUMMYFUNCTION("""COMPUTED_VALUE"""),"sw2_ka04a3045_jetting")</f>
        <v>sw2_ka04a3045_jetting</v>
      </c>
      <c r="D1956" s="2">
        <f ca="1">IFERROR(__xludf.DUMMYFUNCTION("""COMPUTED_VALUE"""),45219)</f>
        <v>45219</v>
      </c>
      <c r="E1956" s="3">
        <f ca="1">IFERROR(__xludf.DUMMYFUNCTION("""COMPUTED_VALUE"""),0.757187499999417)</f>
        <v>0.75718749999941704</v>
      </c>
      <c r="F1956" s="1">
        <f ca="1">IFERROR(__xludf.DUMMYFUNCTION("""COMPUTED_VALUE"""),19483)</f>
        <v>19483</v>
      </c>
      <c r="G1956" s="1" t="str">
        <f ca="1">IFERROR(__xludf.DUMMYFUNCTION("""COMPUTED_VALUE"""),"12.9428/77.5757")</f>
        <v>12.9428/77.5757</v>
      </c>
      <c r="H1956" s="1" t="str">
        <f ca="1">IFERROR(__xludf.DUMMYFUNCTION("""COMPUTED_VALUE"""),"Venus Residency")</f>
        <v>Venus Residency</v>
      </c>
      <c r="I1956" s="1"/>
      <c r="J1956" s="1" t="str">
        <f ca="1">IFERROR(__xludf.DUMMYFUNCTION("""COMPUTED_VALUE"""),"151d 17h 21m")</f>
        <v>151d 17h 21m</v>
      </c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13.2">
      <c r="A1957" s="1">
        <f ca="1">IFERROR(__xludf.DUMMYFUNCTION("""COMPUTED_VALUE"""),140)</f>
        <v>140</v>
      </c>
      <c r="B1957" s="1" t="str">
        <f ca="1">IFERROR(__xludf.DUMMYFUNCTION("""COMPUTED_VALUE"""),"SW2_KA04A3045_JETTING")</f>
        <v>SW2_KA04A3045_JETTING</v>
      </c>
      <c r="C1957" s="1" t="str">
        <f ca="1">IFERROR(__xludf.DUMMYFUNCTION("""COMPUTED_VALUE"""),"sw2_ka04a3045_jetting")</f>
        <v>sw2_ka04a3045_jetting</v>
      </c>
      <c r="D1957" s="2">
        <f ca="1">IFERROR(__xludf.DUMMYFUNCTION("""COMPUTED_VALUE"""),45219)</f>
        <v>45219</v>
      </c>
      <c r="E1957" s="3">
        <f ca="1">IFERROR(__xludf.DUMMYFUNCTION("""COMPUTED_VALUE"""),0.757187499999417)</f>
        <v>0.75718749999941704</v>
      </c>
      <c r="F1957" s="1">
        <f ca="1">IFERROR(__xludf.DUMMYFUNCTION("""COMPUTED_VALUE"""),19483)</f>
        <v>19483</v>
      </c>
      <c r="G1957" s="1" t="str">
        <f ca="1">IFERROR(__xludf.DUMMYFUNCTION("""COMPUTED_VALUE"""),"12.9428/77.5757")</f>
        <v>12.9428/77.5757</v>
      </c>
      <c r="H1957" s="1" t="str">
        <f ca="1">IFERROR(__xludf.DUMMYFUNCTION("""COMPUTED_VALUE"""),"Venus Residency")</f>
        <v>Venus Residency</v>
      </c>
      <c r="I1957" s="1"/>
      <c r="J1957" s="1" t="str">
        <f ca="1">IFERROR(__xludf.DUMMYFUNCTION("""COMPUTED_VALUE"""),"151d 17h 22m")</f>
        <v>151d 17h 22m</v>
      </c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13.2">
      <c r="A1958" s="1">
        <f ca="1">IFERROR(__xludf.DUMMYFUNCTION("""COMPUTED_VALUE"""),121)</f>
        <v>121</v>
      </c>
      <c r="B1958" s="1" t="str">
        <f ca="1">IFERROR(__xludf.DUMMYFUNCTION("""COMPUTED_VALUE"""),"SW2_KA04A9520_JETTING")</f>
        <v>SW2_KA04A9520_JETTING</v>
      </c>
      <c r="C1958" s="1" t="str">
        <f ca="1">IFERROR(__xludf.DUMMYFUNCTION("""COMPUTED_VALUE"""),"sw2_ka04a9520_jetting")</f>
        <v>sw2_ka04a9520_jetting</v>
      </c>
      <c r="D1958" s="2">
        <f ca="1">IFERROR(__xludf.DUMMYFUNCTION("""COMPUTED_VALUE"""),44208)</f>
        <v>44208</v>
      </c>
      <c r="E1958" s="3">
        <f ca="1">IFERROR(__xludf.DUMMYFUNCTION("""COMPUTED_VALUE"""),0.512488425927585)</f>
        <v>0.51248842592758503</v>
      </c>
      <c r="F1958" s="1">
        <f ca="1">IFERROR(__xludf.DUMMYFUNCTION("""COMPUTED_VALUE"""),9897)</f>
        <v>9897</v>
      </c>
      <c r="G1958" s="1" t="str">
        <f ca="1">IFERROR(__xludf.DUMMYFUNCTION("""COMPUTED_VALUE"""),"12.9777/77.4387")</f>
        <v>12.9777/77.4387</v>
      </c>
      <c r="H1958" s="1" t="str">
        <f ca="1">IFERROR(__xludf.DUMMYFUNCTION("""COMPUTED_VALUE"""),"Bayandhalli")</f>
        <v>Bayandhalli</v>
      </c>
      <c r="I1958" s="1"/>
      <c r="J1958" s="1" t="str">
        <f ca="1">IFERROR(__xludf.DUMMYFUNCTION("""COMPUTED_VALUE"""),"1162d 23h 04m")</f>
        <v>1162d 23h 04m</v>
      </c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13.2">
      <c r="A1959" s="1">
        <f ca="1">IFERROR(__xludf.DUMMYFUNCTION("""COMPUTED_VALUE"""),121)</f>
        <v>121</v>
      </c>
      <c r="B1959" s="1" t="str">
        <f ca="1">IFERROR(__xludf.DUMMYFUNCTION("""COMPUTED_VALUE"""),"SW2_KA04A9520_JETTING")</f>
        <v>SW2_KA04A9520_JETTING</v>
      </c>
      <c r="C1959" s="1" t="str">
        <f ca="1">IFERROR(__xludf.DUMMYFUNCTION("""COMPUTED_VALUE"""),"sw2_ka04a9520_jetting")</f>
        <v>sw2_ka04a9520_jetting</v>
      </c>
      <c r="D1959" s="2">
        <f ca="1">IFERROR(__xludf.DUMMYFUNCTION("""COMPUTED_VALUE"""),44208)</f>
        <v>44208</v>
      </c>
      <c r="E1959" s="3">
        <f ca="1">IFERROR(__xludf.DUMMYFUNCTION("""COMPUTED_VALUE"""),0.512488425927585)</f>
        <v>0.51248842592758503</v>
      </c>
      <c r="F1959" s="1">
        <f ca="1">IFERROR(__xludf.DUMMYFUNCTION("""COMPUTED_VALUE"""),9897)</f>
        <v>9897</v>
      </c>
      <c r="G1959" s="1" t="str">
        <f ca="1">IFERROR(__xludf.DUMMYFUNCTION("""COMPUTED_VALUE"""),"12.9777/77.4387")</f>
        <v>12.9777/77.4387</v>
      </c>
      <c r="H1959" s="1" t="str">
        <f ca="1">IFERROR(__xludf.DUMMYFUNCTION("""COMPUTED_VALUE"""),"Bayandhalli")</f>
        <v>Bayandhalli</v>
      </c>
      <c r="I1959" s="1"/>
      <c r="J1959" s="1" t="str">
        <f ca="1">IFERROR(__xludf.DUMMYFUNCTION("""COMPUTED_VALUE"""),"1162d 23h 05m")</f>
        <v>1162d 23h 05m</v>
      </c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13.2">
      <c r="A1960" s="1">
        <f ca="1">IFERROR(__xludf.DUMMYFUNCTION("""COMPUTED_VALUE"""),118)</f>
        <v>118</v>
      </c>
      <c r="B1960" s="1" t="str">
        <f ca="1">IFERROR(__xludf.DUMMYFUNCTION("""COMPUTED_VALUE"""),"SW2_KA04A9520_JETTING")</f>
        <v>SW2_KA04A9520_JETTING</v>
      </c>
      <c r="C1960" s="1" t="str">
        <f ca="1">IFERROR(__xludf.DUMMYFUNCTION("""COMPUTED_VALUE"""),"sw2_ka04a9520_jetting")</f>
        <v>sw2_ka04a9520_jetting</v>
      </c>
      <c r="D1960" s="2">
        <f ca="1">IFERROR(__xludf.DUMMYFUNCTION("""COMPUTED_VALUE"""),44208)</f>
        <v>44208</v>
      </c>
      <c r="E1960" s="3">
        <f ca="1">IFERROR(__xludf.DUMMYFUNCTION("""COMPUTED_VALUE"""),0.512488425927585)</f>
        <v>0.51248842592758503</v>
      </c>
      <c r="F1960" s="1">
        <f ca="1">IFERROR(__xludf.DUMMYFUNCTION("""COMPUTED_VALUE"""),9897)</f>
        <v>9897</v>
      </c>
      <c r="G1960" s="1" t="str">
        <f ca="1">IFERROR(__xludf.DUMMYFUNCTION("""COMPUTED_VALUE"""),"12.9777/77.4387")</f>
        <v>12.9777/77.4387</v>
      </c>
      <c r="H1960" s="1" t="str">
        <f ca="1">IFERROR(__xludf.DUMMYFUNCTION("""COMPUTED_VALUE"""),"Bayandhalli")</f>
        <v>Bayandhalli</v>
      </c>
      <c r="I1960" s="1"/>
      <c r="J1960" s="1" t="str">
        <f ca="1">IFERROR(__xludf.DUMMYFUNCTION("""COMPUTED_VALUE"""),"1162d 23h 08m")</f>
        <v>1162d 23h 08m</v>
      </c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13.2">
      <c r="A1961" s="1">
        <f ca="1">IFERROR(__xludf.DUMMYFUNCTION("""COMPUTED_VALUE"""),118)</f>
        <v>118</v>
      </c>
      <c r="B1961" s="1" t="str">
        <f ca="1">IFERROR(__xludf.DUMMYFUNCTION("""COMPUTED_VALUE"""),"SW2_KA04A9520_JETTING")</f>
        <v>SW2_KA04A9520_JETTING</v>
      </c>
      <c r="C1961" s="1" t="str">
        <f ca="1">IFERROR(__xludf.DUMMYFUNCTION("""COMPUTED_VALUE"""),"sw2_ka04a9520_jetting")</f>
        <v>sw2_ka04a9520_jetting</v>
      </c>
      <c r="D1961" s="2">
        <f ca="1">IFERROR(__xludf.DUMMYFUNCTION("""COMPUTED_VALUE"""),44208)</f>
        <v>44208</v>
      </c>
      <c r="E1961" s="3">
        <f ca="1">IFERROR(__xludf.DUMMYFUNCTION("""COMPUTED_VALUE"""),0.512488425927585)</f>
        <v>0.51248842592758503</v>
      </c>
      <c r="F1961" s="1">
        <f ca="1">IFERROR(__xludf.DUMMYFUNCTION("""COMPUTED_VALUE"""),9897)</f>
        <v>9897</v>
      </c>
      <c r="G1961" s="1" t="str">
        <f ca="1">IFERROR(__xludf.DUMMYFUNCTION("""COMPUTED_VALUE"""),"12.9777/77.4387")</f>
        <v>12.9777/77.4387</v>
      </c>
      <c r="H1961" s="1" t="str">
        <f ca="1">IFERROR(__xludf.DUMMYFUNCTION("""COMPUTED_VALUE"""),"Bayandhalli")</f>
        <v>Bayandhalli</v>
      </c>
      <c r="I1961" s="1"/>
      <c r="J1961" s="1" t="str">
        <f ca="1">IFERROR(__xludf.DUMMYFUNCTION("""COMPUTED_VALUE"""),"1162d 23h 09m")</f>
        <v>1162d 23h 09m</v>
      </c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13.2">
      <c r="A1962" s="1">
        <f ca="1">IFERROR(__xludf.DUMMYFUNCTION("""COMPUTED_VALUE"""),118)</f>
        <v>118</v>
      </c>
      <c r="B1962" s="1" t="str">
        <f ca="1">IFERROR(__xludf.DUMMYFUNCTION("""COMPUTED_VALUE"""),"SW2_KA04A9520_JETTING")</f>
        <v>SW2_KA04A9520_JETTING</v>
      </c>
      <c r="C1962" s="1" t="str">
        <f ca="1">IFERROR(__xludf.DUMMYFUNCTION("""COMPUTED_VALUE"""),"sw2_ka04a9520_jetting")</f>
        <v>sw2_ka04a9520_jetting</v>
      </c>
      <c r="D1962" s="2">
        <f ca="1">IFERROR(__xludf.DUMMYFUNCTION("""COMPUTED_VALUE"""),44208)</f>
        <v>44208</v>
      </c>
      <c r="E1962" s="3">
        <f ca="1">IFERROR(__xludf.DUMMYFUNCTION("""COMPUTED_VALUE"""),0.512488425927585)</f>
        <v>0.51248842592758503</v>
      </c>
      <c r="F1962" s="1">
        <f ca="1">IFERROR(__xludf.DUMMYFUNCTION("""COMPUTED_VALUE"""),9897)</f>
        <v>9897</v>
      </c>
      <c r="G1962" s="1" t="str">
        <f ca="1">IFERROR(__xludf.DUMMYFUNCTION("""COMPUTED_VALUE"""),"12.9777/77.4387")</f>
        <v>12.9777/77.4387</v>
      </c>
      <c r="H1962" s="1" t="str">
        <f ca="1">IFERROR(__xludf.DUMMYFUNCTION("""COMPUTED_VALUE"""),"Bayandhalli")</f>
        <v>Bayandhalli</v>
      </c>
      <c r="I1962" s="1"/>
      <c r="J1962" s="1" t="str">
        <f ca="1">IFERROR(__xludf.DUMMYFUNCTION("""COMPUTED_VALUE"""),"1162d 23h 10m")</f>
        <v>1162d 23h 10m</v>
      </c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13.2">
      <c r="A1963" s="1">
        <f ca="1">IFERROR(__xludf.DUMMYFUNCTION("""COMPUTED_VALUE"""),118)</f>
        <v>118</v>
      </c>
      <c r="B1963" s="1" t="str">
        <f ca="1">IFERROR(__xludf.DUMMYFUNCTION("""COMPUTED_VALUE"""),"SW2_KA04A9520_JETTING")</f>
        <v>SW2_KA04A9520_JETTING</v>
      </c>
      <c r="C1963" s="1" t="str">
        <f ca="1">IFERROR(__xludf.DUMMYFUNCTION("""COMPUTED_VALUE"""),"sw2_ka04a9520_jetting")</f>
        <v>sw2_ka04a9520_jetting</v>
      </c>
      <c r="D1963" s="2">
        <f ca="1">IFERROR(__xludf.DUMMYFUNCTION("""COMPUTED_VALUE"""),44208)</f>
        <v>44208</v>
      </c>
      <c r="E1963" s="3">
        <f ca="1">IFERROR(__xludf.DUMMYFUNCTION("""COMPUTED_VALUE"""),0.512488425927585)</f>
        <v>0.51248842592758503</v>
      </c>
      <c r="F1963" s="1">
        <f ca="1">IFERROR(__xludf.DUMMYFUNCTION("""COMPUTED_VALUE"""),9897)</f>
        <v>9897</v>
      </c>
      <c r="G1963" s="1" t="str">
        <f ca="1">IFERROR(__xludf.DUMMYFUNCTION("""COMPUTED_VALUE"""),"12.9777/77.4387")</f>
        <v>12.9777/77.4387</v>
      </c>
      <c r="H1963" s="1" t="str">
        <f ca="1">IFERROR(__xludf.DUMMYFUNCTION("""COMPUTED_VALUE"""),"Bayandhalli")</f>
        <v>Bayandhalli</v>
      </c>
      <c r="I1963" s="1"/>
      <c r="J1963" s="1" t="str">
        <f ca="1">IFERROR(__xludf.DUMMYFUNCTION("""COMPUTED_VALUE"""),"1162d 23h 12m")</f>
        <v>1162d 23h 12m</v>
      </c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13.2">
      <c r="A1964" s="1">
        <f ca="1">IFERROR(__xludf.DUMMYFUNCTION("""COMPUTED_VALUE"""),118)</f>
        <v>118</v>
      </c>
      <c r="B1964" s="1" t="str">
        <f ca="1">IFERROR(__xludf.DUMMYFUNCTION("""COMPUTED_VALUE"""),"SW2_KA04A9520_JETTING")</f>
        <v>SW2_KA04A9520_JETTING</v>
      </c>
      <c r="C1964" s="1" t="str">
        <f ca="1">IFERROR(__xludf.DUMMYFUNCTION("""COMPUTED_VALUE"""),"sw2_ka04a9520_jetting")</f>
        <v>sw2_ka04a9520_jetting</v>
      </c>
      <c r="D1964" s="2">
        <f ca="1">IFERROR(__xludf.DUMMYFUNCTION("""COMPUTED_VALUE"""),44208)</f>
        <v>44208</v>
      </c>
      <c r="E1964" s="3">
        <f ca="1">IFERROR(__xludf.DUMMYFUNCTION("""COMPUTED_VALUE"""),0.512488425927585)</f>
        <v>0.51248842592758503</v>
      </c>
      <c r="F1964" s="1">
        <f ca="1">IFERROR(__xludf.DUMMYFUNCTION("""COMPUTED_VALUE"""),9897)</f>
        <v>9897</v>
      </c>
      <c r="G1964" s="1" t="str">
        <f ca="1">IFERROR(__xludf.DUMMYFUNCTION("""COMPUTED_VALUE"""),"12.9777/77.4387")</f>
        <v>12.9777/77.4387</v>
      </c>
      <c r="H1964" s="1" t="str">
        <f ca="1">IFERROR(__xludf.DUMMYFUNCTION("""COMPUTED_VALUE"""),"Bayandhalli")</f>
        <v>Bayandhalli</v>
      </c>
      <c r="I1964" s="1"/>
      <c r="J1964" s="1" t="str">
        <f ca="1">IFERROR(__xludf.DUMMYFUNCTION("""COMPUTED_VALUE"""),"1162d 23h 13m")</f>
        <v>1162d 23h 13m</v>
      </c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13.2">
      <c r="A1965" s="1">
        <f ca="1">IFERROR(__xludf.DUMMYFUNCTION("""COMPUTED_VALUE"""),148)</f>
        <v>148</v>
      </c>
      <c r="B1965" s="1" t="str">
        <f ca="1">IFERROR(__xludf.DUMMYFUNCTION("""COMPUTED_VALUE"""),"SW2_KA04A9522_JETTING")</f>
        <v>SW2_KA04A9522_JETTING</v>
      </c>
      <c r="C1965" s="1" t="str">
        <f ca="1">IFERROR(__xludf.DUMMYFUNCTION("""COMPUTED_VALUE"""),"sw2_ka04a9522_jetting")</f>
        <v>sw2_ka04a9522_jetting</v>
      </c>
      <c r="D1965" s="2">
        <f ca="1">IFERROR(__xludf.DUMMYFUNCTION("""COMPUTED_VALUE"""),45287)</f>
        <v>45287</v>
      </c>
      <c r="E1965" s="3">
        <f ca="1">IFERROR(__xludf.DUMMYFUNCTION("""COMPUTED_VALUE"""),0.384675925924966)</f>
        <v>0.38467592592496602</v>
      </c>
      <c r="F1965" s="1">
        <f ca="1">IFERROR(__xludf.DUMMYFUNCTION("""COMPUTED_VALUE"""),740172)</f>
        <v>740172</v>
      </c>
      <c r="G1965" s="1" t="str">
        <f ca="1">IFERROR(__xludf.DUMMYFUNCTION("""COMPUTED_VALUE"""),"12.9587/77.5779")</f>
        <v>12.9587/77.5779</v>
      </c>
      <c r="H1965" s="1" t="str">
        <f ca="1">IFERROR(__xludf.DUMMYFUNCTION("""COMPUTED_VALUE"""),"Hotel Sapphire")</f>
        <v>Hotel Sapphire</v>
      </c>
      <c r="I1965" s="1"/>
      <c r="J1965" s="1" t="str">
        <f ca="1">IFERROR(__xludf.DUMMYFUNCTION("""COMPUTED_VALUE"""),"151d 11h 45m")</f>
        <v>151d 11h 45m</v>
      </c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13.2">
      <c r="A1966" s="1">
        <f ca="1">IFERROR(__xludf.DUMMYFUNCTION("""COMPUTED_VALUE"""),3)</f>
        <v>3</v>
      </c>
      <c r="B1966" s="1" t="str">
        <f ca="1">IFERROR(__xludf.DUMMYFUNCTION("""COMPUTED_VALUE"""),"SW2_KA04AA7685_DESILTING")</f>
        <v>SW2_KA04AA7685_DESILTING</v>
      </c>
      <c r="C1966" s="1" t="str">
        <f ca="1">IFERROR(__xludf.DUMMYFUNCTION("""COMPUTED_VALUE"""),"sw2_ka04aa7685_desilting")</f>
        <v>sw2_ka04aa7685_desilting</v>
      </c>
      <c r="D1966" s="2">
        <f ca="1">IFERROR(__xludf.DUMMYFUNCTION("""COMPUTED_VALUE"""),41640)</f>
        <v>41640</v>
      </c>
      <c r="E1966" s="3">
        <f ca="1">IFERROR(__xludf.DUMMYFUNCTION("""COMPUTED_VALUE"""),0.229398148148902)</f>
        <v>0.229398148148902</v>
      </c>
      <c r="F1966" s="1">
        <f ca="1">IFERROR(__xludf.DUMMYFUNCTION("""COMPUTED_VALUE"""),7981)</f>
        <v>7981</v>
      </c>
      <c r="G1966" s="1"/>
      <c r="H1966" s="1"/>
      <c r="I1966" s="1"/>
      <c r="J1966" s="1" t="str">
        <f ca="1">IFERROR(__xludf.DUMMYFUNCTION("""COMPUTED_VALUE"""),"0d 01h 11m")</f>
        <v>0d 01h 11m</v>
      </c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13.2">
      <c r="A1967" s="1">
        <f ca="1">IFERROR(__xludf.DUMMYFUNCTION("""COMPUTED_VALUE"""),3)</f>
        <v>3</v>
      </c>
      <c r="B1967" s="1" t="str">
        <f ca="1">IFERROR(__xludf.DUMMYFUNCTION("""COMPUTED_VALUE"""),"SW2_KA04AA7685_DESILTING")</f>
        <v>SW2_KA04AA7685_DESILTING</v>
      </c>
      <c r="C1967" s="1" t="str">
        <f ca="1">IFERROR(__xludf.DUMMYFUNCTION("""COMPUTED_VALUE"""),"sw2_ka04aa7685_desilting")</f>
        <v>sw2_ka04aa7685_desilting</v>
      </c>
      <c r="D1967" s="2">
        <f ca="1">IFERROR(__xludf.DUMMYFUNCTION("""COMPUTED_VALUE"""),41640)</f>
        <v>41640</v>
      </c>
      <c r="E1967" s="3">
        <f ca="1">IFERROR(__xludf.DUMMYFUNCTION("""COMPUTED_VALUE"""),0.229398148148902)</f>
        <v>0.229398148148902</v>
      </c>
      <c r="F1967" s="1">
        <f ca="1">IFERROR(__xludf.DUMMYFUNCTION("""COMPUTED_VALUE"""),7981)</f>
        <v>7981</v>
      </c>
      <c r="G1967" s="1"/>
      <c r="H1967" s="1"/>
      <c r="I1967" s="1"/>
      <c r="J1967" s="1" t="str">
        <f ca="1">IFERROR(__xludf.DUMMYFUNCTION("""COMPUTED_VALUE"""),"0d 01h 12m")</f>
        <v>0d 01h 12m</v>
      </c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13.2">
      <c r="A1968" s="1">
        <f ca="1">IFERROR(__xludf.DUMMYFUNCTION("""COMPUTED_VALUE"""),3)</f>
        <v>3</v>
      </c>
      <c r="B1968" s="1" t="str">
        <f ca="1">IFERROR(__xludf.DUMMYFUNCTION("""COMPUTED_VALUE"""),"SW2_KA04AA7685_DESILTING")</f>
        <v>SW2_KA04AA7685_DESILTING</v>
      </c>
      <c r="C1968" s="1" t="str">
        <f ca="1">IFERROR(__xludf.DUMMYFUNCTION("""COMPUTED_VALUE"""),"sw2_ka04aa7685_desilting")</f>
        <v>sw2_ka04aa7685_desilting</v>
      </c>
      <c r="D1968" s="2">
        <f ca="1">IFERROR(__xludf.DUMMYFUNCTION("""COMPUTED_VALUE"""),41640)</f>
        <v>41640</v>
      </c>
      <c r="E1968" s="3">
        <f ca="1">IFERROR(__xludf.DUMMYFUNCTION("""COMPUTED_VALUE"""),0.229398148148902)</f>
        <v>0.229398148148902</v>
      </c>
      <c r="F1968" s="1">
        <f ca="1">IFERROR(__xludf.DUMMYFUNCTION("""COMPUTED_VALUE"""),7981)</f>
        <v>7981</v>
      </c>
      <c r="G1968" s="1"/>
      <c r="H1968" s="1"/>
      <c r="I1968" s="1"/>
      <c r="J1968" s="1" t="str">
        <f ca="1">IFERROR(__xludf.DUMMYFUNCTION("""COMPUTED_VALUE"""),"0d 01h 15m")</f>
        <v>0d 01h 15m</v>
      </c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13.2">
      <c r="A1969" s="1">
        <f ca="1">IFERROR(__xludf.DUMMYFUNCTION("""COMPUTED_VALUE"""),3)</f>
        <v>3</v>
      </c>
      <c r="B1969" s="1" t="str">
        <f ca="1">IFERROR(__xludf.DUMMYFUNCTION("""COMPUTED_VALUE"""),"SW2_KA04AA7685_DESILTING")</f>
        <v>SW2_KA04AA7685_DESILTING</v>
      </c>
      <c r="C1969" s="1" t="str">
        <f ca="1">IFERROR(__xludf.DUMMYFUNCTION("""COMPUTED_VALUE"""),"sw2_ka04aa7685_desilting")</f>
        <v>sw2_ka04aa7685_desilting</v>
      </c>
      <c r="D1969" s="2">
        <f ca="1">IFERROR(__xludf.DUMMYFUNCTION("""COMPUTED_VALUE"""),41640)</f>
        <v>41640</v>
      </c>
      <c r="E1969" s="3">
        <f ca="1">IFERROR(__xludf.DUMMYFUNCTION("""COMPUTED_VALUE"""),0.229398148148902)</f>
        <v>0.229398148148902</v>
      </c>
      <c r="F1969" s="1">
        <f ca="1">IFERROR(__xludf.DUMMYFUNCTION("""COMPUTED_VALUE"""),7981)</f>
        <v>7981</v>
      </c>
      <c r="G1969" s="1"/>
      <c r="H1969" s="1"/>
      <c r="I1969" s="1"/>
      <c r="J1969" s="1" t="str">
        <f ca="1">IFERROR(__xludf.DUMMYFUNCTION("""COMPUTED_VALUE"""),"0d 01h 16m")</f>
        <v>0d 01h 16m</v>
      </c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13.2">
      <c r="A1970" s="1">
        <f ca="1">IFERROR(__xludf.DUMMYFUNCTION("""COMPUTED_VALUE"""),3)</f>
        <v>3</v>
      </c>
      <c r="B1970" s="1" t="str">
        <f ca="1">IFERROR(__xludf.DUMMYFUNCTION("""COMPUTED_VALUE"""),"SW2_KA04AA7685_DESILTING")</f>
        <v>SW2_KA04AA7685_DESILTING</v>
      </c>
      <c r="C1970" s="1" t="str">
        <f ca="1">IFERROR(__xludf.DUMMYFUNCTION("""COMPUTED_VALUE"""),"sw2_ka04aa7685_desilting")</f>
        <v>sw2_ka04aa7685_desilting</v>
      </c>
      <c r="D1970" s="2">
        <f ca="1">IFERROR(__xludf.DUMMYFUNCTION("""COMPUTED_VALUE"""),41640)</f>
        <v>41640</v>
      </c>
      <c r="E1970" s="3">
        <f ca="1">IFERROR(__xludf.DUMMYFUNCTION("""COMPUTED_VALUE"""),0.229398148148902)</f>
        <v>0.229398148148902</v>
      </c>
      <c r="F1970" s="1">
        <f ca="1">IFERROR(__xludf.DUMMYFUNCTION("""COMPUTED_VALUE"""),7981)</f>
        <v>7981</v>
      </c>
      <c r="G1970" s="1"/>
      <c r="H1970" s="1"/>
      <c r="I1970" s="1"/>
      <c r="J1970" s="1" t="str">
        <f ca="1">IFERROR(__xludf.DUMMYFUNCTION("""COMPUTED_VALUE"""),"0d 01h 17m")</f>
        <v>0d 01h 17m</v>
      </c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13.2">
      <c r="A1971" s="1">
        <f ca="1">IFERROR(__xludf.DUMMYFUNCTION("""COMPUTED_VALUE"""),3)</f>
        <v>3</v>
      </c>
      <c r="B1971" s="1" t="str">
        <f ca="1">IFERROR(__xludf.DUMMYFUNCTION("""COMPUTED_VALUE"""),"SW2_KA04AA7685_DESILTING")</f>
        <v>SW2_KA04AA7685_DESILTING</v>
      </c>
      <c r="C1971" s="1" t="str">
        <f ca="1">IFERROR(__xludf.DUMMYFUNCTION("""COMPUTED_VALUE"""),"sw2_ka04aa7685_desilting")</f>
        <v>sw2_ka04aa7685_desilting</v>
      </c>
      <c r="D1971" s="2">
        <f ca="1">IFERROR(__xludf.DUMMYFUNCTION("""COMPUTED_VALUE"""),41640)</f>
        <v>41640</v>
      </c>
      <c r="E1971" s="3">
        <f ca="1">IFERROR(__xludf.DUMMYFUNCTION("""COMPUTED_VALUE"""),0.229398148148902)</f>
        <v>0.229398148148902</v>
      </c>
      <c r="F1971" s="1">
        <f ca="1">IFERROR(__xludf.DUMMYFUNCTION("""COMPUTED_VALUE"""),7981)</f>
        <v>7981</v>
      </c>
      <c r="G1971" s="1"/>
      <c r="H1971" s="1"/>
      <c r="I1971" s="1"/>
      <c r="J1971" s="1" t="str">
        <f ca="1">IFERROR(__xludf.DUMMYFUNCTION("""COMPUTED_VALUE"""),"0d 01h 19m")</f>
        <v>0d 01h 19m</v>
      </c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13.2">
      <c r="A1972" s="1">
        <f ca="1">IFERROR(__xludf.DUMMYFUNCTION("""COMPUTED_VALUE"""),3)</f>
        <v>3</v>
      </c>
      <c r="B1972" s="1" t="str">
        <f ca="1">IFERROR(__xludf.DUMMYFUNCTION("""COMPUTED_VALUE"""),"SW2_KA04AA7685_DESILTING")</f>
        <v>SW2_KA04AA7685_DESILTING</v>
      </c>
      <c r="C1972" s="1" t="str">
        <f ca="1">IFERROR(__xludf.DUMMYFUNCTION("""COMPUTED_VALUE"""),"sw2_ka04aa7685_desilting")</f>
        <v>sw2_ka04aa7685_desilting</v>
      </c>
      <c r="D1972" s="2">
        <f ca="1">IFERROR(__xludf.DUMMYFUNCTION("""COMPUTED_VALUE"""),41640)</f>
        <v>41640</v>
      </c>
      <c r="E1972" s="3">
        <f ca="1">IFERROR(__xludf.DUMMYFUNCTION("""COMPUTED_VALUE"""),0.229398148148902)</f>
        <v>0.229398148148902</v>
      </c>
      <c r="F1972" s="1">
        <f ca="1">IFERROR(__xludf.DUMMYFUNCTION("""COMPUTED_VALUE"""),7981)</f>
        <v>7981</v>
      </c>
      <c r="G1972" s="1"/>
      <c r="H1972" s="1"/>
      <c r="I1972" s="1"/>
      <c r="J1972" s="1" t="str">
        <f ca="1">IFERROR(__xludf.DUMMYFUNCTION("""COMPUTED_VALUE"""),"0d 01h 20m")</f>
        <v>0d 01h 20m</v>
      </c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13.2">
      <c r="A1973" s="1">
        <f ca="1">IFERROR(__xludf.DUMMYFUNCTION("""COMPUTED_VALUE"""),227)</f>
        <v>227</v>
      </c>
      <c r="B1973" s="1" t="str">
        <f ca="1">IFERROR(__xludf.DUMMYFUNCTION("""COMPUTED_VALUE"""),"SW2_KA04AB5797_Jetting")</f>
        <v>SW2_KA04AB5797_Jetting</v>
      </c>
      <c r="C1973" s="1" t="str">
        <f ca="1">IFERROR(__xludf.DUMMYFUNCTION("""COMPUTED_VALUE"""),"sw2_ka04ab5797_jetting")</f>
        <v>sw2_ka04ab5797_jetting</v>
      </c>
      <c r="D1973" s="2">
        <f ca="1">IFERROR(__xludf.DUMMYFUNCTION("""COMPUTED_VALUE"""),44707)</f>
        <v>44707</v>
      </c>
      <c r="E1973" s="3">
        <f ca="1">IFERROR(__xludf.DUMMYFUNCTION("""COMPUTED_VALUE"""),0.99929398148015)</f>
        <v>0.99929398148015003</v>
      </c>
      <c r="F1973" s="1">
        <f ca="1">IFERROR(__xludf.DUMMYFUNCTION("""COMPUTED_VALUE"""),8935)</f>
        <v>8935</v>
      </c>
      <c r="G1973" s="1" t="str">
        <f ca="1">IFERROR(__xludf.DUMMYFUNCTION("""COMPUTED_VALUE"""),"12.9302/77.5474")</f>
        <v>12.9302/77.5474</v>
      </c>
      <c r="H1973" s="1" t="str">
        <f ca="1">IFERROR(__xludf.DUMMYFUNCTION("""COMPUTED_VALUE"""),"Srinivasa Nagar")</f>
        <v>Srinivasa Nagar</v>
      </c>
      <c r="I1973" s="1"/>
      <c r="J1973" s="1" t="str">
        <f ca="1">IFERROR(__xludf.DUMMYFUNCTION("""COMPUTED_VALUE"""),"0d 00h 00m")</f>
        <v>0d 00h 00m</v>
      </c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13.2">
      <c r="A1974" s="1">
        <f ca="1">IFERROR(__xludf.DUMMYFUNCTION("""COMPUTED_VALUE"""),192)</f>
        <v>192</v>
      </c>
      <c r="B1974" s="1" t="str">
        <f ca="1">IFERROR(__xludf.DUMMYFUNCTION("""COMPUTED_VALUE"""),"SW2_KA04AB5797_Jetting")</f>
        <v>SW2_KA04AB5797_Jetting</v>
      </c>
      <c r="C1974" s="1" t="str">
        <f ca="1">IFERROR(__xludf.DUMMYFUNCTION("""COMPUTED_VALUE"""),"sw2_ka04ab5797_jetting")</f>
        <v>sw2_ka04ab5797_jetting</v>
      </c>
      <c r="D1974" s="2">
        <f ca="1">IFERROR(__xludf.DUMMYFUNCTION("""COMPUTED_VALUE"""),44738)</f>
        <v>44738</v>
      </c>
      <c r="E1974" s="3">
        <f ca="1">IFERROR(__xludf.DUMMYFUNCTION("""COMPUTED_VALUE"""),0.999120370372111)</f>
        <v>0.99912037037211099</v>
      </c>
      <c r="F1974" s="1">
        <f ca="1">IFERROR(__xludf.DUMMYFUNCTION("""COMPUTED_VALUE"""),9198)</f>
        <v>9198</v>
      </c>
      <c r="G1974" s="1" t="str">
        <f ca="1">IFERROR(__xludf.DUMMYFUNCTION("""COMPUTED_VALUE"""),"12.9303/77.5472")</f>
        <v>12.9303/77.5472</v>
      </c>
      <c r="H1974" s="1" t="str">
        <f ca="1">IFERROR(__xludf.DUMMYFUNCTION("""COMPUTED_VALUE"""),"Srinivasa Nagar")</f>
        <v>Srinivasa Nagar</v>
      </c>
      <c r="I1974" s="1"/>
      <c r="J1974" s="1" t="str">
        <f ca="1">IFERROR(__xludf.DUMMYFUNCTION("""COMPUTED_VALUE"""),"0d 00h 00m")</f>
        <v>0d 00h 00m</v>
      </c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13.2">
      <c r="A1975" s="1">
        <f ca="1">IFERROR(__xludf.DUMMYFUNCTION("""COMPUTED_VALUE"""),180)</f>
        <v>180</v>
      </c>
      <c r="B1975" s="1" t="str">
        <f ca="1">IFERROR(__xludf.DUMMYFUNCTION("""COMPUTED_VALUE"""),"SW2_KA04AB5797_Jetting")</f>
        <v>SW2_KA04AB5797_Jetting</v>
      </c>
      <c r="C1975" s="1" t="str">
        <f ca="1">IFERROR(__xludf.DUMMYFUNCTION("""COMPUTED_VALUE"""),"sw2_ka04ab5797_jetting")</f>
        <v>sw2_ka04ab5797_jetting</v>
      </c>
      <c r="D1975" s="2">
        <f ca="1">IFERROR(__xludf.DUMMYFUNCTION("""COMPUTED_VALUE"""),44768)</f>
        <v>44768</v>
      </c>
      <c r="E1975" s="3">
        <f ca="1">IFERROR(__xludf.DUMMYFUNCTION("""COMPUTED_VALUE"""),0.999027777776063)</f>
        <v>0.999027777776063</v>
      </c>
      <c r="F1975" s="1">
        <f ca="1">IFERROR(__xludf.DUMMYFUNCTION("""COMPUTED_VALUE"""),9466)</f>
        <v>9466</v>
      </c>
      <c r="G1975" s="1" t="str">
        <f ca="1">IFERROR(__xludf.DUMMYFUNCTION("""COMPUTED_VALUE"""),"12.9302/77.5474")</f>
        <v>12.9302/77.5474</v>
      </c>
      <c r="H1975" s="1" t="str">
        <f ca="1">IFERROR(__xludf.DUMMYFUNCTION("""COMPUTED_VALUE"""),"Srinivasa Nagar")</f>
        <v>Srinivasa Nagar</v>
      </c>
      <c r="I1975" s="1"/>
      <c r="J1975" s="1" t="str">
        <f ca="1">IFERROR(__xludf.DUMMYFUNCTION("""COMPUTED_VALUE"""),"0d 00h 00m")</f>
        <v>0d 00h 00m</v>
      </c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13.2">
      <c r="A1976" s="1">
        <f ca="1">IFERROR(__xludf.DUMMYFUNCTION("""COMPUTED_VALUE"""),213)</f>
        <v>213</v>
      </c>
      <c r="B1976" s="1" t="str">
        <f ca="1">IFERROR(__xludf.DUMMYFUNCTION("""COMPUTED_VALUE"""),"SW2_KA04AB5797_Jetting")</f>
        <v>SW2_KA04AB5797_Jetting</v>
      </c>
      <c r="C1976" s="1" t="str">
        <f ca="1">IFERROR(__xludf.DUMMYFUNCTION("""COMPUTED_VALUE"""),"sw2_ka04ab5797_jetting")</f>
        <v>sw2_ka04ab5797_jetting</v>
      </c>
      <c r="D1976" s="2">
        <f ca="1">IFERROR(__xludf.DUMMYFUNCTION("""COMPUTED_VALUE"""),44799)</f>
        <v>44799</v>
      </c>
      <c r="E1976" s="3">
        <f ca="1">IFERROR(__xludf.DUMMYFUNCTION("""COMPUTED_VALUE"""),0.999178240741457)</f>
        <v>0.999178240741457</v>
      </c>
      <c r="F1976" s="1">
        <f ca="1">IFERROR(__xludf.DUMMYFUNCTION("""COMPUTED_VALUE"""),9760)</f>
        <v>9760</v>
      </c>
      <c r="G1976" s="1" t="str">
        <f ca="1">IFERROR(__xludf.DUMMYFUNCTION("""COMPUTED_VALUE"""),"12.9301/77.5474")</f>
        <v>12.9301/77.5474</v>
      </c>
      <c r="H1976" s="1" t="str">
        <f ca="1">IFERROR(__xludf.DUMMYFUNCTION("""COMPUTED_VALUE"""),"Srinivasa Nagar")</f>
        <v>Srinivasa Nagar</v>
      </c>
      <c r="I1976" s="1"/>
      <c r="J1976" s="1" t="str">
        <f ca="1">IFERROR(__xludf.DUMMYFUNCTION("""COMPUTED_VALUE"""),"0d 00h 00m")</f>
        <v>0d 00h 00m</v>
      </c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13.2">
      <c r="A1977" s="1">
        <f ca="1">IFERROR(__xludf.DUMMYFUNCTION("""COMPUTED_VALUE"""),167)</f>
        <v>167</v>
      </c>
      <c r="B1977" s="1" t="str">
        <f ca="1">IFERROR(__xludf.DUMMYFUNCTION("""COMPUTED_VALUE"""),"SW2_KA04AB5797_Jetting")</f>
        <v>SW2_KA04AB5797_Jetting</v>
      </c>
      <c r="C1977" s="1" t="str">
        <f ca="1">IFERROR(__xludf.DUMMYFUNCTION("""COMPUTED_VALUE"""),"sw2_ka04ab5797_jetting")</f>
        <v>sw2_ka04ab5797_jetting</v>
      </c>
      <c r="D1977" s="2">
        <f ca="1">IFERROR(__xludf.DUMMYFUNCTION("""COMPUTED_VALUE"""),44830)</f>
        <v>44830</v>
      </c>
      <c r="E1977" s="3">
        <f ca="1">IFERROR(__xludf.DUMMYFUNCTION("""COMPUTED_VALUE"""),0.998981481479859)</f>
        <v>0.99898148147985899</v>
      </c>
      <c r="F1977" s="1">
        <f ca="1">IFERROR(__xludf.DUMMYFUNCTION("""COMPUTED_VALUE"""),10055)</f>
        <v>10055</v>
      </c>
      <c r="G1977" s="1" t="str">
        <f ca="1">IFERROR(__xludf.DUMMYFUNCTION("""COMPUTED_VALUE"""),"12.9302/77.5473")</f>
        <v>12.9302/77.5473</v>
      </c>
      <c r="H1977" s="1" t="str">
        <f ca="1">IFERROR(__xludf.DUMMYFUNCTION("""COMPUTED_VALUE"""),"Srinivasa Nagar")</f>
        <v>Srinivasa Nagar</v>
      </c>
      <c r="I1977" s="1"/>
      <c r="J1977" s="1" t="str">
        <f ca="1">IFERROR(__xludf.DUMMYFUNCTION("""COMPUTED_VALUE"""),"0d 00h 00m")</f>
        <v>0d 00h 00m</v>
      </c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13.2">
      <c r="A1978" s="1">
        <f ca="1">IFERROR(__xludf.DUMMYFUNCTION("""COMPUTED_VALUE"""),207)</f>
        <v>207</v>
      </c>
      <c r="B1978" s="1" t="str">
        <f ca="1">IFERROR(__xludf.DUMMYFUNCTION("""COMPUTED_VALUE"""),"SW2_KA04AB5797_Jetting")</f>
        <v>SW2_KA04AB5797_Jetting</v>
      </c>
      <c r="C1978" s="1" t="str">
        <f ca="1">IFERROR(__xludf.DUMMYFUNCTION("""COMPUTED_VALUE"""),"sw2_ka04ab5797_jetting")</f>
        <v>sw2_ka04ab5797_jetting</v>
      </c>
      <c r="D1978" s="2">
        <f ca="1">IFERROR(__xludf.DUMMYFUNCTION("""COMPUTED_VALUE"""),44860)</f>
        <v>44860</v>
      </c>
      <c r="E1978" s="3">
        <f ca="1">IFERROR(__xludf.DUMMYFUNCTION("""COMPUTED_VALUE"""),0.999178240741457)</f>
        <v>0.999178240741457</v>
      </c>
      <c r="F1978" s="1">
        <f ca="1">IFERROR(__xludf.DUMMYFUNCTION("""COMPUTED_VALUE"""),10380)</f>
        <v>10380</v>
      </c>
      <c r="G1978" s="1" t="str">
        <f ca="1">IFERROR(__xludf.DUMMYFUNCTION("""COMPUTED_VALUE"""),"12.9301/77.5474")</f>
        <v>12.9301/77.5474</v>
      </c>
      <c r="H1978" s="1" t="str">
        <f ca="1">IFERROR(__xludf.DUMMYFUNCTION("""COMPUTED_VALUE"""),"Srinivasa Nagar")</f>
        <v>Srinivasa Nagar</v>
      </c>
      <c r="I1978" s="1"/>
      <c r="J1978" s="1" t="str">
        <f ca="1">IFERROR(__xludf.DUMMYFUNCTION("""COMPUTED_VALUE"""),"0d 00h 00m")</f>
        <v>0d 00h 00m</v>
      </c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13.2">
      <c r="A1979" s="1">
        <f ca="1">IFERROR(__xludf.DUMMYFUNCTION("""COMPUTED_VALUE"""),71)</f>
        <v>71</v>
      </c>
      <c r="B1979" s="1" t="str">
        <f ca="1">IFERROR(__xludf.DUMMYFUNCTION("""COMPUTED_VALUE"""),"SW2_KA04C5143_Jetting")</f>
        <v>SW2_KA04C5143_Jetting</v>
      </c>
      <c r="C1979" s="1" t="str">
        <f ca="1">IFERROR(__xludf.DUMMYFUNCTION("""COMPUTED_VALUE"""),"sw2_ka04c5143_jetting")</f>
        <v>sw2_ka04c5143_jetting</v>
      </c>
      <c r="D1979" s="2">
        <f ca="1">IFERROR(__xludf.DUMMYFUNCTION("""COMPUTED_VALUE"""),44688)</f>
        <v>44688</v>
      </c>
      <c r="E1979" s="3">
        <f ca="1">IFERROR(__xludf.DUMMYFUNCTION("""COMPUTED_VALUE"""),0.731909722220734)</f>
        <v>0.73190972222073403</v>
      </c>
      <c r="F1979" s="1">
        <f ca="1">IFERROR(__xludf.DUMMYFUNCTION("""COMPUTED_VALUE"""),38838)</f>
        <v>38838</v>
      </c>
      <c r="G1979" s="1" t="str">
        <f ca="1">IFERROR(__xludf.DUMMYFUNCTION("""COMPUTED_VALUE"""),"12.9241/77.5578")</f>
        <v>12.9241/77.5578</v>
      </c>
      <c r="H1979" s="1" t="str">
        <f ca="1">IFERROR(__xludf.DUMMYFUNCTION("""COMPUTED_VALUE"""),"PETROL BUNK ORR")</f>
        <v>PETROL BUNK ORR</v>
      </c>
      <c r="I1979" s="1"/>
      <c r="J1979" s="1" t="str">
        <f ca="1">IFERROR(__xludf.DUMMYFUNCTION("""COMPUTED_VALUE"""),"0d 00h 00m")</f>
        <v>0d 00h 00m</v>
      </c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13.2">
      <c r="A1980" s="1">
        <f ca="1">IFERROR(__xludf.DUMMYFUNCTION("""COMPUTED_VALUE"""),183)</f>
        <v>183</v>
      </c>
      <c r="B1980" s="1" t="str">
        <f ca="1">IFERROR(__xludf.DUMMYFUNCTION("""COMPUTED_VALUE"""),"SW2_KA04C5143_Jetting")</f>
        <v>SW2_KA04C5143_Jetting</v>
      </c>
      <c r="C1980" s="1" t="str">
        <f ca="1">IFERROR(__xludf.DUMMYFUNCTION("""COMPUTED_VALUE"""),"sw2_ka04c5143_jetting")</f>
        <v>sw2_ka04c5143_jetting</v>
      </c>
      <c r="D1980" s="2">
        <f ca="1">IFERROR(__xludf.DUMMYFUNCTION("""COMPUTED_VALUE"""),44738)</f>
        <v>44738</v>
      </c>
      <c r="E1980" s="3">
        <f ca="1">IFERROR(__xludf.DUMMYFUNCTION("""COMPUTED_VALUE"""),0.999097222222189)</f>
        <v>0.999097222222189</v>
      </c>
      <c r="F1980" s="1">
        <f ca="1">IFERROR(__xludf.DUMMYFUNCTION("""COMPUTED_VALUE"""),38896)</f>
        <v>38896</v>
      </c>
      <c r="G1980" s="1" t="str">
        <f ca="1">IFERROR(__xludf.DUMMYFUNCTION("""COMPUTED_VALUE"""),"12.9239/77.5575")</f>
        <v>12.9239/77.5575</v>
      </c>
      <c r="H1980" s="1" t="str">
        <f ca="1">IFERROR(__xludf.DUMMYFUNCTION("""COMPUTED_VALUE"""),"PETROL BUNK ORR")</f>
        <v>PETROL BUNK ORR</v>
      </c>
      <c r="I1980" s="1"/>
      <c r="J1980" s="1" t="str">
        <f ca="1">IFERROR(__xludf.DUMMYFUNCTION("""COMPUTED_VALUE"""),"0d 00h 00m")</f>
        <v>0d 00h 00m</v>
      </c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13.2">
      <c r="A1981" s="1">
        <f ca="1">IFERROR(__xludf.DUMMYFUNCTION("""COMPUTED_VALUE"""),126)</f>
        <v>126</v>
      </c>
      <c r="B1981" s="1" t="str">
        <f ca="1">IFERROR(__xludf.DUMMYFUNCTION("""COMPUTED_VALUE"""),"SW2_KA04C5143_Jetting")</f>
        <v>SW2_KA04C5143_Jetting</v>
      </c>
      <c r="C1981" s="1" t="str">
        <f ca="1">IFERROR(__xludf.DUMMYFUNCTION("""COMPUTED_VALUE"""),"sw2_ka04c5143_jetting")</f>
        <v>sw2_ka04c5143_jetting</v>
      </c>
      <c r="D1981" s="2">
        <f ca="1">IFERROR(__xludf.DUMMYFUNCTION("""COMPUTED_VALUE"""),44767)</f>
        <v>44767</v>
      </c>
      <c r="E1981" s="3">
        <f ca="1">IFERROR(__xludf.DUMMYFUNCTION("""COMPUTED_VALUE"""),0.294641203705396)</f>
        <v>0.29464120370539598</v>
      </c>
      <c r="F1981" s="1">
        <f ca="1">IFERROR(__xludf.DUMMYFUNCTION("""COMPUTED_VALUE"""),38967)</f>
        <v>38967</v>
      </c>
      <c r="G1981" s="1" t="str">
        <f ca="1">IFERROR(__xludf.DUMMYFUNCTION("""COMPUTED_VALUE"""),"12.9244/77.5576")</f>
        <v>12.9244/77.5576</v>
      </c>
      <c r="H1981" s="1" t="str">
        <f ca="1">IFERROR(__xludf.DUMMYFUNCTION("""COMPUTED_VALUE"""),"PETROL BUNK ORR")</f>
        <v>PETROL BUNK ORR</v>
      </c>
      <c r="I1981" s="1"/>
      <c r="J1981" s="1" t="str">
        <f ca="1">IFERROR(__xludf.DUMMYFUNCTION("""COMPUTED_VALUE"""),"0d 00h 00m")</f>
        <v>0d 00h 00m</v>
      </c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13.2">
      <c r="A1982" s="1">
        <f ca="1">IFERROR(__xludf.DUMMYFUNCTION("""COMPUTED_VALUE"""),118)</f>
        <v>118</v>
      </c>
      <c r="B1982" s="1" t="str">
        <f ca="1">IFERROR(__xludf.DUMMYFUNCTION("""COMPUTED_VALUE"""),"SW2_KA04C5143_Jetting")</f>
        <v>SW2_KA04C5143_Jetting</v>
      </c>
      <c r="C1982" s="1" t="str">
        <f ca="1">IFERROR(__xludf.DUMMYFUNCTION("""COMPUTED_VALUE"""),"sw2_ka04c5143_jetting")</f>
        <v>sw2_ka04c5143_jetting</v>
      </c>
      <c r="D1982" s="2">
        <f ca="1">IFERROR(__xludf.DUMMYFUNCTION("""COMPUTED_VALUE"""),44791)</f>
        <v>44791</v>
      </c>
      <c r="E1982" s="3">
        <f ca="1">IFERROR(__xludf.DUMMYFUNCTION("""COMPUTED_VALUE"""),0.390347222222771)</f>
        <v>0.39034722222277102</v>
      </c>
      <c r="F1982" s="1">
        <f ca="1">IFERROR(__xludf.DUMMYFUNCTION("""COMPUTED_VALUE"""),38984)</f>
        <v>38984</v>
      </c>
      <c r="G1982" s="1" t="str">
        <f ca="1">IFERROR(__xludf.DUMMYFUNCTION("""COMPUTED_VALUE"""),"12.9243/77.5577")</f>
        <v>12.9243/77.5577</v>
      </c>
      <c r="H1982" s="1" t="str">
        <f ca="1">IFERROR(__xludf.DUMMYFUNCTION("""COMPUTED_VALUE"""),"PETROL BUNK ORR")</f>
        <v>PETROL BUNK ORR</v>
      </c>
      <c r="I1982" s="1"/>
      <c r="J1982" s="1" t="str">
        <f ca="1">IFERROR(__xludf.DUMMYFUNCTION("""COMPUTED_VALUE"""),"0d 00h 00m")</f>
        <v>0d 00h 00m</v>
      </c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13.2">
      <c r="A1983" s="1">
        <f ca="1">IFERROR(__xludf.DUMMYFUNCTION("""COMPUTED_VALUE"""),121)</f>
        <v>121</v>
      </c>
      <c r="B1983" s="1" t="str">
        <f ca="1">IFERROR(__xludf.DUMMYFUNCTION("""COMPUTED_VALUE"""),"SW2_KA04C5143_Jetting")</f>
        <v>SW2_KA04C5143_Jetting</v>
      </c>
      <c r="C1983" s="1" t="str">
        <f ca="1">IFERROR(__xludf.DUMMYFUNCTION("""COMPUTED_VALUE"""),"sw2_ka04c5143_jetting")</f>
        <v>sw2_ka04c5143_jetting</v>
      </c>
      <c r="D1983" s="2">
        <f ca="1">IFERROR(__xludf.DUMMYFUNCTION("""COMPUTED_VALUE"""),44826)</f>
        <v>44826</v>
      </c>
      <c r="E1983" s="3">
        <f ca="1">IFERROR(__xludf.DUMMYFUNCTION("""COMPUTED_VALUE"""),0.774004629631235)</f>
        <v>0.77400462963123495</v>
      </c>
      <c r="F1983" s="1">
        <f ca="1">IFERROR(__xludf.DUMMYFUNCTION("""COMPUTED_VALUE"""),39009)</f>
        <v>39009</v>
      </c>
      <c r="G1983" s="1" t="str">
        <f ca="1">IFERROR(__xludf.DUMMYFUNCTION("""COMPUTED_VALUE"""),"12.8751/77.5176")</f>
        <v>12.8751/77.5176</v>
      </c>
      <c r="H1983" s="1" t="str">
        <f ca="1">IFERROR(__xludf.DUMMYFUNCTION("""COMPUTED_VALUE"""),"Poornapragana Layout")</f>
        <v>Poornapragana Layout</v>
      </c>
      <c r="I1983" s="1"/>
      <c r="J1983" s="1" t="str">
        <f ca="1">IFERROR(__xludf.DUMMYFUNCTION("""COMPUTED_VALUE"""),"0d 00h 00m")</f>
        <v>0d 00h 00m</v>
      </c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13.2">
      <c r="A1984" s="1">
        <f ca="1">IFERROR(__xludf.DUMMYFUNCTION("""COMPUTED_VALUE"""),85)</f>
        <v>85</v>
      </c>
      <c r="B1984" s="1" t="str">
        <f ca="1">IFERROR(__xludf.DUMMYFUNCTION("""COMPUTED_VALUE"""),"SW2_KA04C5143_Jetting")</f>
        <v>SW2_KA04C5143_Jetting</v>
      </c>
      <c r="C1984" s="1" t="str">
        <f ca="1">IFERROR(__xludf.DUMMYFUNCTION("""COMPUTED_VALUE"""),"sw2_ka04c5143_jetting")</f>
        <v>sw2_ka04c5143_jetting</v>
      </c>
      <c r="D1984" s="2">
        <f ca="1">IFERROR(__xludf.DUMMYFUNCTION("""COMPUTED_VALUE"""),44848)</f>
        <v>44848</v>
      </c>
      <c r="E1984" s="3">
        <f ca="1">IFERROR(__xludf.DUMMYFUNCTION("""COMPUTED_VALUE"""),0.706747685184382)</f>
        <v>0.70674768518438202</v>
      </c>
      <c r="F1984" s="1">
        <f ca="1">IFERROR(__xludf.DUMMYFUNCTION("""COMPUTED_VALUE"""),39013)</f>
        <v>39013</v>
      </c>
      <c r="G1984" s="1" t="str">
        <f ca="1">IFERROR(__xludf.DUMMYFUNCTION("""COMPUTED_VALUE"""),"12.9016/77.5108")</f>
        <v>12.9016/77.5108</v>
      </c>
      <c r="H1984" s="1" t="str">
        <f ca="1">IFERROR(__xludf.DUMMYFUNCTION("""COMPUTED_VALUE"""),"Rajarajeshwari Nagar")</f>
        <v>Rajarajeshwari Nagar</v>
      </c>
      <c r="I1984" s="1"/>
      <c r="J1984" s="1" t="str">
        <f ca="1">IFERROR(__xludf.DUMMYFUNCTION("""COMPUTED_VALUE"""),"0d 00h 00m")</f>
        <v>0d 00h 00m</v>
      </c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13.2">
      <c r="A1985" s="1">
        <f ca="1">IFERROR(__xludf.DUMMYFUNCTION("""COMPUTED_VALUE"""),64)</f>
        <v>64</v>
      </c>
      <c r="B1985" s="1" t="str">
        <f ca="1">IFERROR(__xludf.DUMMYFUNCTION("""COMPUTED_VALUE"""),"SW2_KA04C5161_JETTING")</f>
        <v>SW2_KA04C5161_JETTING</v>
      </c>
      <c r="C1985" s="1" t="str">
        <f ca="1">IFERROR(__xludf.DUMMYFUNCTION("""COMPUTED_VALUE"""),"sw2_ka04c5161_jetting")</f>
        <v>sw2_ka04c5161_jetting</v>
      </c>
      <c r="D1985" s="2">
        <f ca="1">IFERROR(__xludf.DUMMYFUNCTION("""COMPUTED_VALUE"""),41640)</f>
        <v>41640</v>
      </c>
      <c r="E1985" s="3">
        <f ca="1">IFERROR(__xludf.DUMMYFUNCTION("""COMPUTED_VALUE"""),0.5268402777765)</f>
        <v>0.5268402777765</v>
      </c>
      <c r="F1985" s="1">
        <f ca="1">IFERROR(__xludf.DUMMYFUNCTION("""COMPUTED_VALUE"""),18264)</f>
        <v>18264</v>
      </c>
      <c r="G1985" s="1" t="str">
        <f ca="1">IFERROR(__xludf.DUMMYFUNCTION("""COMPUTED_VALUE"""),"13.0236/77.5587")</f>
        <v>13.0236/77.5587</v>
      </c>
      <c r="H1985" s="1" t="str">
        <f ca="1">IFERROR(__xludf.DUMMYFUNCTION("""COMPUTED_VALUE"""),"Devanalya")</f>
        <v>Devanalya</v>
      </c>
      <c r="I1985" s="1"/>
      <c r="J1985" s="1" t="str">
        <f ca="1">IFERROR(__xludf.DUMMYFUNCTION("""COMPUTED_VALUE"""),"0d 00h 00m")</f>
        <v>0d 00h 00m</v>
      </c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13.2">
      <c r="A1986" s="1">
        <f ca="1">IFERROR(__xludf.DUMMYFUNCTION("""COMPUTED_VALUE"""),64)</f>
        <v>64</v>
      </c>
      <c r="B1986" s="1" t="str">
        <f ca="1">IFERROR(__xludf.DUMMYFUNCTION("""COMPUTED_VALUE"""),"SW2_KA04C5161_JETTING")</f>
        <v>SW2_KA04C5161_JETTING</v>
      </c>
      <c r="C1986" s="1" t="str">
        <f ca="1">IFERROR(__xludf.DUMMYFUNCTION("""COMPUTED_VALUE"""),"sw2_ka04c5161_jetting")</f>
        <v>sw2_ka04c5161_jetting</v>
      </c>
      <c r="D1986" s="2">
        <f ca="1">IFERROR(__xludf.DUMMYFUNCTION("""COMPUTED_VALUE"""),41640)</f>
        <v>41640</v>
      </c>
      <c r="E1986" s="3">
        <f ca="1">IFERROR(__xludf.DUMMYFUNCTION("""COMPUTED_VALUE"""),0.5268402777765)</f>
        <v>0.5268402777765</v>
      </c>
      <c r="F1986" s="1">
        <f ca="1">IFERROR(__xludf.DUMMYFUNCTION("""COMPUTED_VALUE"""),18264)</f>
        <v>18264</v>
      </c>
      <c r="G1986" s="1" t="str">
        <f ca="1">IFERROR(__xludf.DUMMYFUNCTION("""COMPUTED_VALUE"""),"13.0236/77.5587")</f>
        <v>13.0236/77.5587</v>
      </c>
      <c r="H1986" s="1" t="str">
        <f ca="1">IFERROR(__xludf.DUMMYFUNCTION("""COMPUTED_VALUE"""),"Devanalya")</f>
        <v>Devanalya</v>
      </c>
      <c r="I1986" s="1"/>
      <c r="J1986" s="1" t="str">
        <f ca="1">IFERROR(__xludf.DUMMYFUNCTION("""COMPUTED_VALUE"""),"0d 00h 00m")</f>
        <v>0d 00h 00m</v>
      </c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13.2">
      <c r="A1987" s="1">
        <f ca="1">IFERROR(__xludf.DUMMYFUNCTION("""COMPUTED_VALUE"""),63)</f>
        <v>63</v>
      </c>
      <c r="B1987" s="1" t="str">
        <f ca="1">IFERROR(__xludf.DUMMYFUNCTION("""COMPUTED_VALUE"""),"SW2_KA04C5161_JETTING")</f>
        <v>SW2_KA04C5161_JETTING</v>
      </c>
      <c r="C1987" s="1" t="str">
        <f ca="1">IFERROR(__xludf.DUMMYFUNCTION("""COMPUTED_VALUE"""),"sw2_ka04c5161_jetting")</f>
        <v>sw2_ka04c5161_jetting</v>
      </c>
      <c r="D1987" s="2">
        <f ca="1">IFERROR(__xludf.DUMMYFUNCTION("""COMPUTED_VALUE"""),41640)</f>
        <v>41640</v>
      </c>
      <c r="E1987" s="3">
        <f ca="1">IFERROR(__xludf.DUMMYFUNCTION("""COMPUTED_VALUE"""),0.5268402777765)</f>
        <v>0.5268402777765</v>
      </c>
      <c r="F1987" s="1">
        <f ca="1">IFERROR(__xludf.DUMMYFUNCTION("""COMPUTED_VALUE"""),18264)</f>
        <v>18264</v>
      </c>
      <c r="G1987" s="1" t="str">
        <f ca="1">IFERROR(__xludf.DUMMYFUNCTION("""COMPUTED_VALUE"""),"13.0236/77.5587")</f>
        <v>13.0236/77.5587</v>
      </c>
      <c r="H1987" s="1" t="str">
        <f ca="1">IFERROR(__xludf.DUMMYFUNCTION("""COMPUTED_VALUE"""),"Devanalya")</f>
        <v>Devanalya</v>
      </c>
      <c r="I1987" s="1"/>
      <c r="J1987" s="1" t="str">
        <f ca="1">IFERROR(__xludf.DUMMYFUNCTION("""COMPUTED_VALUE"""),"0d 00h 00m")</f>
        <v>0d 00h 00m</v>
      </c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13.2">
      <c r="A1988" s="1">
        <f ca="1">IFERROR(__xludf.DUMMYFUNCTION("""COMPUTED_VALUE"""),63)</f>
        <v>63</v>
      </c>
      <c r="B1988" s="1" t="str">
        <f ca="1">IFERROR(__xludf.DUMMYFUNCTION("""COMPUTED_VALUE"""),"SW2_KA04C5161_JETTING")</f>
        <v>SW2_KA04C5161_JETTING</v>
      </c>
      <c r="C1988" s="1" t="str">
        <f ca="1">IFERROR(__xludf.DUMMYFUNCTION("""COMPUTED_VALUE"""),"sw2_ka04c5161_jetting")</f>
        <v>sw2_ka04c5161_jetting</v>
      </c>
      <c r="D1988" s="2">
        <f ca="1">IFERROR(__xludf.DUMMYFUNCTION("""COMPUTED_VALUE"""),41640)</f>
        <v>41640</v>
      </c>
      <c r="E1988" s="3">
        <f ca="1">IFERROR(__xludf.DUMMYFUNCTION("""COMPUTED_VALUE"""),0.5268402777765)</f>
        <v>0.5268402777765</v>
      </c>
      <c r="F1988" s="1">
        <f ca="1">IFERROR(__xludf.DUMMYFUNCTION("""COMPUTED_VALUE"""),18264)</f>
        <v>18264</v>
      </c>
      <c r="G1988" s="1" t="str">
        <f ca="1">IFERROR(__xludf.DUMMYFUNCTION("""COMPUTED_VALUE"""),"13.0236/77.5587")</f>
        <v>13.0236/77.5587</v>
      </c>
      <c r="H1988" s="1" t="str">
        <f ca="1">IFERROR(__xludf.DUMMYFUNCTION("""COMPUTED_VALUE"""),"Devanalya")</f>
        <v>Devanalya</v>
      </c>
      <c r="I1988" s="1"/>
      <c r="J1988" s="1" t="str">
        <f ca="1">IFERROR(__xludf.DUMMYFUNCTION("""COMPUTED_VALUE"""),"0d 00h 00m")</f>
        <v>0d 00h 00m</v>
      </c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13.2">
      <c r="A1989" s="1">
        <f ca="1">IFERROR(__xludf.DUMMYFUNCTION("""COMPUTED_VALUE"""),63)</f>
        <v>63</v>
      </c>
      <c r="B1989" s="1" t="str">
        <f ca="1">IFERROR(__xludf.DUMMYFUNCTION("""COMPUTED_VALUE"""),"SW2_KA04C5161_JETTING")</f>
        <v>SW2_KA04C5161_JETTING</v>
      </c>
      <c r="C1989" s="1" t="str">
        <f ca="1">IFERROR(__xludf.DUMMYFUNCTION("""COMPUTED_VALUE"""),"sw2_ka04c5161_jetting")</f>
        <v>sw2_ka04c5161_jetting</v>
      </c>
      <c r="D1989" s="2">
        <f ca="1">IFERROR(__xludf.DUMMYFUNCTION("""COMPUTED_VALUE"""),41640)</f>
        <v>41640</v>
      </c>
      <c r="E1989" s="3">
        <f ca="1">IFERROR(__xludf.DUMMYFUNCTION("""COMPUTED_VALUE"""),0.5268402777765)</f>
        <v>0.5268402777765</v>
      </c>
      <c r="F1989" s="1">
        <f ca="1">IFERROR(__xludf.DUMMYFUNCTION("""COMPUTED_VALUE"""),18264)</f>
        <v>18264</v>
      </c>
      <c r="G1989" s="1" t="str">
        <f ca="1">IFERROR(__xludf.DUMMYFUNCTION("""COMPUTED_VALUE"""),"13.0236/77.5587")</f>
        <v>13.0236/77.5587</v>
      </c>
      <c r="H1989" s="1" t="str">
        <f ca="1">IFERROR(__xludf.DUMMYFUNCTION("""COMPUTED_VALUE"""),"Devanalya")</f>
        <v>Devanalya</v>
      </c>
      <c r="I1989" s="1"/>
      <c r="J1989" s="1" t="str">
        <f ca="1">IFERROR(__xludf.DUMMYFUNCTION("""COMPUTED_VALUE"""),"0d 00h 00m")</f>
        <v>0d 00h 00m</v>
      </c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13.2">
      <c r="A1990" s="1">
        <f ca="1">IFERROR(__xludf.DUMMYFUNCTION("""COMPUTED_VALUE"""),63)</f>
        <v>63</v>
      </c>
      <c r="B1990" s="1" t="str">
        <f ca="1">IFERROR(__xludf.DUMMYFUNCTION("""COMPUTED_VALUE"""),"SW2_KA04C5161_JETTING")</f>
        <v>SW2_KA04C5161_JETTING</v>
      </c>
      <c r="C1990" s="1" t="str">
        <f ca="1">IFERROR(__xludf.DUMMYFUNCTION("""COMPUTED_VALUE"""),"sw2_ka04c5161_jetting")</f>
        <v>sw2_ka04c5161_jetting</v>
      </c>
      <c r="D1990" s="2">
        <f ca="1">IFERROR(__xludf.DUMMYFUNCTION("""COMPUTED_VALUE"""),41640)</f>
        <v>41640</v>
      </c>
      <c r="E1990" s="3">
        <f ca="1">IFERROR(__xludf.DUMMYFUNCTION("""COMPUTED_VALUE"""),0.5268402777765)</f>
        <v>0.5268402777765</v>
      </c>
      <c r="F1990" s="1">
        <f ca="1">IFERROR(__xludf.DUMMYFUNCTION("""COMPUTED_VALUE"""),18264)</f>
        <v>18264</v>
      </c>
      <c r="G1990" s="1" t="str">
        <f ca="1">IFERROR(__xludf.DUMMYFUNCTION("""COMPUTED_VALUE"""),"13.0236/77.5587")</f>
        <v>13.0236/77.5587</v>
      </c>
      <c r="H1990" s="1" t="str">
        <f ca="1">IFERROR(__xludf.DUMMYFUNCTION("""COMPUTED_VALUE"""),"Devanalya")</f>
        <v>Devanalya</v>
      </c>
      <c r="I1990" s="1"/>
      <c r="J1990" s="1" t="str">
        <f ca="1">IFERROR(__xludf.DUMMYFUNCTION("""COMPUTED_VALUE"""),"0d 00h 00m")</f>
        <v>0d 00h 00m</v>
      </c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13.2">
      <c r="A1991" s="1">
        <f ca="1">IFERROR(__xludf.DUMMYFUNCTION("""COMPUTED_VALUE"""),63)</f>
        <v>63</v>
      </c>
      <c r="B1991" s="1" t="str">
        <f ca="1">IFERROR(__xludf.DUMMYFUNCTION("""COMPUTED_VALUE"""),"SW2_KA04C5161_JETTING")</f>
        <v>SW2_KA04C5161_JETTING</v>
      </c>
      <c r="C1991" s="1" t="str">
        <f ca="1">IFERROR(__xludf.DUMMYFUNCTION("""COMPUTED_VALUE"""),"sw2_ka04c5161_jetting")</f>
        <v>sw2_ka04c5161_jetting</v>
      </c>
      <c r="D1991" s="2">
        <f ca="1">IFERROR(__xludf.DUMMYFUNCTION("""COMPUTED_VALUE"""),41640)</f>
        <v>41640</v>
      </c>
      <c r="E1991" s="3">
        <f ca="1">IFERROR(__xludf.DUMMYFUNCTION("""COMPUTED_VALUE"""),0.5268402777765)</f>
        <v>0.5268402777765</v>
      </c>
      <c r="F1991" s="1">
        <f ca="1">IFERROR(__xludf.DUMMYFUNCTION("""COMPUTED_VALUE"""),18264)</f>
        <v>18264</v>
      </c>
      <c r="G1991" s="1" t="str">
        <f ca="1">IFERROR(__xludf.DUMMYFUNCTION("""COMPUTED_VALUE"""),"13.0236/77.5587")</f>
        <v>13.0236/77.5587</v>
      </c>
      <c r="H1991" s="1" t="str">
        <f ca="1">IFERROR(__xludf.DUMMYFUNCTION("""COMPUTED_VALUE"""),"DevanpÄlya")</f>
        <v>DevanpÄlya</v>
      </c>
      <c r="I1991" s="1"/>
      <c r="J1991" s="1" t="str">
        <f ca="1">IFERROR(__xludf.DUMMYFUNCTION("""COMPUTED_VALUE"""),"0d 00h 00m")</f>
        <v>0d 00h 00m</v>
      </c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13.2">
      <c r="A1992" s="1">
        <f ca="1">IFERROR(__xludf.DUMMYFUNCTION("""COMPUTED_VALUE"""),26)</f>
        <v>26</v>
      </c>
      <c r="B1992" s="1" t="str">
        <f ca="1">IFERROR(__xludf.DUMMYFUNCTION("""COMPUTED_VALUE"""),"SW2_KA04D4605_Jetting")</f>
        <v>SW2_KA04D4605_Jetting</v>
      </c>
      <c r="C1992" s="1" t="str">
        <f ca="1">IFERROR(__xludf.DUMMYFUNCTION("""COMPUTED_VALUE"""),"sw2_ka04d4605_jetting")</f>
        <v>sw2_ka04d4605_jetting</v>
      </c>
      <c r="D1992" s="2">
        <f ca="1">IFERROR(__xludf.DUMMYFUNCTION("""COMPUTED_VALUE"""),44041)</f>
        <v>44041</v>
      </c>
      <c r="E1992" s="3">
        <f ca="1">IFERROR(__xludf.DUMMYFUNCTION("""COMPUTED_VALUE"""),0.434247685185255)</f>
        <v>0.43424768518525497</v>
      </c>
      <c r="F1992" s="1">
        <f ca="1">IFERROR(__xludf.DUMMYFUNCTION("""COMPUTED_VALUE"""),17890)</f>
        <v>17890</v>
      </c>
      <c r="G1992" s="1" t="str">
        <f ca="1">IFERROR(__xludf.DUMMYFUNCTION("""COMPUTED_VALUE"""),"12.9296/77.5350")</f>
        <v>12.9296/77.5350</v>
      </c>
      <c r="H1992" s="1" t="str">
        <f ca="1">IFERROR(__xludf.DUMMYFUNCTION("""COMPUTED_VALUE"""),"Hosakerahalli")</f>
        <v>Hosakerahalli</v>
      </c>
      <c r="I1992" s="1"/>
      <c r="J1992" s="1" t="str">
        <f ca="1">IFERROR(__xludf.DUMMYFUNCTION("""COMPUTED_VALUE"""),"876d 00h 05m")</f>
        <v>876d 00h 05m</v>
      </c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13.2">
      <c r="A1993" s="1">
        <f ca="1">IFERROR(__xludf.DUMMYFUNCTION("""COMPUTED_VALUE"""),25)</f>
        <v>25</v>
      </c>
      <c r="B1993" s="1" t="str">
        <f ca="1">IFERROR(__xludf.DUMMYFUNCTION("""COMPUTED_VALUE"""),"SW2_KA04D4605_Jetting")</f>
        <v>SW2_KA04D4605_Jetting</v>
      </c>
      <c r="C1993" s="1" t="str">
        <f ca="1">IFERROR(__xludf.DUMMYFUNCTION("""COMPUTED_VALUE"""),"sw2_ka04d4605_jetting")</f>
        <v>sw2_ka04d4605_jetting</v>
      </c>
      <c r="D1993" s="2">
        <f ca="1">IFERROR(__xludf.DUMMYFUNCTION("""COMPUTED_VALUE"""),44041)</f>
        <v>44041</v>
      </c>
      <c r="E1993" s="3">
        <f ca="1">IFERROR(__xludf.DUMMYFUNCTION("""COMPUTED_VALUE"""),0.434247685185255)</f>
        <v>0.43424768518525497</v>
      </c>
      <c r="F1993" s="1">
        <f ca="1">IFERROR(__xludf.DUMMYFUNCTION("""COMPUTED_VALUE"""),17890)</f>
        <v>17890</v>
      </c>
      <c r="G1993" s="1" t="str">
        <f ca="1">IFERROR(__xludf.DUMMYFUNCTION("""COMPUTED_VALUE"""),"12.9296/77.5350")</f>
        <v>12.9296/77.5350</v>
      </c>
      <c r="H1993" s="1" t="str">
        <f ca="1">IFERROR(__xludf.DUMMYFUNCTION("""COMPUTED_VALUE"""),"Hosakerahalli")</f>
        <v>Hosakerahalli</v>
      </c>
      <c r="I1993" s="1"/>
      <c r="J1993" s="1" t="str">
        <f ca="1">IFERROR(__xludf.DUMMYFUNCTION("""COMPUTED_VALUE"""),"876d 00h 06m")</f>
        <v>876d 00h 06m</v>
      </c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13.2">
      <c r="A1994" s="1">
        <f ca="1">IFERROR(__xludf.DUMMYFUNCTION("""COMPUTED_VALUE"""),25)</f>
        <v>25</v>
      </c>
      <c r="B1994" s="1" t="str">
        <f ca="1">IFERROR(__xludf.DUMMYFUNCTION("""COMPUTED_VALUE"""),"SW2_KA04D4605_Jetting")</f>
        <v>SW2_KA04D4605_Jetting</v>
      </c>
      <c r="C1994" s="1" t="str">
        <f ca="1">IFERROR(__xludf.DUMMYFUNCTION("""COMPUTED_VALUE"""),"sw2_ka04d4605_jetting")</f>
        <v>sw2_ka04d4605_jetting</v>
      </c>
      <c r="D1994" s="2">
        <f ca="1">IFERROR(__xludf.DUMMYFUNCTION("""COMPUTED_VALUE"""),44041)</f>
        <v>44041</v>
      </c>
      <c r="E1994" s="3">
        <f ca="1">IFERROR(__xludf.DUMMYFUNCTION("""COMPUTED_VALUE"""),0.434247685185255)</f>
        <v>0.43424768518525497</v>
      </c>
      <c r="F1994" s="1">
        <f ca="1">IFERROR(__xludf.DUMMYFUNCTION("""COMPUTED_VALUE"""),17890)</f>
        <v>17890</v>
      </c>
      <c r="G1994" s="1" t="str">
        <f ca="1">IFERROR(__xludf.DUMMYFUNCTION("""COMPUTED_VALUE"""),"12.9296/77.5350")</f>
        <v>12.9296/77.5350</v>
      </c>
      <c r="H1994" s="1" t="str">
        <f ca="1">IFERROR(__xludf.DUMMYFUNCTION("""COMPUTED_VALUE"""),"Hosakerahalli")</f>
        <v>Hosakerahalli</v>
      </c>
      <c r="I1994" s="1"/>
      <c r="J1994" s="1" t="str">
        <f ca="1">IFERROR(__xludf.DUMMYFUNCTION("""COMPUTED_VALUE"""),"876d 00h 07m")</f>
        <v>876d 00h 07m</v>
      </c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13.2">
      <c r="A1995" s="1">
        <f ca="1">IFERROR(__xludf.DUMMYFUNCTION("""COMPUTED_VALUE"""),25)</f>
        <v>25</v>
      </c>
      <c r="B1995" s="1" t="str">
        <f ca="1">IFERROR(__xludf.DUMMYFUNCTION("""COMPUTED_VALUE"""),"SW2_KA04D4605_Jetting")</f>
        <v>SW2_KA04D4605_Jetting</v>
      </c>
      <c r="C1995" s="1" t="str">
        <f ca="1">IFERROR(__xludf.DUMMYFUNCTION("""COMPUTED_VALUE"""),"sw2_ka04d4605_jetting")</f>
        <v>sw2_ka04d4605_jetting</v>
      </c>
      <c r="D1995" s="2">
        <f ca="1">IFERROR(__xludf.DUMMYFUNCTION("""COMPUTED_VALUE"""),44041)</f>
        <v>44041</v>
      </c>
      <c r="E1995" s="3">
        <f ca="1">IFERROR(__xludf.DUMMYFUNCTION("""COMPUTED_VALUE"""),0.434247685185255)</f>
        <v>0.43424768518525497</v>
      </c>
      <c r="F1995" s="1">
        <f ca="1">IFERROR(__xludf.DUMMYFUNCTION("""COMPUTED_VALUE"""),17890)</f>
        <v>17890</v>
      </c>
      <c r="G1995" s="1" t="str">
        <f ca="1">IFERROR(__xludf.DUMMYFUNCTION("""COMPUTED_VALUE"""),"12.9296/77.5350")</f>
        <v>12.9296/77.5350</v>
      </c>
      <c r="H1995" s="1" t="str">
        <f ca="1">IFERROR(__xludf.DUMMYFUNCTION("""COMPUTED_VALUE"""),"Hosakerahalli")</f>
        <v>Hosakerahalli</v>
      </c>
      <c r="I1995" s="1"/>
      <c r="J1995" s="1" t="str">
        <f ca="1">IFERROR(__xludf.DUMMYFUNCTION("""COMPUTED_VALUE"""),"876d 00h 08m")</f>
        <v>876d 00h 08m</v>
      </c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13.2">
      <c r="A1996" s="1">
        <f ca="1">IFERROR(__xludf.DUMMYFUNCTION("""COMPUTED_VALUE"""),25)</f>
        <v>25</v>
      </c>
      <c r="B1996" s="1" t="str">
        <f ca="1">IFERROR(__xludf.DUMMYFUNCTION("""COMPUTED_VALUE"""),"SW2_KA04D4605_Jetting")</f>
        <v>SW2_KA04D4605_Jetting</v>
      </c>
      <c r="C1996" s="1" t="str">
        <f ca="1">IFERROR(__xludf.DUMMYFUNCTION("""COMPUTED_VALUE"""),"sw2_ka04d4605_jetting")</f>
        <v>sw2_ka04d4605_jetting</v>
      </c>
      <c r="D1996" s="2">
        <f ca="1">IFERROR(__xludf.DUMMYFUNCTION("""COMPUTED_VALUE"""),44041)</f>
        <v>44041</v>
      </c>
      <c r="E1996" s="3">
        <f ca="1">IFERROR(__xludf.DUMMYFUNCTION("""COMPUTED_VALUE"""),0.434247685185255)</f>
        <v>0.43424768518525497</v>
      </c>
      <c r="F1996" s="1">
        <f ca="1">IFERROR(__xludf.DUMMYFUNCTION("""COMPUTED_VALUE"""),17890)</f>
        <v>17890</v>
      </c>
      <c r="G1996" s="1" t="str">
        <f ca="1">IFERROR(__xludf.DUMMYFUNCTION("""COMPUTED_VALUE"""),"12.9296/77.5350")</f>
        <v>12.9296/77.5350</v>
      </c>
      <c r="H1996" s="1" t="str">
        <f ca="1">IFERROR(__xludf.DUMMYFUNCTION("""COMPUTED_VALUE"""),"Hosakerahalli")</f>
        <v>Hosakerahalli</v>
      </c>
      <c r="I1996" s="1"/>
      <c r="J1996" s="1" t="str">
        <f ca="1">IFERROR(__xludf.DUMMYFUNCTION("""COMPUTED_VALUE"""),"876d 00h 09m")</f>
        <v>876d 00h 09m</v>
      </c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13.2">
      <c r="A1997" s="1">
        <f ca="1">IFERROR(__xludf.DUMMYFUNCTION("""COMPUTED_VALUE"""),25)</f>
        <v>25</v>
      </c>
      <c r="B1997" s="1" t="str">
        <f ca="1">IFERROR(__xludf.DUMMYFUNCTION("""COMPUTED_VALUE"""),"SW2_KA04D4605_Jetting")</f>
        <v>SW2_KA04D4605_Jetting</v>
      </c>
      <c r="C1997" s="1" t="str">
        <f ca="1">IFERROR(__xludf.DUMMYFUNCTION("""COMPUTED_VALUE"""),"sw2_ka04d4605_jetting")</f>
        <v>sw2_ka04d4605_jetting</v>
      </c>
      <c r="D1997" s="2">
        <f ca="1">IFERROR(__xludf.DUMMYFUNCTION("""COMPUTED_VALUE"""),44041)</f>
        <v>44041</v>
      </c>
      <c r="E1997" s="3">
        <f ca="1">IFERROR(__xludf.DUMMYFUNCTION("""COMPUTED_VALUE"""),0.434247685185255)</f>
        <v>0.43424768518525497</v>
      </c>
      <c r="F1997" s="1">
        <f ca="1">IFERROR(__xludf.DUMMYFUNCTION("""COMPUTED_VALUE"""),17890)</f>
        <v>17890</v>
      </c>
      <c r="G1997" s="1" t="str">
        <f ca="1">IFERROR(__xludf.DUMMYFUNCTION("""COMPUTED_VALUE"""),"12.9296/77.5350")</f>
        <v>12.9296/77.5350</v>
      </c>
      <c r="H1997" s="1" t="str">
        <f ca="1">IFERROR(__xludf.DUMMYFUNCTION("""COMPUTED_VALUE"""),"Hosakerahalli")</f>
        <v>Hosakerahalli</v>
      </c>
      <c r="I1997" s="1"/>
      <c r="J1997" s="1" t="str">
        <f ca="1">IFERROR(__xludf.DUMMYFUNCTION("""COMPUTED_VALUE"""),"876d 00h 09m")</f>
        <v>876d 00h 09m</v>
      </c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13.2">
      <c r="A1998" s="1">
        <f ca="1">IFERROR(__xludf.DUMMYFUNCTION("""COMPUTED_VALUE"""),12)</f>
        <v>12</v>
      </c>
      <c r="B1998" s="1" t="str">
        <f ca="1">IFERROR(__xludf.DUMMYFUNCTION("""COMPUTED_VALUE"""),"SW2_KA04D4607_JETTING")</f>
        <v>SW2_KA04D4607_JETTING</v>
      </c>
      <c r="C1998" s="1" t="str">
        <f ca="1">IFERROR(__xludf.DUMMYFUNCTION("""COMPUTED_VALUE"""),"sw2_ka04d4607_jetting")</f>
        <v>sw2_ka04d4607_jetting</v>
      </c>
      <c r="D1998" s="2">
        <f ca="1">IFERROR(__xludf.DUMMYFUNCTION("""COMPUTED_VALUE"""),41640)</f>
        <v>41640</v>
      </c>
      <c r="E1998" s="3">
        <f ca="1">IFERROR(__xludf.DUMMYFUNCTION("""COMPUTED_VALUE"""),0.229525462964375)</f>
        <v>0.22952546296437501</v>
      </c>
      <c r="F1998" s="1">
        <f ca="1">IFERROR(__xludf.DUMMYFUNCTION("""COMPUTED_VALUE"""),17960)</f>
        <v>17960</v>
      </c>
      <c r="G1998" s="1"/>
      <c r="H1998" s="1"/>
      <c r="I1998" s="1"/>
      <c r="J1998" s="1" t="str">
        <f ca="1">IFERROR(__xludf.DUMMYFUNCTION("""COMPUTED_VALUE"""),"0d 00h 00m")</f>
        <v>0d 00h 00m</v>
      </c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13.2">
      <c r="A1999" s="1">
        <f ca="1">IFERROR(__xludf.DUMMYFUNCTION("""COMPUTED_VALUE"""),12)</f>
        <v>12</v>
      </c>
      <c r="B1999" s="1" t="str">
        <f ca="1">IFERROR(__xludf.DUMMYFUNCTION("""COMPUTED_VALUE"""),"SW2_KA04D4607_JETTING")</f>
        <v>SW2_KA04D4607_JETTING</v>
      </c>
      <c r="C1999" s="1" t="str">
        <f ca="1">IFERROR(__xludf.DUMMYFUNCTION("""COMPUTED_VALUE"""),"sw2_ka04d4607_jetting")</f>
        <v>sw2_ka04d4607_jetting</v>
      </c>
      <c r="D1999" s="2">
        <f ca="1">IFERROR(__xludf.DUMMYFUNCTION("""COMPUTED_VALUE"""),41640)</f>
        <v>41640</v>
      </c>
      <c r="E1999" s="3">
        <f ca="1">IFERROR(__xludf.DUMMYFUNCTION("""COMPUTED_VALUE"""),0.229525462964375)</f>
        <v>0.22952546296437501</v>
      </c>
      <c r="F1999" s="1">
        <f ca="1">IFERROR(__xludf.DUMMYFUNCTION("""COMPUTED_VALUE"""),17960)</f>
        <v>17960</v>
      </c>
      <c r="G1999" s="1"/>
      <c r="H1999" s="1"/>
      <c r="I1999" s="1"/>
      <c r="J1999" s="1" t="str">
        <f ca="1">IFERROR(__xludf.DUMMYFUNCTION("""COMPUTED_VALUE"""),"0d 00h 00m")</f>
        <v>0d 00h 00m</v>
      </c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13.2">
      <c r="A2000" s="1">
        <f ca="1">IFERROR(__xludf.DUMMYFUNCTION("""COMPUTED_VALUE"""),12)</f>
        <v>12</v>
      </c>
      <c r="B2000" s="1" t="str">
        <f ca="1">IFERROR(__xludf.DUMMYFUNCTION("""COMPUTED_VALUE"""),"SW2_KA04D4607_JETTING")</f>
        <v>SW2_KA04D4607_JETTING</v>
      </c>
      <c r="C2000" s="1" t="str">
        <f ca="1">IFERROR(__xludf.DUMMYFUNCTION("""COMPUTED_VALUE"""),"sw2_ka04d4607_jetting")</f>
        <v>sw2_ka04d4607_jetting</v>
      </c>
      <c r="D2000" s="2">
        <f ca="1">IFERROR(__xludf.DUMMYFUNCTION("""COMPUTED_VALUE"""),41640)</f>
        <v>41640</v>
      </c>
      <c r="E2000" s="3">
        <f ca="1">IFERROR(__xludf.DUMMYFUNCTION("""COMPUTED_VALUE"""),0.229525462964375)</f>
        <v>0.22952546296437501</v>
      </c>
      <c r="F2000" s="1">
        <f ca="1">IFERROR(__xludf.DUMMYFUNCTION("""COMPUTED_VALUE"""),17960)</f>
        <v>17960</v>
      </c>
      <c r="G2000" s="1"/>
      <c r="H2000" s="1"/>
      <c r="I2000" s="1"/>
      <c r="J2000" s="1" t="str">
        <f ca="1">IFERROR(__xludf.DUMMYFUNCTION("""COMPUTED_VALUE"""),"0d 00h 00m")</f>
        <v>0d 00h 00m</v>
      </c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13.2">
      <c r="A2001" s="1">
        <f ca="1">IFERROR(__xludf.DUMMYFUNCTION("""COMPUTED_VALUE"""),12)</f>
        <v>12</v>
      </c>
      <c r="B2001" s="1" t="str">
        <f ca="1">IFERROR(__xludf.DUMMYFUNCTION("""COMPUTED_VALUE"""),"SW2_KA04D4607_JETTING")</f>
        <v>SW2_KA04D4607_JETTING</v>
      </c>
      <c r="C2001" s="1" t="str">
        <f ca="1">IFERROR(__xludf.DUMMYFUNCTION("""COMPUTED_VALUE"""),"sw2_ka04d4607_jetting")</f>
        <v>sw2_ka04d4607_jetting</v>
      </c>
      <c r="D2001" s="2">
        <f ca="1">IFERROR(__xludf.DUMMYFUNCTION("""COMPUTED_VALUE"""),41640)</f>
        <v>41640</v>
      </c>
      <c r="E2001" s="3">
        <f ca="1">IFERROR(__xludf.DUMMYFUNCTION("""COMPUTED_VALUE"""),0.229525462964375)</f>
        <v>0.22952546296437501</v>
      </c>
      <c r="F2001" s="1">
        <f ca="1">IFERROR(__xludf.DUMMYFUNCTION("""COMPUTED_VALUE"""),17960)</f>
        <v>17960</v>
      </c>
      <c r="G2001" s="1"/>
      <c r="H2001" s="1"/>
      <c r="I2001" s="1"/>
      <c r="J2001" s="1" t="str">
        <f ca="1">IFERROR(__xludf.DUMMYFUNCTION("""COMPUTED_VALUE"""),"0d 00h 00m")</f>
        <v>0d 00h 00m</v>
      </c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13.2">
      <c r="A2002" s="1">
        <f ca="1">IFERROR(__xludf.DUMMYFUNCTION("""COMPUTED_VALUE"""),12)</f>
        <v>12</v>
      </c>
      <c r="B2002" s="1" t="str">
        <f ca="1">IFERROR(__xludf.DUMMYFUNCTION("""COMPUTED_VALUE"""),"SW2_KA04D4607_JETTING")</f>
        <v>SW2_KA04D4607_JETTING</v>
      </c>
      <c r="C2002" s="1" t="str">
        <f ca="1">IFERROR(__xludf.DUMMYFUNCTION("""COMPUTED_VALUE"""),"sw2_ka04d4607_jetting")</f>
        <v>sw2_ka04d4607_jetting</v>
      </c>
      <c r="D2002" s="2">
        <f ca="1">IFERROR(__xludf.DUMMYFUNCTION("""COMPUTED_VALUE"""),41640)</f>
        <v>41640</v>
      </c>
      <c r="E2002" s="3">
        <f ca="1">IFERROR(__xludf.DUMMYFUNCTION("""COMPUTED_VALUE"""),0.229525462964375)</f>
        <v>0.22952546296437501</v>
      </c>
      <c r="F2002" s="1">
        <f ca="1">IFERROR(__xludf.DUMMYFUNCTION("""COMPUTED_VALUE"""),17960)</f>
        <v>17960</v>
      </c>
      <c r="G2002" s="1"/>
      <c r="H2002" s="1"/>
      <c r="I2002" s="1"/>
      <c r="J2002" s="1" t="str">
        <f ca="1">IFERROR(__xludf.DUMMYFUNCTION("""COMPUTED_VALUE"""),"0d 00h 00m")</f>
        <v>0d 00h 00m</v>
      </c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13.2">
      <c r="A2003" s="1">
        <f ca="1">IFERROR(__xludf.DUMMYFUNCTION("""COMPUTED_VALUE"""),12)</f>
        <v>12</v>
      </c>
      <c r="B2003" s="1" t="str">
        <f ca="1">IFERROR(__xludf.DUMMYFUNCTION("""COMPUTED_VALUE"""),"SW2_KA04D4607_JETTING")</f>
        <v>SW2_KA04D4607_JETTING</v>
      </c>
      <c r="C2003" s="1" t="str">
        <f ca="1">IFERROR(__xludf.DUMMYFUNCTION("""COMPUTED_VALUE"""),"sw2_ka04d4607_jetting")</f>
        <v>sw2_ka04d4607_jetting</v>
      </c>
      <c r="D2003" s="2">
        <f ca="1">IFERROR(__xludf.DUMMYFUNCTION("""COMPUTED_VALUE"""),41640)</f>
        <v>41640</v>
      </c>
      <c r="E2003" s="3">
        <f ca="1">IFERROR(__xludf.DUMMYFUNCTION("""COMPUTED_VALUE"""),0.229525462964375)</f>
        <v>0.22952546296437501</v>
      </c>
      <c r="F2003" s="1">
        <f ca="1">IFERROR(__xludf.DUMMYFUNCTION("""COMPUTED_VALUE"""),17960)</f>
        <v>17960</v>
      </c>
      <c r="G2003" s="1"/>
      <c r="H2003" s="1"/>
      <c r="I2003" s="1"/>
      <c r="J2003" s="1" t="str">
        <f ca="1">IFERROR(__xludf.DUMMYFUNCTION("""COMPUTED_VALUE"""),"0d 00h 00m")</f>
        <v>0d 00h 00m</v>
      </c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13.2">
      <c r="A2004" s="1">
        <f ca="1">IFERROR(__xludf.DUMMYFUNCTION("""COMPUTED_VALUE"""),12)</f>
        <v>12</v>
      </c>
      <c r="B2004" s="1" t="str">
        <f ca="1">IFERROR(__xludf.DUMMYFUNCTION("""COMPUTED_VALUE"""),"SW2_KA04D4607_JETTING")</f>
        <v>SW2_KA04D4607_JETTING</v>
      </c>
      <c r="C2004" s="1" t="str">
        <f ca="1">IFERROR(__xludf.DUMMYFUNCTION("""COMPUTED_VALUE"""),"sw2_ka04d4607_jetting")</f>
        <v>sw2_ka04d4607_jetting</v>
      </c>
      <c r="D2004" s="2">
        <f ca="1">IFERROR(__xludf.DUMMYFUNCTION("""COMPUTED_VALUE"""),41640)</f>
        <v>41640</v>
      </c>
      <c r="E2004" s="3">
        <f ca="1">IFERROR(__xludf.DUMMYFUNCTION("""COMPUTED_VALUE"""),0.229525462964375)</f>
        <v>0.22952546296437501</v>
      </c>
      <c r="F2004" s="1">
        <f ca="1">IFERROR(__xludf.DUMMYFUNCTION("""COMPUTED_VALUE"""),17960)</f>
        <v>17960</v>
      </c>
      <c r="G2004" s="1"/>
      <c r="H2004" s="1"/>
      <c r="I2004" s="1"/>
      <c r="J2004" s="1" t="str">
        <f ca="1">IFERROR(__xludf.DUMMYFUNCTION("""COMPUTED_VALUE"""),"0d 00h 00m")</f>
        <v>0d 00h 00m</v>
      </c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13.2">
      <c r="A2005" s="1">
        <f ca="1">IFERROR(__xludf.DUMMYFUNCTION("""COMPUTED_VALUE"""),122)</f>
        <v>122</v>
      </c>
      <c r="B2005" s="1" t="str">
        <f ca="1">IFERROR(__xludf.DUMMYFUNCTION("""COMPUTED_VALUE"""),"SW2_KA04D5285_Tanker")</f>
        <v>SW2_KA04D5285_Tanker</v>
      </c>
      <c r="C2005" s="1" t="str">
        <f ca="1">IFERROR(__xludf.DUMMYFUNCTION("""COMPUTED_VALUE"""),"sw2_ka04d5285_tanker")</f>
        <v>sw2_ka04d5285_tanker</v>
      </c>
      <c r="D2005" s="2">
        <f ca="1">IFERROR(__xludf.DUMMYFUNCTION("""COMPUTED_VALUE"""),44707)</f>
        <v>44707</v>
      </c>
      <c r="E2005" s="3">
        <f ca="1">IFERROR(__xludf.DUMMYFUNCTION("""COMPUTED_VALUE"""),0.479120370371674)</f>
        <v>0.47912037037167399</v>
      </c>
      <c r="F2005" s="1">
        <f ca="1">IFERROR(__xludf.DUMMYFUNCTION("""COMPUTED_VALUE"""),21728)</f>
        <v>21728</v>
      </c>
      <c r="G2005" s="1" t="str">
        <f ca="1">IFERROR(__xludf.DUMMYFUNCTION("""COMPUTED_VALUE"""),"12.9427/77.5758")</f>
        <v>12.9427/77.5758</v>
      </c>
      <c r="H2005" s="1" t="str">
        <f ca="1">IFERROR(__xludf.DUMMYFUNCTION("""COMPUTED_VALUE"""),"Venus Residency")</f>
        <v>Venus Residency</v>
      </c>
      <c r="I2005" s="1"/>
      <c r="J2005" s="1" t="str">
        <f ca="1">IFERROR(__xludf.DUMMYFUNCTION("""COMPUTED_VALUE"""),"44d 18h 12m")</f>
        <v>44d 18h 12m</v>
      </c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13.2">
      <c r="A2006" s="1">
        <f ca="1">IFERROR(__xludf.DUMMYFUNCTION("""COMPUTED_VALUE"""),130)</f>
        <v>130</v>
      </c>
      <c r="B2006" s="1" t="str">
        <f ca="1">IFERROR(__xludf.DUMMYFUNCTION("""COMPUTED_VALUE"""),"SW2_KA04D5285_Tanker")</f>
        <v>SW2_KA04D5285_Tanker</v>
      </c>
      <c r="C2006" s="1" t="str">
        <f ca="1">IFERROR(__xludf.DUMMYFUNCTION("""COMPUTED_VALUE"""),"sw2_ka04d5285_tanker")</f>
        <v>sw2_ka04d5285_tanker</v>
      </c>
      <c r="D2006" s="2">
        <f ca="1">IFERROR(__xludf.DUMMYFUNCTION("""COMPUTED_VALUE"""),44737)</f>
        <v>44737</v>
      </c>
      <c r="E2006" s="3">
        <f ca="1">IFERROR(__xludf.DUMMYFUNCTION("""COMPUTED_VALUE"""),0.615914351852552)</f>
        <v>0.61591435185255206</v>
      </c>
      <c r="F2006" s="1">
        <f ca="1">IFERROR(__xludf.DUMMYFUNCTION("""COMPUTED_VALUE"""),22005)</f>
        <v>22005</v>
      </c>
      <c r="G2006" s="1" t="str">
        <f ca="1">IFERROR(__xludf.DUMMYFUNCTION("""COMPUTED_VALUE"""),"12.9429/77.5758")</f>
        <v>12.9429/77.5758</v>
      </c>
      <c r="H2006" s="1" t="str">
        <f ca="1">IFERROR(__xludf.DUMMYFUNCTION("""COMPUTED_VALUE"""),"Venus Residency")</f>
        <v>Venus Residency</v>
      </c>
      <c r="I2006" s="1"/>
      <c r="J2006" s="1" t="str">
        <f ca="1">IFERROR(__xludf.DUMMYFUNCTION("""COMPUTED_VALUE"""),"44d 18h 13m")</f>
        <v>44d 18h 13m</v>
      </c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13.2">
      <c r="A2007" s="1">
        <f ca="1">IFERROR(__xludf.DUMMYFUNCTION("""COMPUTED_VALUE"""),133)</f>
        <v>133</v>
      </c>
      <c r="B2007" s="1" t="str">
        <f ca="1">IFERROR(__xludf.DUMMYFUNCTION("""COMPUTED_VALUE"""),"SW2_KA04D5285_Tanker")</f>
        <v>SW2_KA04D5285_Tanker</v>
      </c>
      <c r="C2007" s="1" t="str">
        <f ca="1">IFERROR(__xludf.DUMMYFUNCTION("""COMPUTED_VALUE"""),"sw2_ka04d5285_tanker")</f>
        <v>sw2_ka04d5285_tanker</v>
      </c>
      <c r="D2007" s="2">
        <f ca="1">IFERROR(__xludf.DUMMYFUNCTION("""COMPUTED_VALUE"""),44768)</f>
        <v>44768</v>
      </c>
      <c r="E2007" s="3">
        <f ca="1">IFERROR(__xludf.DUMMYFUNCTION("""COMPUTED_VALUE"""),0.471307870371674)</f>
        <v>0.47130787037167399</v>
      </c>
      <c r="F2007" s="1">
        <f ca="1">IFERROR(__xludf.DUMMYFUNCTION("""COMPUTED_VALUE"""),22275)</f>
        <v>22275</v>
      </c>
      <c r="G2007" s="1" t="str">
        <f ca="1">IFERROR(__xludf.DUMMYFUNCTION("""COMPUTED_VALUE"""),"12.9429/77.5758")</f>
        <v>12.9429/77.5758</v>
      </c>
      <c r="H2007" s="1" t="str">
        <f ca="1">IFERROR(__xludf.DUMMYFUNCTION("""COMPUTED_VALUE"""),"Venus Residency")</f>
        <v>Venus Residency</v>
      </c>
      <c r="I2007" s="1"/>
      <c r="J2007" s="1" t="str">
        <f ca="1">IFERROR(__xludf.DUMMYFUNCTION("""COMPUTED_VALUE"""),"44d 18h 14m")</f>
        <v>44d 18h 14m</v>
      </c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13.2">
      <c r="A2008" s="1">
        <f ca="1">IFERROR(__xludf.DUMMYFUNCTION("""COMPUTED_VALUE"""),153)</f>
        <v>153</v>
      </c>
      <c r="B2008" s="1" t="str">
        <f ca="1">IFERROR(__xludf.DUMMYFUNCTION("""COMPUTED_VALUE"""),"SW2_KA04D5285_Tanker")</f>
        <v>SW2_KA04D5285_Tanker</v>
      </c>
      <c r="C2008" s="1" t="str">
        <f ca="1">IFERROR(__xludf.DUMMYFUNCTION("""COMPUTED_VALUE"""),"sw2_ka04d5285_tanker")</f>
        <v>sw2_ka04d5285_tanker</v>
      </c>
      <c r="D2008" s="2">
        <f ca="1">IFERROR(__xludf.DUMMYFUNCTION("""COMPUTED_VALUE"""),44799)</f>
        <v>44799</v>
      </c>
      <c r="E2008" s="3">
        <f ca="1">IFERROR(__xludf.DUMMYFUNCTION("""COMPUTED_VALUE"""),0.722037037037807)</f>
        <v>0.72203703703780697</v>
      </c>
      <c r="F2008" s="1">
        <f ca="1">IFERROR(__xludf.DUMMYFUNCTION("""COMPUTED_VALUE"""),22665)</f>
        <v>22665</v>
      </c>
      <c r="G2008" s="1" t="str">
        <f ca="1">IFERROR(__xludf.DUMMYFUNCTION("""COMPUTED_VALUE"""),"12.9428/77.5760")</f>
        <v>12.9428/77.5760</v>
      </c>
      <c r="H2008" s="1" t="str">
        <f ca="1">IFERROR(__xludf.DUMMYFUNCTION("""COMPUTED_VALUE"""),"Venus Residency")</f>
        <v>Venus Residency</v>
      </c>
      <c r="I2008" s="1"/>
      <c r="J2008" s="1" t="str">
        <f ca="1">IFERROR(__xludf.DUMMYFUNCTION("""COMPUTED_VALUE"""),"44d 18h 15m")</f>
        <v>44d 18h 15m</v>
      </c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13.2">
      <c r="A2009" s="1">
        <f ca="1">IFERROR(__xludf.DUMMYFUNCTION("""COMPUTED_VALUE"""),152)</f>
        <v>152</v>
      </c>
      <c r="B2009" s="1" t="str">
        <f ca="1">IFERROR(__xludf.DUMMYFUNCTION("""COMPUTED_VALUE"""),"SW2_KA04D5285_Tanker")</f>
        <v>SW2_KA04D5285_Tanker</v>
      </c>
      <c r="C2009" s="1" t="str">
        <f ca="1">IFERROR(__xludf.DUMMYFUNCTION("""COMPUTED_VALUE"""),"sw2_ka04d5285_tanker")</f>
        <v>sw2_ka04d5285_tanker</v>
      </c>
      <c r="D2009" s="2">
        <f ca="1">IFERROR(__xludf.DUMMYFUNCTION("""COMPUTED_VALUE"""),44830)</f>
        <v>44830</v>
      </c>
      <c r="E2009" s="3">
        <f ca="1">IFERROR(__xludf.DUMMYFUNCTION("""COMPUTED_VALUE"""),0.716805555555765)</f>
        <v>0.71680555555576497</v>
      </c>
      <c r="F2009" s="1">
        <f ca="1">IFERROR(__xludf.DUMMYFUNCTION("""COMPUTED_VALUE"""),22915)</f>
        <v>22915</v>
      </c>
      <c r="G2009" s="1" t="str">
        <f ca="1">IFERROR(__xludf.DUMMYFUNCTION("""COMPUTED_VALUE"""),"12.9429/77.5759")</f>
        <v>12.9429/77.5759</v>
      </c>
      <c r="H2009" s="1" t="str">
        <f ca="1">IFERROR(__xludf.DUMMYFUNCTION("""COMPUTED_VALUE"""),"Venus Residency")</f>
        <v>Venus Residency</v>
      </c>
      <c r="I2009" s="1"/>
      <c r="J2009" s="1" t="str">
        <f ca="1">IFERROR(__xludf.DUMMYFUNCTION("""COMPUTED_VALUE"""),"44d 18h 15m")</f>
        <v>44d 18h 15m</v>
      </c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13.2">
      <c r="A2010" s="1">
        <f ca="1">IFERROR(__xludf.DUMMYFUNCTION("""COMPUTED_VALUE"""),121)</f>
        <v>121</v>
      </c>
      <c r="B2010" s="1" t="str">
        <f ca="1">IFERROR(__xludf.DUMMYFUNCTION("""COMPUTED_VALUE"""),"SW2_KA04D5285_Tanker")</f>
        <v>SW2_KA04D5285_Tanker</v>
      </c>
      <c r="C2010" s="1" t="str">
        <f ca="1">IFERROR(__xludf.DUMMYFUNCTION("""COMPUTED_VALUE"""),"sw2_ka04d5285_tanker")</f>
        <v>sw2_ka04d5285_tanker</v>
      </c>
      <c r="D2010" s="2">
        <f ca="1">IFERROR(__xludf.DUMMYFUNCTION("""COMPUTED_VALUE"""),44860)</f>
        <v>44860</v>
      </c>
      <c r="E2010" s="3">
        <f ca="1">IFERROR(__xludf.DUMMYFUNCTION("""COMPUTED_VALUE"""),0.40636574074233)</f>
        <v>0.40636574074233001</v>
      </c>
      <c r="F2010" s="1">
        <f ca="1">IFERROR(__xludf.DUMMYFUNCTION("""COMPUTED_VALUE"""),23147)</f>
        <v>23147</v>
      </c>
      <c r="G2010" s="1" t="str">
        <f ca="1">IFERROR(__xludf.DUMMYFUNCTION("""COMPUTED_VALUE"""),"12.9432/77.5758")</f>
        <v>12.9432/77.5758</v>
      </c>
      <c r="H2010" s="1" t="str">
        <f ca="1">IFERROR(__xludf.DUMMYFUNCTION("""COMPUTED_VALUE"""),"Venus Residency")</f>
        <v>Venus Residency</v>
      </c>
      <c r="I2010" s="1"/>
      <c r="J2010" s="1" t="str">
        <f ca="1">IFERROR(__xludf.DUMMYFUNCTION("""COMPUTED_VALUE"""),"44d 18h 16m")</f>
        <v>44d 18h 16m</v>
      </c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13.2">
      <c r="A2011" s="1">
        <f ca="1">IFERROR(__xludf.DUMMYFUNCTION("""COMPUTED_VALUE"""),58)</f>
        <v>58</v>
      </c>
      <c r="B2011" s="1" t="str">
        <f ca="1">IFERROR(__xludf.DUMMYFUNCTION("""COMPUTED_VALUE"""),"SW3_KA02AC5929_Jetting")</f>
        <v>SW3_KA02AC5929_Jetting</v>
      </c>
      <c r="C2011" s="1" t="str">
        <f ca="1">IFERROR(__xludf.DUMMYFUNCTION("""COMPUTED_VALUE"""),"sw3_ka02ac5929_jetting")</f>
        <v>sw3_ka02ac5929_jetting</v>
      </c>
      <c r="D2011" s="2">
        <f ca="1">IFERROR(__xludf.DUMMYFUNCTION("""COMPUTED_VALUE"""),44664)</f>
        <v>44664</v>
      </c>
      <c r="E2011" s="3">
        <f ca="1">IFERROR(__xludf.DUMMYFUNCTION("""COMPUTED_VALUE"""),0.397916666664968)</f>
        <v>0.397916666664968</v>
      </c>
      <c r="F2011" s="1">
        <f ca="1">IFERROR(__xludf.DUMMYFUNCTION("""COMPUTED_VALUE"""),22221)</f>
        <v>22221</v>
      </c>
      <c r="G2011" s="1" t="str">
        <f ca="1">IFERROR(__xludf.DUMMYFUNCTION("""COMPUTED_VALUE"""),"12.9431/77.5763")</f>
        <v>12.9431/77.5763</v>
      </c>
      <c r="H2011" s="1" t="str">
        <f ca="1">IFERROR(__xludf.DUMMYFUNCTION("""COMPUTED_VALUE"""),"Venus Residency")</f>
        <v>Venus Residency</v>
      </c>
      <c r="I2011" s="1"/>
      <c r="J2011" s="1" t="str">
        <f ca="1">IFERROR(__xludf.DUMMYFUNCTION("""COMPUTED_VALUE"""),"0d 00h 11m")</f>
        <v>0d 00h 11m</v>
      </c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13.2">
      <c r="A2012" s="1">
        <f ca="1">IFERROR(__xludf.DUMMYFUNCTION("""COMPUTED_VALUE"""),115)</f>
        <v>115</v>
      </c>
      <c r="B2012" s="1" t="str">
        <f ca="1">IFERROR(__xludf.DUMMYFUNCTION("""COMPUTED_VALUE"""),"SW3_KA02AC5929_Jetting")</f>
        <v>SW3_KA02AC5929_Jetting</v>
      </c>
      <c r="C2012" s="1" t="str">
        <f ca="1">IFERROR(__xludf.DUMMYFUNCTION("""COMPUTED_VALUE"""),"sw3_ka02ac5929_jetting")</f>
        <v>sw3_ka02ac5929_jetting</v>
      </c>
      <c r="D2012" s="2">
        <f ca="1">IFERROR(__xludf.DUMMYFUNCTION("""COMPUTED_VALUE"""),44737)</f>
        <v>44737</v>
      </c>
      <c r="E2012" s="3">
        <f ca="1">IFERROR(__xludf.DUMMYFUNCTION("""COMPUTED_VALUE"""),0.226990740738983)</f>
        <v>0.22699074073898301</v>
      </c>
      <c r="F2012" s="1">
        <f ca="1">IFERROR(__xludf.DUMMYFUNCTION("""COMPUTED_VALUE"""),22221)</f>
        <v>22221</v>
      </c>
      <c r="G2012" s="1" t="str">
        <f ca="1">IFERROR(__xludf.DUMMYFUNCTION("""COMPUTED_VALUE"""),"12.9429/77.5764")</f>
        <v>12.9429/77.5764</v>
      </c>
      <c r="H2012" s="1" t="str">
        <f ca="1">IFERROR(__xludf.DUMMYFUNCTION("""COMPUTED_VALUE"""),"Venus Residency")</f>
        <v>Venus Residency</v>
      </c>
      <c r="I2012" s="1"/>
      <c r="J2012" s="1" t="str">
        <f ca="1">IFERROR(__xludf.DUMMYFUNCTION("""COMPUTED_VALUE"""),"0d 00h 13m")</f>
        <v>0d 00h 13m</v>
      </c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13.2">
      <c r="A2013" s="1">
        <f ca="1">IFERROR(__xludf.DUMMYFUNCTION("""COMPUTED_VALUE"""),144)</f>
        <v>144</v>
      </c>
      <c r="B2013" s="1" t="str">
        <f ca="1">IFERROR(__xludf.DUMMYFUNCTION("""COMPUTED_VALUE"""),"SW3_KA02AC5929_Jetting")</f>
        <v>SW3_KA02AC5929_Jetting</v>
      </c>
      <c r="C2013" s="1" t="str">
        <f ca="1">IFERROR(__xludf.DUMMYFUNCTION("""COMPUTED_VALUE"""),"sw3_ka02ac5929_jetting")</f>
        <v>sw3_ka02ac5929_jetting</v>
      </c>
      <c r="D2013" s="2">
        <f ca="1">IFERROR(__xludf.DUMMYFUNCTION("""COMPUTED_VALUE"""),44768)</f>
        <v>44768</v>
      </c>
      <c r="E2013" s="3">
        <f ca="1">IFERROR(__xludf.DUMMYFUNCTION("""COMPUTED_VALUE"""),0.691134259257523)</f>
        <v>0.69113425925752303</v>
      </c>
      <c r="F2013" s="1">
        <f ca="1">IFERROR(__xludf.DUMMYFUNCTION("""COMPUTED_VALUE"""),22302)</f>
        <v>22302</v>
      </c>
      <c r="G2013" s="1" t="str">
        <f ca="1">IFERROR(__xludf.DUMMYFUNCTION("""COMPUTED_VALUE"""),"12.9402/77.5631")</f>
        <v>12.9402/77.5631</v>
      </c>
      <c r="H2013" s="1" t="str">
        <f ca="1">IFERROR(__xludf.DUMMYFUNCTION("""COMPUTED_VALUE"""),"Nirmala Stores")</f>
        <v>Nirmala Stores</v>
      </c>
      <c r="I2013" s="1"/>
      <c r="J2013" s="1" t="str">
        <f ca="1">IFERROR(__xludf.DUMMYFUNCTION("""COMPUTED_VALUE"""),"0d 00h 13m")</f>
        <v>0d 00h 13m</v>
      </c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13.2">
      <c r="A2014" s="1">
        <f ca="1">IFERROR(__xludf.DUMMYFUNCTION("""COMPUTED_VALUE"""),165)</f>
        <v>165</v>
      </c>
      <c r="B2014" s="1" t="str">
        <f ca="1">IFERROR(__xludf.DUMMYFUNCTION("""COMPUTED_VALUE"""),"SW3_KA02AC5929_Jetting")</f>
        <v>SW3_KA02AC5929_Jetting</v>
      </c>
      <c r="C2014" s="1" t="str">
        <f ca="1">IFERROR(__xludf.DUMMYFUNCTION("""COMPUTED_VALUE"""),"sw3_ka02ac5929_jetting")</f>
        <v>sw3_ka02ac5929_jetting</v>
      </c>
      <c r="D2014" s="2">
        <f ca="1">IFERROR(__xludf.DUMMYFUNCTION("""COMPUTED_VALUE"""),44799)</f>
        <v>44799</v>
      </c>
      <c r="E2014" s="3">
        <f ca="1">IFERROR(__xludf.DUMMYFUNCTION("""COMPUTED_VALUE"""),0.98177083333212)</f>
        <v>0.98177083333212001</v>
      </c>
      <c r="F2014" s="1">
        <f ca="1">IFERROR(__xludf.DUMMYFUNCTION("""COMPUTED_VALUE"""),22403)</f>
        <v>22403</v>
      </c>
      <c r="G2014" s="1" t="str">
        <f ca="1">IFERROR(__xludf.DUMMYFUNCTION("""COMPUTED_VALUE"""),"12.9411/77.5413")</f>
        <v>12.9411/77.5413</v>
      </c>
      <c r="H2014" s="1" t="str">
        <f ca="1">IFERROR(__xludf.DUMMYFUNCTION("""COMPUTED_VALUE"""),"Hotel Hindustan International Select")</f>
        <v>Hotel Hindustan International Select</v>
      </c>
      <c r="I2014" s="1"/>
      <c r="J2014" s="1" t="str">
        <f ca="1">IFERROR(__xludf.DUMMYFUNCTION("""COMPUTED_VALUE"""),"0d 00h 14m")</f>
        <v>0d 00h 14m</v>
      </c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13.2">
      <c r="A2015" s="1">
        <f ca="1">IFERROR(__xludf.DUMMYFUNCTION("""COMPUTED_VALUE"""),113)</f>
        <v>113</v>
      </c>
      <c r="B2015" s="1" t="str">
        <f ca="1">IFERROR(__xludf.DUMMYFUNCTION("""COMPUTED_VALUE"""),"SW3_KA02AC5929_Jetting")</f>
        <v>SW3_KA02AC5929_Jetting</v>
      </c>
      <c r="C2015" s="1" t="str">
        <f ca="1">IFERROR(__xludf.DUMMYFUNCTION("""COMPUTED_VALUE"""),"sw3_ka02ac5929_jetting")</f>
        <v>sw3_ka02ac5929_jetting</v>
      </c>
      <c r="D2015" s="2">
        <f ca="1">IFERROR(__xludf.DUMMYFUNCTION("""COMPUTED_VALUE"""),44825)</f>
        <v>44825</v>
      </c>
      <c r="E2015" s="3">
        <f ca="1">IFERROR(__xludf.DUMMYFUNCTION("""COMPUTED_VALUE"""),0.544548611109348)</f>
        <v>0.54454861110934805</v>
      </c>
      <c r="F2015" s="1">
        <f ca="1">IFERROR(__xludf.DUMMYFUNCTION("""COMPUTED_VALUE"""),22428)</f>
        <v>22428</v>
      </c>
      <c r="G2015" s="1" t="str">
        <f ca="1">IFERROR(__xludf.DUMMYFUNCTION("""COMPUTED_VALUE"""),"12.8986/77.5117")</f>
        <v>12.8986/77.5117</v>
      </c>
      <c r="H2015" s="1" t="str">
        <f ca="1">IFERROR(__xludf.DUMMYFUNCTION("""COMPUTED_VALUE"""),"Rajarajeshwari Nagar")</f>
        <v>Rajarajeshwari Nagar</v>
      </c>
      <c r="I2015" s="1"/>
      <c r="J2015" s="1" t="str">
        <f ca="1">IFERROR(__xludf.DUMMYFUNCTION("""COMPUTED_VALUE"""),"0d 00h 15m")</f>
        <v>0d 00h 15m</v>
      </c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13.2">
      <c r="A2016" s="1">
        <f ca="1">IFERROR(__xludf.DUMMYFUNCTION("""COMPUTED_VALUE"""),137)</f>
        <v>137</v>
      </c>
      <c r="B2016" s="1" t="str">
        <f ca="1">IFERROR(__xludf.DUMMYFUNCTION("""COMPUTED_VALUE"""),"SW3_KA02AC5929_Jetting")</f>
        <v>SW3_KA02AC5929_Jetting</v>
      </c>
      <c r="C2016" s="1" t="str">
        <f ca="1">IFERROR(__xludf.DUMMYFUNCTION("""COMPUTED_VALUE"""),"sw3_ka02ac5929_jetting")</f>
        <v>sw3_ka02ac5929_jetting</v>
      </c>
      <c r="D2016" s="2">
        <f ca="1">IFERROR(__xludf.DUMMYFUNCTION("""COMPUTED_VALUE"""),44860)</f>
        <v>44860</v>
      </c>
      <c r="E2016" s="3">
        <f ca="1">IFERROR(__xludf.DUMMYFUNCTION("""COMPUTED_VALUE"""),0.632256944445543)</f>
        <v>0.63225694444554303</v>
      </c>
      <c r="F2016" s="1">
        <f ca="1">IFERROR(__xludf.DUMMYFUNCTION("""COMPUTED_VALUE"""),22458)</f>
        <v>22458</v>
      </c>
      <c r="G2016" s="1" t="str">
        <f ca="1">IFERROR(__xludf.DUMMYFUNCTION("""COMPUTED_VALUE"""),"12.9403/77.5617")</f>
        <v>12.9403/77.5617</v>
      </c>
      <c r="H2016" s="1" t="str">
        <f ca="1">IFERROR(__xludf.DUMMYFUNCTION("""COMPUTED_VALUE"""),"Nirmala Stores")</f>
        <v>Nirmala Stores</v>
      </c>
      <c r="I2016" s="1"/>
      <c r="J2016" s="1" t="str">
        <f ca="1">IFERROR(__xludf.DUMMYFUNCTION("""COMPUTED_VALUE"""),"0d 00h 16m")</f>
        <v>0d 00h 16m</v>
      </c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13.2">
      <c r="A2017" s="1">
        <f ca="1">IFERROR(__xludf.DUMMYFUNCTION("""COMPUTED_VALUE"""),142)</f>
        <v>142</v>
      </c>
      <c r="B2017" s="1" t="str">
        <f ca="1">IFERROR(__xludf.DUMMYFUNCTION("""COMPUTED_VALUE"""),"SW3_KA02AC5929_JETTING")</f>
        <v>SW3_KA02AC5929_JETTING</v>
      </c>
      <c r="C2017" s="1" t="str">
        <f ca="1">IFERROR(__xludf.DUMMYFUNCTION("""COMPUTED_VALUE"""),"sw3_ka02ac5929_jetting")</f>
        <v>sw3_ka02ac5929_jetting</v>
      </c>
      <c r="D2017" s="2">
        <f ca="1">IFERROR(__xludf.DUMMYFUNCTION("""COMPUTED_VALUE"""),44769)</f>
        <v>44769</v>
      </c>
      <c r="E2017" s="3">
        <f ca="1">IFERROR(__xludf.DUMMYFUNCTION("""COMPUTED_VALUE"""),0.474398148147884)</f>
        <v>0.474398148147884</v>
      </c>
      <c r="F2017" s="1">
        <f ca="1">IFERROR(__xludf.DUMMYFUNCTION("""COMPUTED_VALUE"""),22307)</f>
        <v>22307</v>
      </c>
      <c r="G2017" s="1" t="str">
        <f ca="1">IFERROR(__xludf.DUMMYFUNCTION("""COMPUTED_VALUE"""),"12.9364/77.5620")</f>
        <v>12.9364/77.5620</v>
      </c>
      <c r="H2017" s="1" t="str">
        <f ca="1">IFERROR(__xludf.DUMMYFUNCTION("""COMPUTED_VALUE"""),"Chenammana Kere")</f>
        <v>Chenammana Kere</v>
      </c>
      <c r="I2017" s="1"/>
      <c r="J2017" s="1" t="str">
        <f ca="1">IFERROR(__xludf.DUMMYFUNCTION("""COMPUTED_VALUE"""),"4d 00h 27m")</f>
        <v>4d 00h 27m</v>
      </c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13.2">
      <c r="A2018" s="1">
        <f ca="1">IFERROR(__xludf.DUMMYFUNCTION("""COMPUTED_VALUE"""),137)</f>
        <v>137</v>
      </c>
      <c r="B2018" s="1" t="str">
        <f ca="1">IFERROR(__xludf.DUMMYFUNCTION("""COMPUTED_VALUE"""),"SW3_KA02AC5929_JETTING")</f>
        <v>SW3_KA02AC5929_JETTING</v>
      </c>
      <c r="C2018" s="1" t="str">
        <f ca="1">IFERROR(__xludf.DUMMYFUNCTION("""COMPUTED_VALUE"""),"sw3_ka02ac5929_jetting")</f>
        <v>sw3_ka02ac5929_jetting</v>
      </c>
      <c r="D2018" s="2">
        <f ca="1">IFERROR(__xludf.DUMMYFUNCTION("""COMPUTED_VALUE"""),44860)</f>
        <v>44860</v>
      </c>
      <c r="E2018" s="3">
        <f ca="1">IFERROR(__xludf.DUMMYFUNCTION("""COMPUTED_VALUE"""),0.632256944445543)</f>
        <v>0.63225694444554303</v>
      </c>
      <c r="F2018" s="1">
        <f ca="1">IFERROR(__xludf.DUMMYFUNCTION("""COMPUTED_VALUE"""),22458)</f>
        <v>22458</v>
      </c>
      <c r="G2018" s="1" t="str">
        <f ca="1">IFERROR(__xludf.DUMMYFUNCTION("""COMPUTED_VALUE"""),"12.9403/77.5617")</f>
        <v>12.9403/77.5617</v>
      </c>
      <c r="H2018" s="1" t="str">
        <f ca="1">IFERROR(__xludf.DUMMYFUNCTION("""COMPUTED_VALUE"""),"Nirmala Stores")</f>
        <v>Nirmala Stores</v>
      </c>
      <c r="I2018" s="1"/>
      <c r="J2018" s="1" t="str">
        <f ca="1">IFERROR(__xludf.DUMMYFUNCTION("""COMPUTED_VALUE"""),"4d 00h 28m")</f>
        <v>4d 00h 28m</v>
      </c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13.2">
      <c r="A2019" s="1">
        <f ca="1">IFERROR(__xludf.DUMMYFUNCTION("""COMPUTED_VALUE"""),144)</f>
        <v>144</v>
      </c>
      <c r="B2019" s="1" t="str">
        <f ca="1">IFERROR(__xludf.DUMMYFUNCTION("""COMPUTED_VALUE"""),"SW3_KA02AC5929_JETTING")</f>
        <v>SW3_KA02AC5929_JETTING</v>
      </c>
      <c r="C2019" s="1" t="str">
        <f ca="1">IFERROR(__xludf.DUMMYFUNCTION("""COMPUTED_VALUE"""),"sw3_ka02ac5929_jetting")</f>
        <v>sw3_ka02ac5929_jetting</v>
      </c>
      <c r="D2019" s="2">
        <f ca="1">IFERROR(__xludf.DUMMYFUNCTION("""COMPUTED_VALUE"""),44952)</f>
        <v>44952</v>
      </c>
      <c r="E2019" s="3">
        <f ca="1">IFERROR(__xludf.DUMMYFUNCTION("""COMPUTED_VALUE"""),0.761388888888177)</f>
        <v>0.76138888888817702</v>
      </c>
      <c r="F2019" s="1">
        <f ca="1">IFERROR(__xludf.DUMMYFUNCTION("""COMPUTED_VALUE"""),22908)</f>
        <v>22908</v>
      </c>
      <c r="G2019" s="1" t="str">
        <f ca="1">IFERROR(__xludf.DUMMYFUNCTION("""COMPUTED_VALUE"""),"12.9426/77.5758")</f>
        <v>12.9426/77.5758</v>
      </c>
      <c r="H2019" s="1" t="str">
        <f ca="1">IFERROR(__xludf.DUMMYFUNCTION("""COMPUTED_VALUE"""),"Venus Residency")</f>
        <v>Venus Residency</v>
      </c>
      <c r="I2019" s="1"/>
      <c r="J2019" s="1" t="str">
        <f ca="1">IFERROR(__xludf.DUMMYFUNCTION("""COMPUTED_VALUE"""),"4d 00h 31m")</f>
        <v>4d 00h 31m</v>
      </c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13.2">
      <c r="A2020" s="1">
        <f ca="1">IFERROR(__xludf.DUMMYFUNCTION("""COMPUTED_VALUE"""),149)</f>
        <v>149</v>
      </c>
      <c r="B2020" s="1" t="str">
        <f ca="1">IFERROR(__xludf.DUMMYFUNCTION("""COMPUTED_VALUE"""),"SW3_KA02AC5929_JETTING")</f>
        <v>SW3_KA02AC5929_JETTING</v>
      </c>
      <c r="C2020" s="1" t="str">
        <f ca="1">IFERROR(__xludf.DUMMYFUNCTION("""COMPUTED_VALUE"""),"sw3_ka02ac5929_jetting")</f>
        <v>sw3_ka02ac5929_jetting</v>
      </c>
      <c r="D2020" s="2">
        <f ca="1">IFERROR(__xludf.DUMMYFUNCTION("""COMPUTED_VALUE"""),45042)</f>
        <v>45042</v>
      </c>
      <c r="E2020" s="3">
        <f ca="1">IFERROR(__xludf.DUMMYFUNCTION("""COMPUTED_VALUE"""),0.663900462961464)</f>
        <v>0.66390046296146399</v>
      </c>
      <c r="F2020" s="1">
        <f ca="1">IFERROR(__xludf.DUMMYFUNCTION("""COMPUTED_VALUE"""),23426)</f>
        <v>23426</v>
      </c>
      <c r="G2020" s="1" t="str">
        <f ca="1">IFERROR(__xludf.DUMMYFUNCTION("""COMPUTED_VALUE"""),"12.9450/77.5558")</f>
        <v>12.9450/77.5558</v>
      </c>
      <c r="H2020" s="1" t="str">
        <f ca="1">IFERROR(__xludf.DUMMYFUNCTION("""COMPUTED_VALUE"""),"SriNagar")</f>
        <v>SriNagar</v>
      </c>
      <c r="I2020" s="1"/>
      <c r="J2020" s="1" t="str">
        <f ca="1">IFERROR(__xludf.DUMMYFUNCTION("""COMPUTED_VALUE"""),"4d 00h 32m")</f>
        <v>4d 00h 32m</v>
      </c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13.2">
      <c r="A2021" s="1">
        <f ca="1">IFERROR(__xludf.DUMMYFUNCTION("""COMPUTED_VALUE"""),146)</f>
        <v>146</v>
      </c>
      <c r="B2021" s="1" t="str">
        <f ca="1">IFERROR(__xludf.DUMMYFUNCTION("""COMPUTED_VALUE"""),"SW3_KA02AC5929_JETTING")</f>
        <v>SW3_KA02AC5929_JETTING</v>
      </c>
      <c r="C2021" s="1" t="str">
        <f ca="1">IFERROR(__xludf.DUMMYFUNCTION("""COMPUTED_VALUE"""),"sw3_ka02ac5929_jetting")</f>
        <v>sw3_ka02ac5929_jetting</v>
      </c>
      <c r="D2021" s="2">
        <f ca="1">IFERROR(__xludf.DUMMYFUNCTION("""COMPUTED_VALUE"""),45134)</f>
        <v>45134</v>
      </c>
      <c r="E2021" s="3">
        <f ca="1">IFERROR(__xludf.DUMMYFUNCTION("""COMPUTED_VALUE"""),0.450219907408609)</f>
        <v>0.45021990740860901</v>
      </c>
      <c r="F2021" s="1">
        <f ca="1">IFERROR(__xludf.DUMMYFUNCTION("""COMPUTED_VALUE"""),23823)</f>
        <v>23823</v>
      </c>
      <c r="G2021" s="1" t="str">
        <f ca="1">IFERROR(__xludf.DUMMYFUNCTION("""COMPUTED_VALUE"""),"12.9487/77.5622")</f>
        <v>12.9487/77.5622</v>
      </c>
      <c r="H2021" s="1" t="str">
        <f ca="1">IFERROR(__xludf.DUMMYFUNCTION("""COMPUTED_VALUE"""),"Hanumantha Nagar")</f>
        <v>Hanumantha Nagar</v>
      </c>
      <c r="I2021" s="1"/>
      <c r="J2021" s="1" t="str">
        <f ca="1">IFERROR(__xludf.DUMMYFUNCTION("""COMPUTED_VALUE"""),"4d 00h 33m")</f>
        <v>4d 00h 33m</v>
      </c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13.2">
      <c r="A2022" s="1">
        <f ca="1">IFERROR(__xludf.DUMMYFUNCTION("""COMPUTED_VALUE"""),146)</f>
        <v>146</v>
      </c>
      <c r="B2022" s="1" t="str">
        <f ca="1">IFERROR(__xludf.DUMMYFUNCTION("""COMPUTED_VALUE"""),"SW3_KA02AC5929_JETTING")</f>
        <v>SW3_KA02AC5929_JETTING</v>
      </c>
      <c r="C2022" s="1" t="str">
        <f ca="1">IFERROR(__xludf.DUMMYFUNCTION("""COMPUTED_VALUE"""),"sw3_ka02ac5929_jetting")</f>
        <v>sw3_ka02ac5929_jetting</v>
      </c>
      <c r="D2022" s="2">
        <f ca="1">IFERROR(__xludf.DUMMYFUNCTION("""COMPUTED_VALUE"""),45222)</f>
        <v>45222</v>
      </c>
      <c r="E2022" s="3">
        <f ca="1">IFERROR(__xludf.DUMMYFUNCTION("""COMPUTED_VALUE"""),0.741759259261016)</f>
        <v>0.74175925926101605</v>
      </c>
      <c r="F2022" s="1">
        <f ca="1">IFERROR(__xludf.DUMMYFUNCTION("""COMPUTED_VALUE"""),24110)</f>
        <v>24110</v>
      </c>
      <c r="G2022" s="1" t="str">
        <f ca="1">IFERROR(__xludf.DUMMYFUNCTION("""COMPUTED_VALUE"""),"12.9435/77.5763")</f>
        <v>12.9435/77.5763</v>
      </c>
      <c r="H2022" s="1" t="str">
        <f ca="1">IFERROR(__xludf.DUMMYFUNCTION("""COMPUTED_VALUE"""),"Venus Residency")</f>
        <v>Venus Residency</v>
      </c>
      <c r="I2022" s="1"/>
      <c r="J2022" s="1" t="str">
        <f ca="1">IFERROR(__xludf.DUMMYFUNCTION("""COMPUTED_VALUE"""),"4d 00h 34m")</f>
        <v>4d 00h 34m</v>
      </c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13.2">
      <c r="A2023" s="1">
        <f ca="1">IFERROR(__xludf.DUMMYFUNCTION("""COMPUTED_VALUE"""),155)</f>
        <v>155</v>
      </c>
      <c r="B2023" s="1" t="str">
        <f ca="1">IFERROR(__xludf.DUMMYFUNCTION("""COMPUTED_VALUE"""),"SW3_KA02AC5929_JETTING")</f>
        <v>SW3_KA02AC5929_JETTING</v>
      </c>
      <c r="C2023" s="1" t="str">
        <f ca="1">IFERROR(__xludf.DUMMYFUNCTION("""COMPUTED_VALUE"""),"sw3_ka02ac5929_jetting")</f>
        <v>sw3_ka02ac5929_jetting</v>
      </c>
      <c r="D2023" s="2">
        <f ca="1">IFERROR(__xludf.DUMMYFUNCTION("""COMPUTED_VALUE"""),45315)</f>
        <v>45315</v>
      </c>
      <c r="E2023" s="3">
        <f ca="1">IFERROR(__xludf.DUMMYFUNCTION("""COMPUTED_VALUE"""),0.485092592592991)</f>
        <v>0.48509259259299098</v>
      </c>
      <c r="F2023" s="1">
        <f ca="1">IFERROR(__xludf.DUMMYFUNCTION("""COMPUTED_VALUE"""),24272)</f>
        <v>24272</v>
      </c>
      <c r="G2023" s="1" t="str">
        <f ca="1">IFERROR(__xludf.DUMMYFUNCTION("""COMPUTED_VALUE"""),"12.9499/77.5553")</f>
        <v>12.9499/77.5553</v>
      </c>
      <c r="H2023" s="1" t="str">
        <f ca="1">IFERROR(__xludf.DUMMYFUNCTION("""COMPUTED_VALUE"""),"kalidasa Layout")</f>
        <v>kalidasa Layout</v>
      </c>
      <c r="I2023" s="1"/>
      <c r="J2023" s="1" t="str">
        <f ca="1">IFERROR(__xludf.DUMMYFUNCTION("""COMPUTED_VALUE"""),"4d 00h 35m")</f>
        <v>4d 00h 35m</v>
      </c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13.2">
      <c r="A2024" s="1">
        <f ca="1">IFERROR(__xludf.DUMMYFUNCTION("""COMPUTED_VALUE"""),85)</f>
        <v>85</v>
      </c>
      <c r="B2024" s="1" t="str">
        <f ca="1">IFERROR(__xludf.DUMMYFUNCTION("""COMPUTED_VALUE"""),"SW3_KA04A9513_Jetting")</f>
        <v>SW3_KA04A9513_Jetting</v>
      </c>
      <c r="C2024" s="1" t="str">
        <f ca="1">IFERROR(__xludf.DUMMYFUNCTION("""COMPUTED_VALUE"""),"sw3_ka04a9513_jetting")</f>
        <v>sw3_ka04a9513_jetting</v>
      </c>
      <c r="D2024" s="2">
        <f ca="1">IFERROR(__xludf.DUMMYFUNCTION("""COMPUTED_VALUE"""),44700)</f>
        <v>44700</v>
      </c>
      <c r="E2024" s="3">
        <f ca="1">IFERROR(__xludf.DUMMYFUNCTION("""COMPUTED_VALUE"""),0.435451388890214)</f>
        <v>0.43545138889021401</v>
      </c>
      <c r="F2024" s="1">
        <f ca="1">IFERROR(__xludf.DUMMYFUNCTION("""COMPUTED_VALUE"""),25960)</f>
        <v>25960</v>
      </c>
      <c r="G2024" s="1" t="str">
        <f ca="1">IFERROR(__xludf.DUMMYFUNCTION("""COMPUTED_VALUE"""),"12.9483/77.5503")</f>
        <v>12.9483/77.5503</v>
      </c>
      <c r="H2024" s="1" t="str">
        <f ca="1">IFERROR(__xludf.DUMMYFUNCTION("""COMPUTED_VALUE"""),"kalidasa Layout")</f>
        <v>kalidasa Layout</v>
      </c>
      <c r="I2024" s="1"/>
      <c r="J2024" s="1" t="str">
        <f ca="1">IFERROR(__xludf.DUMMYFUNCTION("""COMPUTED_VALUE"""),"0d 00h 00m")</f>
        <v>0d 00h 00m</v>
      </c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13.2">
      <c r="A2025" s="1">
        <f ca="1">IFERROR(__xludf.DUMMYFUNCTION("""COMPUTED_VALUE"""),182)</f>
        <v>182</v>
      </c>
      <c r="B2025" s="1" t="str">
        <f ca="1">IFERROR(__xludf.DUMMYFUNCTION("""COMPUTED_VALUE"""),"SW3_KA04A9513_Jetting")</f>
        <v>SW3_KA04A9513_Jetting</v>
      </c>
      <c r="C2025" s="1" t="str">
        <f ca="1">IFERROR(__xludf.DUMMYFUNCTION("""COMPUTED_VALUE"""),"sw3_ka04a9513_jetting")</f>
        <v>sw3_ka04a9513_jetting</v>
      </c>
      <c r="D2025" s="2">
        <f ca="1">IFERROR(__xludf.DUMMYFUNCTION("""COMPUTED_VALUE"""),44738)</f>
        <v>44738</v>
      </c>
      <c r="E2025" s="3">
        <f ca="1">IFERROR(__xludf.DUMMYFUNCTION("""COMPUTED_VALUE"""),0.999085648149048)</f>
        <v>0.99908564814904799</v>
      </c>
      <c r="F2025" s="1">
        <f ca="1">IFERROR(__xludf.DUMMYFUNCTION("""COMPUTED_VALUE"""),26002)</f>
        <v>26002</v>
      </c>
      <c r="G2025" s="1" t="str">
        <f ca="1">IFERROR(__xludf.DUMMYFUNCTION("""COMPUTED_VALUE"""),"12.9432/77.5761")</f>
        <v>12.9432/77.5761</v>
      </c>
      <c r="H2025" s="1" t="str">
        <f ca="1">IFERROR(__xludf.DUMMYFUNCTION("""COMPUTED_VALUE"""),"Venus Residency")</f>
        <v>Venus Residency</v>
      </c>
      <c r="I2025" s="1"/>
      <c r="J2025" s="1" t="str">
        <f ca="1">IFERROR(__xludf.DUMMYFUNCTION("""COMPUTED_VALUE"""),"0d 00h 00m")</f>
        <v>0d 00h 00m</v>
      </c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13.2">
      <c r="A2026" s="1">
        <f ca="1">IFERROR(__xludf.DUMMYFUNCTION("""COMPUTED_VALUE"""),213)</f>
        <v>213</v>
      </c>
      <c r="B2026" s="1" t="str">
        <f ca="1">IFERROR(__xludf.DUMMYFUNCTION("""COMPUTED_VALUE"""),"SW3_KA04A9513_Jetting")</f>
        <v>SW3_KA04A9513_Jetting</v>
      </c>
      <c r="C2026" s="1" t="str">
        <f ca="1">IFERROR(__xludf.DUMMYFUNCTION("""COMPUTED_VALUE"""),"sw3_ka04a9513_jetting")</f>
        <v>sw3_ka04a9513_jetting</v>
      </c>
      <c r="D2026" s="2">
        <f ca="1">IFERROR(__xludf.DUMMYFUNCTION("""COMPUTED_VALUE"""),44768)</f>
        <v>44768</v>
      </c>
      <c r="E2026" s="3">
        <f ca="1">IFERROR(__xludf.DUMMYFUNCTION("""COMPUTED_VALUE"""),0.99921296296452)</f>
        <v>0.99921296296452</v>
      </c>
      <c r="F2026" s="1">
        <f ca="1">IFERROR(__xludf.DUMMYFUNCTION("""COMPUTED_VALUE"""),26437)</f>
        <v>26437</v>
      </c>
      <c r="G2026" s="1" t="str">
        <f ca="1">IFERROR(__xludf.DUMMYFUNCTION("""COMPUTED_VALUE"""),"12.9429/77.5761")</f>
        <v>12.9429/77.5761</v>
      </c>
      <c r="H2026" s="1" t="str">
        <f ca="1">IFERROR(__xludf.DUMMYFUNCTION("""COMPUTED_VALUE"""),"Venus Residency")</f>
        <v>Venus Residency</v>
      </c>
      <c r="I2026" s="1"/>
      <c r="J2026" s="1" t="str">
        <f ca="1">IFERROR(__xludf.DUMMYFUNCTION("""COMPUTED_VALUE"""),"0d 00h 00m")</f>
        <v>0d 00h 00m</v>
      </c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13.2">
      <c r="A2027" s="1">
        <f ca="1">IFERROR(__xludf.DUMMYFUNCTION("""COMPUTED_VALUE"""),208)</f>
        <v>208</v>
      </c>
      <c r="B2027" s="1" t="str">
        <f ca="1">IFERROR(__xludf.DUMMYFUNCTION("""COMPUTED_VALUE"""),"SW3_KA04A9513_Jetting")</f>
        <v>SW3_KA04A9513_Jetting</v>
      </c>
      <c r="C2027" s="1" t="str">
        <f ca="1">IFERROR(__xludf.DUMMYFUNCTION("""COMPUTED_VALUE"""),"sw3_ka04a9513_jetting")</f>
        <v>sw3_ka04a9513_jetting</v>
      </c>
      <c r="D2027" s="2">
        <f ca="1">IFERROR(__xludf.DUMMYFUNCTION("""COMPUTED_VALUE"""),44799)</f>
        <v>44799</v>
      </c>
      <c r="E2027" s="3">
        <f ca="1">IFERROR(__xludf.DUMMYFUNCTION("""COMPUTED_VALUE"""),0.999143518518394)</f>
        <v>0.999143518518394</v>
      </c>
      <c r="F2027" s="1">
        <f ca="1">IFERROR(__xludf.DUMMYFUNCTION("""COMPUTED_VALUE"""),26975)</f>
        <v>26975</v>
      </c>
      <c r="G2027" s="1" t="str">
        <f ca="1">IFERROR(__xludf.DUMMYFUNCTION("""COMPUTED_VALUE"""),"12.9430/77.5762")</f>
        <v>12.9430/77.5762</v>
      </c>
      <c r="H2027" s="1" t="str">
        <f ca="1">IFERROR(__xludf.DUMMYFUNCTION("""COMPUTED_VALUE"""),"Venus Residency")</f>
        <v>Venus Residency</v>
      </c>
      <c r="I2027" s="1"/>
      <c r="J2027" s="1" t="str">
        <f ca="1">IFERROR(__xludf.DUMMYFUNCTION("""COMPUTED_VALUE"""),"0d 00h 00m")</f>
        <v>0d 00h 00m</v>
      </c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13.2">
      <c r="A2028" s="1">
        <f ca="1">IFERROR(__xludf.DUMMYFUNCTION("""COMPUTED_VALUE"""),207)</f>
        <v>207</v>
      </c>
      <c r="B2028" s="1" t="str">
        <f ca="1">IFERROR(__xludf.DUMMYFUNCTION("""COMPUTED_VALUE"""),"SW3_KA04A9513_Jetting")</f>
        <v>SW3_KA04A9513_Jetting</v>
      </c>
      <c r="C2028" s="1" t="str">
        <f ca="1">IFERROR(__xludf.DUMMYFUNCTION("""COMPUTED_VALUE"""),"sw3_ka04a9513_jetting")</f>
        <v>sw3_ka04a9513_jetting</v>
      </c>
      <c r="D2028" s="2">
        <f ca="1">IFERROR(__xludf.DUMMYFUNCTION("""COMPUTED_VALUE"""),44830)</f>
        <v>44830</v>
      </c>
      <c r="E2028" s="3">
        <f ca="1">IFERROR(__xludf.DUMMYFUNCTION("""COMPUTED_VALUE"""),0.999178240741457)</f>
        <v>0.999178240741457</v>
      </c>
      <c r="F2028" s="1">
        <f ca="1">IFERROR(__xludf.DUMMYFUNCTION("""COMPUTED_VALUE"""),27787)</f>
        <v>27787</v>
      </c>
      <c r="G2028" s="1" t="str">
        <f ca="1">IFERROR(__xludf.DUMMYFUNCTION("""COMPUTED_VALUE"""),"12.9431/77.5762")</f>
        <v>12.9431/77.5762</v>
      </c>
      <c r="H2028" s="1" t="str">
        <f ca="1">IFERROR(__xludf.DUMMYFUNCTION("""COMPUTED_VALUE"""),"Venus Residency")</f>
        <v>Venus Residency</v>
      </c>
      <c r="I2028" s="1"/>
      <c r="J2028" s="1" t="str">
        <f ca="1">IFERROR(__xludf.DUMMYFUNCTION("""COMPUTED_VALUE"""),"0d 00h 00m")</f>
        <v>0d 00h 00m</v>
      </c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13.2">
      <c r="A2029" s="1">
        <f ca="1">IFERROR(__xludf.DUMMYFUNCTION("""COMPUTED_VALUE"""),157)</f>
        <v>157</v>
      </c>
      <c r="B2029" s="1" t="str">
        <f ca="1">IFERROR(__xludf.DUMMYFUNCTION("""COMPUTED_VALUE"""),"SW3_KA04A9513_Jetting")</f>
        <v>SW3_KA04A9513_Jetting</v>
      </c>
      <c r="C2029" s="1" t="str">
        <f ca="1">IFERROR(__xludf.DUMMYFUNCTION("""COMPUTED_VALUE"""),"sw3_ka04a9513_jetting")</f>
        <v>sw3_ka04a9513_jetting</v>
      </c>
      <c r="D2029" s="2">
        <f ca="1">IFERROR(__xludf.DUMMYFUNCTION("""COMPUTED_VALUE"""),44860)</f>
        <v>44860</v>
      </c>
      <c r="E2029" s="3">
        <f ca="1">IFERROR(__xludf.DUMMYFUNCTION("""COMPUTED_VALUE"""),0.998657407406426)</f>
        <v>0.99865740740642595</v>
      </c>
      <c r="F2029" s="1">
        <f ca="1">IFERROR(__xludf.DUMMYFUNCTION("""COMPUTED_VALUE"""),28399)</f>
        <v>28399</v>
      </c>
      <c r="G2029" s="1" t="str">
        <f ca="1">IFERROR(__xludf.DUMMYFUNCTION("""COMPUTED_VALUE"""),"12.9431/77.5764")</f>
        <v>12.9431/77.5764</v>
      </c>
      <c r="H2029" s="1" t="str">
        <f ca="1">IFERROR(__xludf.DUMMYFUNCTION("""COMPUTED_VALUE"""),"Venus Residency")</f>
        <v>Venus Residency</v>
      </c>
      <c r="I2029" s="1"/>
      <c r="J2029" s="1" t="str">
        <f ca="1">IFERROR(__xludf.DUMMYFUNCTION("""COMPUTED_VALUE"""),"0d 00h 00m")</f>
        <v>0d 00h 00m</v>
      </c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13.2">
      <c r="A2030" s="1">
        <f ca="1">IFERROR(__xludf.DUMMYFUNCTION("""COMPUTED_VALUE"""),155)</f>
        <v>155</v>
      </c>
      <c r="B2030" s="1" t="str">
        <f ca="1">IFERROR(__xludf.DUMMYFUNCTION("""COMPUTED_VALUE"""),"SW3_KA04A9513_JETTING")</f>
        <v>SW3_KA04A9513_JETTING</v>
      </c>
      <c r="C2030" s="1" t="str">
        <f ca="1">IFERROR(__xludf.DUMMYFUNCTION("""COMPUTED_VALUE"""),"sw3_ka04a9513_jetting")</f>
        <v>sw3_ka04a9513_jetting</v>
      </c>
      <c r="D2030" s="2">
        <f ca="1">IFERROR(__xludf.DUMMYFUNCTION("""COMPUTED_VALUE"""),44769)</f>
        <v>44769</v>
      </c>
      <c r="E2030" s="3">
        <f ca="1">IFERROR(__xludf.DUMMYFUNCTION("""COMPUTED_VALUE"""),0.999247685183945)</f>
        <v>0.99924768518394502</v>
      </c>
      <c r="F2030" s="1">
        <f ca="1">IFERROR(__xludf.DUMMYFUNCTION("""COMPUTED_VALUE"""),26451)</f>
        <v>26451</v>
      </c>
      <c r="G2030" s="1" t="str">
        <f ca="1">IFERROR(__xludf.DUMMYFUNCTION("""COMPUTED_VALUE"""),"12.9432/77.5764")</f>
        <v>12.9432/77.5764</v>
      </c>
      <c r="H2030" s="1" t="str">
        <f ca="1">IFERROR(__xludf.DUMMYFUNCTION("""COMPUTED_VALUE"""),"Venus Residency")</f>
        <v>Venus Residency</v>
      </c>
      <c r="I2030" s="1"/>
      <c r="J2030" s="1" t="str">
        <f ca="1">IFERROR(__xludf.DUMMYFUNCTION("""COMPUTED_VALUE"""),"126d 02h 04m")</f>
        <v>126d 02h 04m</v>
      </c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13.2">
      <c r="A2031" s="1">
        <f ca="1">IFERROR(__xludf.DUMMYFUNCTION("""COMPUTED_VALUE"""),147)</f>
        <v>147</v>
      </c>
      <c r="B2031" s="1" t="str">
        <f ca="1">IFERROR(__xludf.DUMMYFUNCTION("""COMPUTED_VALUE"""),"SW3_KA04A9513_JETTING")</f>
        <v>SW3_KA04A9513_JETTING</v>
      </c>
      <c r="C2031" s="1" t="str">
        <f ca="1">IFERROR(__xludf.DUMMYFUNCTION("""COMPUTED_VALUE"""),"sw3_ka04a9513_jetting")</f>
        <v>sw3_ka04a9513_jetting</v>
      </c>
      <c r="D2031" s="2">
        <f ca="1">IFERROR(__xludf.DUMMYFUNCTION("""COMPUTED_VALUE"""),44860)</f>
        <v>44860</v>
      </c>
      <c r="E2031" s="3">
        <f ca="1">IFERROR(__xludf.DUMMYFUNCTION("""COMPUTED_VALUE"""),0.998657407406426)</f>
        <v>0.99865740740642595</v>
      </c>
      <c r="F2031" s="1">
        <f ca="1">IFERROR(__xludf.DUMMYFUNCTION("""COMPUTED_VALUE"""),28399)</f>
        <v>28399</v>
      </c>
      <c r="G2031" s="1" t="str">
        <f ca="1">IFERROR(__xludf.DUMMYFUNCTION("""COMPUTED_VALUE"""),"12.9431/77.5764")</f>
        <v>12.9431/77.5764</v>
      </c>
      <c r="H2031" s="1" t="str">
        <f ca="1">IFERROR(__xludf.DUMMYFUNCTION("""COMPUTED_VALUE"""),"Venus Residency")</f>
        <v>Venus Residency</v>
      </c>
      <c r="I2031" s="1"/>
      <c r="J2031" s="1" t="str">
        <f ca="1">IFERROR(__xludf.DUMMYFUNCTION("""COMPUTED_VALUE"""),"126d 02h 05m")</f>
        <v>126d 02h 05m</v>
      </c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13.2">
      <c r="A2032" s="1">
        <f ca="1">IFERROR(__xludf.DUMMYFUNCTION("""COMPUTED_VALUE"""),146)</f>
        <v>146</v>
      </c>
      <c r="B2032" s="1" t="str">
        <f ca="1">IFERROR(__xludf.DUMMYFUNCTION("""COMPUTED_VALUE"""),"SW3_KA04A9513_JETTING")</f>
        <v>SW3_KA04A9513_JETTING</v>
      </c>
      <c r="C2032" s="1" t="str">
        <f ca="1">IFERROR(__xludf.DUMMYFUNCTION("""COMPUTED_VALUE"""),"sw3_ka04a9513_jetting")</f>
        <v>sw3_ka04a9513_jetting</v>
      </c>
      <c r="D2032" s="2">
        <f ca="1">IFERROR(__xludf.DUMMYFUNCTION("""COMPUTED_VALUE"""),44952)</f>
        <v>44952</v>
      </c>
      <c r="E2032" s="3">
        <f ca="1">IFERROR(__xludf.DUMMYFUNCTION("""COMPUTED_VALUE"""),0.998668981483206)</f>
        <v>0.99866898148320604</v>
      </c>
      <c r="F2032" s="1">
        <f ca="1">IFERROR(__xludf.DUMMYFUNCTION("""COMPUTED_VALUE"""),29303)</f>
        <v>29303</v>
      </c>
      <c r="G2032" s="1" t="str">
        <f ca="1">IFERROR(__xludf.DUMMYFUNCTION("""COMPUTED_VALUE"""),"12.9427/77.5757")</f>
        <v>12.9427/77.5757</v>
      </c>
      <c r="H2032" s="1" t="str">
        <f ca="1">IFERROR(__xludf.DUMMYFUNCTION("""COMPUTED_VALUE"""),"Venus Residency")</f>
        <v>Venus Residency</v>
      </c>
      <c r="I2032" s="1"/>
      <c r="J2032" s="1" t="str">
        <f ca="1">IFERROR(__xludf.DUMMYFUNCTION("""COMPUTED_VALUE"""),"126d 02h 08m")</f>
        <v>126d 02h 08m</v>
      </c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13.2">
      <c r="A2033" s="1">
        <f ca="1">IFERROR(__xludf.DUMMYFUNCTION("""COMPUTED_VALUE"""),143)</f>
        <v>143</v>
      </c>
      <c r="B2033" s="1" t="str">
        <f ca="1">IFERROR(__xludf.DUMMYFUNCTION("""COMPUTED_VALUE"""),"SW3_KA04A9513_JETTING")</f>
        <v>SW3_KA04A9513_JETTING</v>
      </c>
      <c r="C2033" s="1" t="str">
        <f ca="1">IFERROR(__xludf.DUMMYFUNCTION("""COMPUTED_VALUE"""),"sw3_ka04a9513_jetting")</f>
        <v>sw3_ka04a9513_jetting</v>
      </c>
      <c r="D2033" s="2">
        <f ca="1">IFERROR(__xludf.DUMMYFUNCTION("""COMPUTED_VALUE"""),45010)</f>
        <v>45010</v>
      </c>
      <c r="E2033" s="3">
        <f ca="1">IFERROR(__xludf.DUMMYFUNCTION("""COMPUTED_VALUE"""),0.417951388888468)</f>
        <v>0.417951388888468</v>
      </c>
      <c r="F2033" s="1">
        <f ca="1">IFERROR(__xludf.DUMMYFUNCTION("""COMPUTED_VALUE"""),30152)</f>
        <v>30152</v>
      </c>
      <c r="G2033" s="1" t="str">
        <f ca="1">IFERROR(__xludf.DUMMYFUNCTION("""COMPUTED_VALUE"""),"12.9526/77.5462")</f>
        <v>12.9526/77.5462</v>
      </c>
      <c r="H2033" s="1" t="str">
        <f ca="1">IFERROR(__xludf.DUMMYFUNCTION("""COMPUTED_VALUE"""),"Timer yard Layout")</f>
        <v>Timer yard Layout</v>
      </c>
      <c r="I2033" s="1"/>
      <c r="J2033" s="1" t="str">
        <f ca="1">IFERROR(__xludf.DUMMYFUNCTION("""COMPUTED_VALUE"""),"126d 02h 09m")</f>
        <v>126d 02h 09m</v>
      </c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13.2">
      <c r="A2034" s="1">
        <f ca="1">IFERROR(__xludf.DUMMYFUNCTION("""COMPUTED_VALUE"""),169)</f>
        <v>169</v>
      </c>
      <c r="B2034" s="1" t="str">
        <f ca="1">IFERROR(__xludf.DUMMYFUNCTION("""COMPUTED_VALUE"""),"SW3_KA04A9513_JETTING")</f>
        <v>SW3_KA04A9513_JETTING</v>
      </c>
      <c r="C2034" s="1" t="str">
        <f ca="1">IFERROR(__xludf.DUMMYFUNCTION("""COMPUTED_VALUE"""),"sw3_ka04a9513_jetting")</f>
        <v>sw3_ka04a9513_jetting</v>
      </c>
      <c r="D2034" s="2">
        <f ca="1">IFERROR(__xludf.DUMMYFUNCTION("""COMPUTED_VALUE"""),45134)</f>
        <v>45134</v>
      </c>
      <c r="E2034" s="3">
        <f ca="1">IFERROR(__xludf.DUMMYFUNCTION("""COMPUTED_VALUE"""),0.999317129630071)</f>
        <v>0.99931712963007102</v>
      </c>
      <c r="F2034" s="1">
        <f ca="1">IFERROR(__xludf.DUMMYFUNCTION("""COMPUTED_VALUE"""),31460)</f>
        <v>31460</v>
      </c>
      <c r="G2034" s="1" t="str">
        <f ca="1">IFERROR(__xludf.DUMMYFUNCTION("""COMPUTED_VALUE"""),"12.9429/77.5762")</f>
        <v>12.9429/77.5762</v>
      </c>
      <c r="H2034" s="1" t="str">
        <f ca="1">IFERROR(__xludf.DUMMYFUNCTION("""COMPUTED_VALUE"""),"Venus Residency")</f>
        <v>Venus Residency</v>
      </c>
      <c r="I2034" s="1"/>
      <c r="J2034" s="1" t="str">
        <f ca="1">IFERROR(__xludf.DUMMYFUNCTION("""COMPUTED_VALUE"""),"126d 02h 10m")</f>
        <v>126d 02h 10m</v>
      </c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13.2">
      <c r="A2035" s="1">
        <f ca="1">IFERROR(__xludf.DUMMYFUNCTION("""COMPUTED_VALUE"""),145)</f>
        <v>145</v>
      </c>
      <c r="B2035" s="1" t="str">
        <f ca="1">IFERROR(__xludf.DUMMYFUNCTION("""COMPUTED_VALUE"""),"SW3_KA04A9513_JETTING")</f>
        <v>SW3_KA04A9513_JETTING</v>
      </c>
      <c r="C2035" s="1" t="str">
        <f ca="1">IFERROR(__xludf.DUMMYFUNCTION("""COMPUTED_VALUE"""),"sw3_ka04a9513_jetting")</f>
        <v>sw3_ka04a9513_jetting</v>
      </c>
      <c r="D2035" s="2">
        <f ca="1">IFERROR(__xludf.DUMMYFUNCTION("""COMPUTED_VALUE"""),45221)</f>
        <v>45221</v>
      </c>
      <c r="E2035" s="3">
        <f ca="1">IFERROR(__xludf.DUMMYFUNCTION("""COMPUTED_VALUE"""),0.712685185186273)</f>
        <v>0.712685185186273</v>
      </c>
      <c r="F2035" s="1">
        <f ca="1">IFERROR(__xludf.DUMMYFUNCTION("""COMPUTED_VALUE"""),31529)</f>
        <v>31529</v>
      </c>
      <c r="G2035" s="1" t="str">
        <f ca="1">IFERROR(__xludf.DUMMYFUNCTION("""COMPUTED_VALUE"""),"12.9433/77.5762")</f>
        <v>12.9433/77.5762</v>
      </c>
      <c r="H2035" s="1" t="str">
        <f ca="1">IFERROR(__xludf.DUMMYFUNCTION("""COMPUTED_VALUE"""),"Venus Residency")</f>
        <v>Venus Residency</v>
      </c>
      <c r="I2035" s="1"/>
      <c r="J2035" s="1" t="str">
        <f ca="1">IFERROR(__xludf.DUMMYFUNCTION("""COMPUTED_VALUE"""),"126d 02h 11m")</f>
        <v>126d 02h 11m</v>
      </c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13.2">
      <c r="A2036" s="1">
        <f ca="1">IFERROR(__xludf.DUMMYFUNCTION("""COMPUTED_VALUE"""),142)</f>
        <v>142</v>
      </c>
      <c r="B2036" s="1" t="str">
        <f ca="1">IFERROR(__xludf.DUMMYFUNCTION("""COMPUTED_VALUE"""),"SW3_KA04A9513_JETTING")</f>
        <v>SW3_KA04A9513_JETTING</v>
      </c>
      <c r="C2036" s="1" t="str">
        <f ca="1">IFERROR(__xludf.DUMMYFUNCTION("""COMPUTED_VALUE"""),"sw3_ka04a9513_jetting")</f>
        <v>sw3_ka04a9513_jetting</v>
      </c>
      <c r="D2036" s="2">
        <f ca="1">IFERROR(__xludf.DUMMYFUNCTION("""COMPUTED_VALUE"""),45245)</f>
        <v>45245</v>
      </c>
      <c r="E2036" s="3">
        <f ca="1">IFERROR(__xludf.DUMMYFUNCTION("""COMPUTED_VALUE"""),0.38901620370234)</f>
        <v>0.38901620370234002</v>
      </c>
      <c r="F2036" s="1">
        <f ca="1">IFERROR(__xludf.DUMMYFUNCTION("""COMPUTED_VALUE"""),31529)</f>
        <v>31529</v>
      </c>
      <c r="G2036" s="1" t="str">
        <f ca="1">IFERROR(__xludf.DUMMYFUNCTION("""COMPUTED_VALUE"""),"12.9429/77.5762")</f>
        <v>12.9429/77.5762</v>
      </c>
      <c r="H2036" s="1" t="str">
        <f ca="1">IFERROR(__xludf.DUMMYFUNCTION("""COMPUTED_VALUE"""),"Venus Residency")</f>
        <v>Venus Residency</v>
      </c>
      <c r="I2036" s="1"/>
      <c r="J2036" s="1" t="str">
        <f ca="1">IFERROR(__xludf.DUMMYFUNCTION("""COMPUTED_VALUE"""),"126d 02h 12m")</f>
        <v>126d 02h 12m</v>
      </c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13.2">
      <c r="A2037" s="1">
        <f ca="1">IFERROR(__xludf.DUMMYFUNCTION("""COMPUTED_VALUE"""),201)</f>
        <v>201</v>
      </c>
      <c r="B2037" s="1" t="str">
        <f ca="1">IFERROR(__xludf.DUMMYFUNCTION("""COMPUTED_VALUE"""),"SW3_KA04C5147_Jetting")</f>
        <v>SW3_KA04C5147_Jetting</v>
      </c>
      <c r="C2037" s="1" t="str">
        <f ca="1">IFERROR(__xludf.DUMMYFUNCTION("""COMPUTED_VALUE"""),"sw3_ka04c5147_jetting")</f>
        <v>sw3_ka04c5147_jetting</v>
      </c>
      <c r="D2037" s="2">
        <f ca="1">IFERROR(__xludf.DUMMYFUNCTION("""COMPUTED_VALUE"""),44707)</f>
        <v>44707</v>
      </c>
      <c r="E2037" s="3">
        <f ca="1">IFERROR(__xludf.DUMMYFUNCTION("""COMPUTED_VALUE"""),0.99920138888774)</f>
        <v>0.99920138888774002</v>
      </c>
      <c r="F2037" s="1">
        <f ca="1">IFERROR(__xludf.DUMMYFUNCTION("""COMPUTED_VALUE"""),22177)</f>
        <v>22177</v>
      </c>
      <c r="G2037" s="1" t="str">
        <f ca="1">IFERROR(__xludf.DUMMYFUNCTION("""COMPUTED_VALUE"""),"12.9430/77.5762")</f>
        <v>12.9430/77.5762</v>
      </c>
      <c r="H2037" s="1" t="str">
        <f ca="1">IFERROR(__xludf.DUMMYFUNCTION("""COMPUTED_VALUE"""),"Venus Residency")</f>
        <v>Venus Residency</v>
      </c>
      <c r="I2037" s="1"/>
      <c r="J2037" s="1" t="str">
        <f ca="1">IFERROR(__xludf.DUMMYFUNCTION("""COMPUTED_VALUE"""),"0d 00h 00m")</f>
        <v>0d 00h 00m</v>
      </c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13.2">
      <c r="A2038" s="1">
        <f ca="1">IFERROR(__xludf.DUMMYFUNCTION("""COMPUTED_VALUE"""),154)</f>
        <v>154</v>
      </c>
      <c r="B2038" s="1" t="str">
        <f ca="1">IFERROR(__xludf.DUMMYFUNCTION("""COMPUTED_VALUE"""),"SW3_KA04C5147_Jetting")</f>
        <v>SW3_KA04C5147_Jetting</v>
      </c>
      <c r="C2038" s="1" t="str">
        <f ca="1">IFERROR(__xludf.DUMMYFUNCTION("""COMPUTED_VALUE"""),"sw3_ka04c5147_jetting")</f>
        <v>sw3_ka04c5147_jetting</v>
      </c>
      <c r="D2038" s="2">
        <f ca="1">IFERROR(__xludf.DUMMYFUNCTION("""COMPUTED_VALUE"""),44738)</f>
        <v>44738</v>
      </c>
      <c r="E2038" s="3">
        <f ca="1">IFERROR(__xludf.DUMMYFUNCTION("""COMPUTED_VALUE"""),0.99008101851723)</f>
        <v>0.99008101851722996</v>
      </c>
      <c r="F2038" s="1">
        <f ca="1">IFERROR(__xludf.DUMMYFUNCTION("""COMPUTED_VALUE"""),22494)</f>
        <v>22494</v>
      </c>
      <c r="G2038" s="1" t="str">
        <f ca="1">IFERROR(__xludf.DUMMYFUNCTION("""COMPUTED_VALUE"""),"12.9434/77.5767")</f>
        <v>12.9434/77.5767</v>
      </c>
      <c r="H2038" s="1" t="str">
        <f ca="1">IFERROR(__xludf.DUMMYFUNCTION("""COMPUTED_VALUE"""),"Venus Residency")</f>
        <v>Venus Residency</v>
      </c>
      <c r="I2038" s="1"/>
      <c r="J2038" s="1" t="str">
        <f ca="1">IFERROR(__xludf.DUMMYFUNCTION("""COMPUTED_VALUE"""),"0d 00h 00m")</f>
        <v>0d 00h 00m</v>
      </c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13.2">
      <c r="A2039" s="1">
        <f ca="1">IFERROR(__xludf.DUMMYFUNCTION("""COMPUTED_VALUE"""),83)</f>
        <v>83</v>
      </c>
      <c r="B2039" s="1" t="str">
        <f ca="1">IFERROR(__xludf.DUMMYFUNCTION("""COMPUTED_VALUE"""),"SW3_KA04C5147_Jetting")</f>
        <v>SW3_KA04C5147_Jetting</v>
      </c>
      <c r="C2039" s="1" t="str">
        <f ca="1">IFERROR(__xludf.DUMMYFUNCTION("""COMPUTED_VALUE"""),"sw3_ka04c5147_jetting")</f>
        <v>sw3_ka04c5147_jetting</v>
      </c>
      <c r="D2039" s="2">
        <f ca="1">IFERROR(__xludf.DUMMYFUNCTION("""COMPUTED_VALUE"""),44749)</f>
        <v>44749</v>
      </c>
      <c r="E2039" s="3">
        <f ca="1">IFERROR(__xludf.DUMMYFUNCTION("""COMPUTED_VALUE"""),0.457939814816199)</f>
        <v>0.457939814816199</v>
      </c>
      <c r="F2039" s="1">
        <f ca="1">IFERROR(__xludf.DUMMYFUNCTION("""COMPUTED_VALUE"""),22566)</f>
        <v>22566</v>
      </c>
      <c r="G2039" s="1" t="str">
        <f ca="1">IFERROR(__xludf.DUMMYFUNCTION("""COMPUTED_VALUE"""),"12.9482/77.5769")</f>
        <v>12.9482/77.5769</v>
      </c>
      <c r="H2039" s="1" t="str">
        <f ca="1">IFERROR(__xludf.DUMMYFUNCTION("""COMPUTED_VALUE"""),"Vanivilas")</f>
        <v>Vanivilas</v>
      </c>
      <c r="I2039" s="1"/>
      <c r="J2039" s="1" t="str">
        <f ca="1">IFERROR(__xludf.DUMMYFUNCTION("""COMPUTED_VALUE"""),"0d 00h 00m")</f>
        <v>0d 00h 00m</v>
      </c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13.2">
      <c r="A2040" s="1">
        <f ca="1">IFERROR(__xludf.DUMMYFUNCTION("""COMPUTED_VALUE"""),109)</f>
        <v>109</v>
      </c>
      <c r="B2040" s="1" t="str">
        <f ca="1">IFERROR(__xludf.DUMMYFUNCTION("""COMPUTED_VALUE"""),"SW3_KA04C5147_Jetting")</f>
        <v>SW3_KA04C5147_Jetting</v>
      </c>
      <c r="C2040" s="1" t="str">
        <f ca="1">IFERROR(__xludf.DUMMYFUNCTION("""COMPUTED_VALUE"""),"sw3_ka04c5147_jetting")</f>
        <v>sw3_ka04c5147_jetting</v>
      </c>
      <c r="D2040" s="2">
        <f ca="1">IFERROR(__xludf.DUMMYFUNCTION("""COMPUTED_VALUE"""),44785)</f>
        <v>44785</v>
      </c>
      <c r="E2040" s="3">
        <f ca="1">IFERROR(__xludf.DUMMYFUNCTION("""COMPUTED_VALUE"""),0.521053240740002)</f>
        <v>0.52105324074000203</v>
      </c>
      <c r="F2040" s="1">
        <f ca="1">IFERROR(__xludf.DUMMYFUNCTION("""COMPUTED_VALUE"""),22571)</f>
        <v>22571</v>
      </c>
      <c r="G2040" s="1" t="str">
        <f ca="1">IFERROR(__xludf.DUMMYFUNCTION("""COMPUTED_VALUE"""),"12.9544/77.5898")</f>
        <v>12.9544/77.5898</v>
      </c>
      <c r="H2040" s="1" t="str">
        <f ca="1">IFERROR(__xludf.DUMMYFUNCTION("""COMPUTED_VALUE"""),"Pai Vaibhav")</f>
        <v>Pai Vaibhav</v>
      </c>
      <c r="I2040" s="1"/>
      <c r="J2040" s="1" t="str">
        <f ca="1">IFERROR(__xludf.DUMMYFUNCTION("""COMPUTED_VALUE"""),"0d 00h 00m")</f>
        <v>0d 00h 00m</v>
      </c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13.2">
      <c r="A2041" s="1">
        <f ca="1">IFERROR(__xludf.DUMMYFUNCTION("""COMPUTED_VALUE"""),164)</f>
        <v>164</v>
      </c>
      <c r="B2041" s="1" t="str">
        <f ca="1">IFERROR(__xludf.DUMMYFUNCTION("""COMPUTED_VALUE"""),"SW3_KA04C5147_Jetting")</f>
        <v>SW3_KA04C5147_Jetting</v>
      </c>
      <c r="C2041" s="1" t="str">
        <f ca="1">IFERROR(__xludf.DUMMYFUNCTION("""COMPUTED_VALUE"""),"sw3_ka04c5147_jetting")</f>
        <v>sw3_ka04c5147_jetting</v>
      </c>
      <c r="D2041" s="2">
        <f ca="1">IFERROR(__xludf.DUMMYFUNCTION("""COMPUTED_VALUE"""),44830)</f>
        <v>44830</v>
      </c>
      <c r="E2041" s="3">
        <f ca="1">IFERROR(__xludf.DUMMYFUNCTION("""COMPUTED_VALUE"""),0.998958333333575)</f>
        <v>0.99895833333357498</v>
      </c>
      <c r="F2041" s="1">
        <f ca="1">IFERROR(__xludf.DUMMYFUNCTION("""COMPUTED_VALUE"""),22699)</f>
        <v>22699</v>
      </c>
      <c r="G2041" s="1" t="str">
        <f ca="1">IFERROR(__xludf.DUMMYFUNCTION("""COMPUTED_VALUE"""),"12.9428/77.5761")</f>
        <v>12.9428/77.5761</v>
      </c>
      <c r="H2041" s="1" t="str">
        <f ca="1">IFERROR(__xludf.DUMMYFUNCTION("""COMPUTED_VALUE"""),"Venus Residency")</f>
        <v>Venus Residency</v>
      </c>
      <c r="I2041" s="1"/>
      <c r="J2041" s="1" t="str">
        <f ca="1">IFERROR(__xludf.DUMMYFUNCTION("""COMPUTED_VALUE"""),"0d 00h 00m")</f>
        <v>0d 00h 00m</v>
      </c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13.2">
      <c r="A2042" s="1">
        <f ca="1">IFERROR(__xludf.DUMMYFUNCTION("""COMPUTED_VALUE"""),154)</f>
        <v>154</v>
      </c>
      <c r="B2042" s="1" t="str">
        <f ca="1">IFERROR(__xludf.DUMMYFUNCTION("""COMPUTED_VALUE"""),"SW3_KA04C5147_Jetting")</f>
        <v>SW3_KA04C5147_Jetting</v>
      </c>
      <c r="C2042" s="1" t="str">
        <f ca="1">IFERROR(__xludf.DUMMYFUNCTION("""COMPUTED_VALUE"""),"sw3_ka04c5147_jetting")</f>
        <v>sw3_ka04c5147_jetting</v>
      </c>
      <c r="D2042" s="2">
        <f ca="1">IFERROR(__xludf.DUMMYFUNCTION("""COMPUTED_VALUE"""),44860)</f>
        <v>44860</v>
      </c>
      <c r="E2042" s="3">
        <f ca="1">IFERROR(__xludf.DUMMYFUNCTION("""COMPUTED_VALUE"""),0.99859953703708)</f>
        <v>0.99859953703708004</v>
      </c>
      <c r="F2042" s="1">
        <f ca="1">IFERROR(__xludf.DUMMYFUNCTION("""COMPUTED_VALUE"""),23126)</f>
        <v>23126</v>
      </c>
      <c r="G2042" s="1" t="str">
        <f ca="1">IFERROR(__xludf.DUMMYFUNCTION("""COMPUTED_VALUE"""),"12.9433/77.5764")</f>
        <v>12.9433/77.5764</v>
      </c>
      <c r="H2042" s="1" t="str">
        <f ca="1">IFERROR(__xludf.DUMMYFUNCTION("""COMPUTED_VALUE"""),"Venus Residency")</f>
        <v>Venus Residency</v>
      </c>
      <c r="I2042" s="1"/>
      <c r="J2042" s="1" t="str">
        <f ca="1">IFERROR(__xludf.DUMMYFUNCTION("""COMPUTED_VALUE"""),"0d 00h 00m")</f>
        <v>0d 00h 00m</v>
      </c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13.2">
      <c r="A2043" s="1">
        <f ca="1">IFERROR(__xludf.DUMMYFUNCTION("""COMPUTED_VALUE"""),130)</f>
        <v>130</v>
      </c>
      <c r="B2043" s="1" t="str">
        <f ca="1">IFERROR(__xludf.DUMMYFUNCTION("""COMPUTED_VALUE"""),"SW3_KA04C5147_JETTING")</f>
        <v>SW3_KA04C5147_JETTING</v>
      </c>
      <c r="C2043" s="1" t="str">
        <f ca="1">IFERROR(__xludf.DUMMYFUNCTION("""COMPUTED_VALUE"""),"sw3_ka04c5147_jetting")</f>
        <v>sw3_ka04c5147_jetting</v>
      </c>
      <c r="D2043" s="2">
        <f ca="1">IFERROR(__xludf.DUMMYFUNCTION("""COMPUTED_VALUE"""),44749)</f>
        <v>44749</v>
      </c>
      <c r="E2043" s="3">
        <f ca="1">IFERROR(__xludf.DUMMYFUNCTION("""COMPUTED_VALUE"""),0.457939814816199)</f>
        <v>0.457939814816199</v>
      </c>
      <c r="F2043" s="1">
        <f ca="1">IFERROR(__xludf.DUMMYFUNCTION("""COMPUTED_VALUE"""),22566)</f>
        <v>22566</v>
      </c>
      <c r="G2043" s="1" t="str">
        <f ca="1">IFERROR(__xludf.DUMMYFUNCTION("""COMPUTED_VALUE"""),"12.9482/77.5769")</f>
        <v>12.9482/77.5769</v>
      </c>
      <c r="H2043" s="1" t="str">
        <f ca="1">IFERROR(__xludf.DUMMYFUNCTION("""COMPUTED_VALUE"""),"Vanivilas")</f>
        <v>Vanivilas</v>
      </c>
      <c r="I2043" s="1"/>
      <c r="J2043" s="1" t="str">
        <f ca="1">IFERROR(__xludf.DUMMYFUNCTION("""COMPUTED_VALUE"""),"0d 00h 00m")</f>
        <v>0d 00h 00m</v>
      </c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13.2">
      <c r="A2044" s="1">
        <f ca="1">IFERROR(__xludf.DUMMYFUNCTION("""COMPUTED_VALUE"""),145)</f>
        <v>145</v>
      </c>
      <c r="B2044" s="1" t="str">
        <f ca="1">IFERROR(__xludf.DUMMYFUNCTION("""COMPUTED_VALUE"""),"SW3_KA04C5147_JETTING")</f>
        <v>SW3_KA04C5147_JETTING</v>
      </c>
      <c r="C2044" s="1" t="str">
        <f ca="1">IFERROR(__xludf.DUMMYFUNCTION("""COMPUTED_VALUE"""),"sw3_ka04c5147_jetting")</f>
        <v>sw3_ka04c5147_jetting</v>
      </c>
      <c r="D2044" s="2">
        <f ca="1">IFERROR(__xludf.DUMMYFUNCTION("""COMPUTED_VALUE"""),44860)</f>
        <v>44860</v>
      </c>
      <c r="E2044" s="3">
        <f ca="1">IFERROR(__xludf.DUMMYFUNCTION("""COMPUTED_VALUE"""),0.99859953703708)</f>
        <v>0.99859953703708004</v>
      </c>
      <c r="F2044" s="1">
        <f ca="1">IFERROR(__xludf.DUMMYFUNCTION("""COMPUTED_VALUE"""),23126)</f>
        <v>23126</v>
      </c>
      <c r="G2044" s="1" t="str">
        <f ca="1">IFERROR(__xludf.DUMMYFUNCTION("""COMPUTED_VALUE"""),"12.9433/77.5764")</f>
        <v>12.9433/77.5764</v>
      </c>
      <c r="H2044" s="1" t="str">
        <f ca="1">IFERROR(__xludf.DUMMYFUNCTION("""COMPUTED_VALUE"""),"Venus Residency")</f>
        <v>Venus Residency</v>
      </c>
      <c r="I2044" s="1"/>
      <c r="J2044" s="1" t="str">
        <f ca="1">IFERROR(__xludf.DUMMYFUNCTION("""COMPUTED_VALUE"""),"0d 00h 00m")</f>
        <v>0d 00h 00m</v>
      </c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13.2">
      <c r="A2045" s="1">
        <f ca="1">IFERROR(__xludf.DUMMYFUNCTION("""COMPUTED_VALUE"""),158)</f>
        <v>158</v>
      </c>
      <c r="B2045" s="1" t="str">
        <f ca="1">IFERROR(__xludf.DUMMYFUNCTION("""COMPUTED_VALUE"""),"SW3_KA04C5147_JETTING")</f>
        <v>SW3_KA04C5147_JETTING</v>
      </c>
      <c r="C2045" s="1" t="str">
        <f ca="1">IFERROR(__xludf.DUMMYFUNCTION("""COMPUTED_VALUE"""),"sw3_ka04c5147_jetting")</f>
        <v>sw3_ka04c5147_jetting</v>
      </c>
      <c r="D2045" s="2">
        <f ca="1">IFERROR(__xludf.DUMMYFUNCTION("""COMPUTED_VALUE"""),44952)</f>
        <v>44952</v>
      </c>
      <c r="E2045" s="3">
        <f ca="1">IFERROR(__xludf.DUMMYFUNCTION("""COMPUTED_VALUE"""),0.999155092591536)</f>
        <v>0.99915509259153601</v>
      </c>
      <c r="F2045" s="1">
        <f ca="1">IFERROR(__xludf.DUMMYFUNCTION("""COMPUTED_VALUE"""),24157)</f>
        <v>24157</v>
      </c>
      <c r="G2045" s="1" t="str">
        <f ca="1">IFERROR(__xludf.DUMMYFUNCTION("""COMPUTED_VALUE"""),"12.9426/77.5759")</f>
        <v>12.9426/77.5759</v>
      </c>
      <c r="H2045" s="1" t="str">
        <f ca="1">IFERROR(__xludf.DUMMYFUNCTION("""COMPUTED_VALUE"""),"Venus Residency")</f>
        <v>Venus Residency</v>
      </c>
      <c r="I2045" s="1"/>
      <c r="J2045" s="1" t="str">
        <f ca="1">IFERROR(__xludf.DUMMYFUNCTION("""COMPUTED_VALUE"""),"0d 00h 00m")</f>
        <v>0d 00h 00m</v>
      </c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13.2">
      <c r="A2046" s="1">
        <f ca="1">IFERROR(__xludf.DUMMYFUNCTION("""COMPUTED_VALUE"""),164)</f>
        <v>164</v>
      </c>
      <c r="B2046" s="1" t="str">
        <f ca="1">IFERROR(__xludf.DUMMYFUNCTION("""COMPUTED_VALUE"""),"SW3_KA04C5147_JETTING")</f>
        <v>SW3_KA04C5147_JETTING</v>
      </c>
      <c r="C2046" s="1" t="str">
        <f ca="1">IFERROR(__xludf.DUMMYFUNCTION("""COMPUTED_VALUE"""),"sw3_ka04c5147_jetting")</f>
        <v>sw3_ka04c5147_jetting</v>
      </c>
      <c r="D2046" s="2">
        <f ca="1">IFERROR(__xludf.DUMMYFUNCTION("""COMPUTED_VALUE"""),45042)</f>
        <v>45042</v>
      </c>
      <c r="E2046" s="3">
        <f ca="1">IFERROR(__xludf.DUMMYFUNCTION("""COMPUTED_VALUE"""),0.999259259260725)</f>
        <v>0.99925925926072501</v>
      </c>
      <c r="F2046" s="1">
        <f ca="1">IFERROR(__xludf.DUMMYFUNCTION("""COMPUTED_VALUE"""),25050)</f>
        <v>25050</v>
      </c>
      <c r="G2046" s="1" t="str">
        <f ca="1">IFERROR(__xludf.DUMMYFUNCTION("""COMPUTED_VALUE"""),"12.9426/77.5760")</f>
        <v>12.9426/77.5760</v>
      </c>
      <c r="H2046" s="1" t="str">
        <f ca="1">IFERROR(__xludf.DUMMYFUNCTION("""COMPUTED_VALUE"""),"Venus Residency")</f>
        <v>Venus Residency</v>
      </c>
      <c r="I2046" s="1"/>
      <c r="J2046" s="1" t="str">
        <f ca="1">IFERROR(__xludf.DUMMYFUNCTION("""COMPUTED_VALUE"""),"0d 00h 00m")</f>
        <v>0d 00h 00m</v>
      </c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13.2">
      <c r="A2047" s="1">
        <f ca="1">IFERROR(__xludf.DUMMYFUNCTION("""COMPUTED_VALUE"""),150)</f>
        <v>150</v>
      </c>
      <c r="B2047" s="1" t="str">
        <f ca="1">IFERROR(__xludf.DUMMYFUNCTION("""COMPUTED_VALUE"""),"SW3_KA04C5147_JETTING")</f>
        <v>SW3_KA04C5147_JETTING</v>
      </c>
      <c r="C2047" s="1" t="str">
        <f ca="1">IFERROR(__xludf.DUMMYFUNCTION("""COMPUTED_VALUE"""),"sw3_ka04c5147_jetting")</f>
        <v>sw3_ka04c5147_jetting</v>
      </c>
      <c r="D2047" s="2">
        <f ca="1">IFERROR(__xludf.DUMMYFUNCTION("""COMPUTED_VALUE"""),45134)</f>
        <v>45134</v>
      </c>
      <c r="E2047" s="3">
        <f ca="1">IFERROR(__xludf.DUMMYFUNCTION("""COMPUTED_VALUE"""),0.998703703702631)</f>
        <v>0.99870370370263095</v>
      </c>
      <c r="F2047" s="1">
        <f ca="1">IFERROR(__xludf.DUMMYFUNCTION("""COMPUTED_VALUE"""),26825)</f>
        <v>26825</v>
      </c>
      <c r="G2047" s="1" t="str">
        <f ca="1">IFERROR(__xludf.DUMMYFUNCTION("""COMPUTED_VALUE"""),"12.9426/77.5753")</f>
        <v>12.9426/77.5753</v>
      </c>
      <c r="H2047" s="1" t="str">
        <f ca="1">IFERROR(__xludf.DUMMYFUNCTION("""COMPUTED_VALUE"""),"Venus Residency")</f>
        <v>Venus Residency</v>
      </c>
      <c r="I2047" s="1"/>
      <c r="J2047" s="1" t="str">
        <f ca="1">IFERROR(__xludf.DUMMYFUNCTION("""COMPUTED_VALUE"""),"0d 00h 00m")</f>
        <v>0d 00h 00m</v>
      </c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13.2">
      <c r="A2048" s="1">
        <f ca="1">IFERROR(__xludf.DUMMYFUNCTION("""COMPUTED_VALUE"""),147)</f>
        <v>147</v>
      </c>
      <c r="B2048" s="1" t="str">
        <f ca="1">IFERROR(__xludf.DUMMYFUNCTION("""COMPUTED_VALUE"""),"SW3_KA04C5147_JETTING")</f>
        <v>SW3_KA04C5147_JETTING</v>
      </c>
      <c r="C2048" s="1" t="str">
        <f ca="1">IFERROR(__xludf.DUMMYFUNCTION("""COMPUTED_VALUE"""),"sw3_ka04c5147_jetting")</f>
        <v>sw3_ka04c5147_jetting</v>
      </c>
      <c r="D2048" s="2">
        <f ca="1">IFERROR(__xludf.DUMMYFUNCTION("""COMPUTED_VALUE"""),45223)</f>
        <v>45223</v>
      </c>
      <c r="E2048" s="3">
        <f ca="1">IFERROR(__xludf.DUMMYFUNCTION("""COMPUTED_VALUE"""),0.595115740739856)</f>
        <v>0.59511574073985596</v>
      </c>
      <c r="F2048" s="1">
        <f ca="1">IFERROR(__xludf.DUMMYFUNCTION("""COMPUTED_VALUE"""),32258)</f>
        <v>32258</v>
      </c>
      <c r="G2048" s="1" t="str">
        <f ca="1">IFERROR(__xludf.DUMMYFUNCTION("""COMPUTED_VALUE"""),"12.9427/77.5759")</f>
        <v>12.9427/77.5759</v>
      </c>
      <c r="H2048" s="1" t="str">
        <f ca="1">IFERROR(__xludf.DUMMYFUNCTION("""COMPUTED_VALUE"""),"Venus Residency")</f>
        <v>Venus Residency</v>
      </c>
      <c r="I2048" s="1"/>
      <c r="J2048" s="1" t="str">
        <f ca="1">IFERROR(__xludf.DUMMYFUNCTION("""COMPUTED_VALUE"""),"0d 00h 00m")</f>
        <v>0d 00h 00m</v>
      </c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13.2">
      <c r="A2049" s="1">
        <f ca="1">IFERROR(__xludf.DUMMYFUNCTION("""COMPUTED_VALUE"""),179)</f>
        <v>179</v>
      </c>
      <c r="B2049" s="1" t="str">
        <f ca="1">IFERROR(__xludf.DUMMYFUNCTION("""COMPUTED_VALUE"""),"SW3_KA04C5147_JETTING")</f>
        <v>SW3_KA04C5147_JETTING</v>
      </c>
      <c r="C2049" s="1" t="str">
        <f ca="1">IFERROR(__xludf.DUMMYFUNCTION("""COMPUTED_VALUE"""),"sw3_ka04c5147_jetting")</f>
        <v>sw3_ka04c5147_jetting</v>
      </c>
      <c r="D2049" s="2">
        <f ca="1">IFERROR(__xludf.DUMMYFUNCTION("""COMPUTED_VALUE"""),45315)</f>
        <v>45315</v>
      </c>
      <c r="E2049" s="3">
        <f ca="1">IFERROR(__xludf.DUMMYFUNCTION("""COMPUTED_VALUE"""),0.787129629628907)</f>
        <v>0.78712962962890698</v>
      </c>
      <c r="F2049" s="1">
        <f ca="1">IFERROR(__xludf.DUMMYFUNCTION("""COMPUTED_VALUE"""),35021)</f>
        <v>35021</v>
      </c>
      <c r="G2049" s="1" t="str">
        <f ca="1">IFERROR(__xludf.DUMMYFUNCTION("""COMPUTED_VALUE"""),"12.9427/77.5762")</f>
        <v>12.9427/77.5762</v>
      </c>
      <c r="H2049" s="1" t="str">
        <f ca="1">IFERROR(__xludf.DUMMYFUNCTION("""COMPUTED_VALUE"""),"Venus Residency")</f>
        <v>Venus Residency</v>
      </c>
      <c r="I2049" s="1"/>
      <c r="J2049" s="1" t="str">
        <f ca="1">IFERROR(__xludf.DUMMYFUNCTION("""COMPUTED_VALUE"""),"0d 00h 00m")</f>
        <v>0d 00h 00m</v>
      </c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13.2">
      <c r="A2050" s="1">
        <f ca="1">IFERROR(__xludf.DUMMYFUNCTION("""COMPUTED_VALUE"""),217)</f>
        <v>217</v>
      </c>
      <c r="B2050" s="1" t="str">
        <f ca="1">IFERROR(__xludf.DUMMYFUNCTION("""COMPUTED_VALUE"""),"SW3_KA05A8077_Tanker")</f>
        <v>SW3_KA05A8077_Tanker</v>
      </c>
      <c r="C2050" s="1" t="str">
        <f ca="1">IFERROR(__xludf.DUMMYFUNCTION("""COMPUTED_VALUE"""),"sw3_ka05a8077_tanker")</f>
        <v>sw3_ka05a8077_tanker</v>
      </c>
      <c r="D2050" s="2">
        <f ca="1">IFERROR(__xludf.DUMMYFUNCTION("""COMPUTED_VALUE"""),44707)</f>
        <v>44707</v>
      </c>
      <c r="E2050" s="3">
        <f ca="1">IFERROR(__xludf.DUMMYFUNCTION("""COMPUTED_VALUE"""),0.999259259260725)</f>
        <v>0.99925925926072501</v>
      </c>
      <c r="F2050" s="1">
        <f ca="1">IFERROR(__xludf.DUMMYFUNCTION("""COMPUTED_VALUE"""),24022)</f>
        <v>24022</v>
      </c>
      <c r="G2050" s="1" t="str">
        <f ca="1">IFERROR(__xludf.DUMMYFUNCTION("""COMPUTED_VALUE"""),"12.9429/77.5757")</f>
        <v>12.9429/77.5757</v>
      </c>
      <c r="H2050" s="1" t="str">
        <f ca="1">IFERROR(__xludf.DUMMYFUNCTION("""COMPUTED_VALUE"""),"Venus Residency")</f>
        <v>Venus Residency</v>
      </c>
      <c r="I2050" s="1"/>
      <c r="J2050" s="1" t="str">
        <f ca="1">IFERROR(__xludf.DUMMYFUNCTION("""COMPUTED_VALUE"""),"0d 00h 00m")</f>
        <v>0d 00h 00m</v>
      </c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13.2">
      <c r="A2051" s="1">
        <f ca="1">IFERROR(__xludf.DUMMYFUNCTION("""COMPUTED_VALUE"""),91)</f>
        <v>91</v>
      </c>
      <c r="B2051" s="1" t="str">
        <f ca="1">IFERROR(__xludf.DUMMYFUNCTION("""COMPUTED_VALUE"""),"SW3_KA05A8077_Tanker")</f>
        <v>SW3_KA05A8077_Tanker</v>
      </c>
      <c r="C2051" s="1" t="str">
        <f ca="1">IFERROR(__xludf.DUMMYFUNCTION("""COMPUTED_VALUE"""),"sw3_ka05a8077_tanker")</f>
        <v>sw3_ka05a8077_tanker</v>
      </c>
      <c r="D2051" s="2">
        <f ca="1">IFERROR(__xludf.DUMMYFUNCTION("""COMPUTED_VALUE"""),44732)</f>
        <v>44732</v>
      </c>
      <c r="E2051" s="3">
        <f ca="1">IFERROR(__xludf.DUMMYFUNCTION("""COMPUTED_VALUE"""),0.284525462964666)</f>
        <v>0.28452546296466602</v>
      </c>
      <c r="F2051" s="1">
        <f ca="1">IFERROR(__xludf.DUMMYFUNCTION("""COMPUTED_VALUE"""),24230)</f>
        <v>24230</v>
      </c>
      <c r="G2051" s="1" t="str">
        <f ca="1">IFERROR(__xludf.DUMMYFUNCTION("""COMPUTED_VALUE"""),"12.9428/77.5757")</f>
        <v>12.9428/77.5757</v>
      </c>
      <c r="H2051" s="1" t="str">
        <f ca="1">IFERROR(__xludf.DUMMYFUNCTION("""COMPUTED_VALUE"""),"Venus Residency")</f>
        <v>Venus Residency</v>
      </c>
      <c r="I2051" s="1"/>
      <c r="J2051" s="1" t="str">
        <f ca="1">IFERROR(__xludf.DUMMYFUNCTION("""COMPUTED_VALUE"""),"0d 00h 00m")</f>
        <v>0d 00h 00m</v>
      </c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13.2">
      <c r="A2052" s="1">
        <f ca="1">IFERROR(__xludf.DUMMYFUNCTION("""COMPUTED_VALUE"""),110)</f>
        <v>110</v>
      </c>
      <c r="B2052" s="1" t="str">
        <f ca="1">IFERROR(__xludf.DUMMYFUNCTION("""COMPUTED_VALUE"""),"SW3_KA05A8077_Tanker")</f>
        <v>SW3_KA05A8077_Tanker</v>
      </c>
      <c r="C2052" s="1" t="str">
        <f ca="1">IFERROR(__xludf.DUMMYFUNCTION("""COMPUTED_VALUE"""),"sw3_ka05a8077_tanker")</f>
        <v>sw3_ka05a8077_tanker</v>
      </c>
      <c r="D2052" s="2">
        <f ca="1">IFERROR(__xludf.DUMMYFUNCTION("""COMPUTED_VALUE"""),44763)</f>
        <v>44763</v>
      </c>
      <c r="E2052" s="3">
        <f ca="1">IFERROR(__xludf.DUMMYFUNCTION("""COMPUTED_VALUE"""),0.247071759258687)</f>
        <v>0.24707175925868699</v>
      </c>
      <c r="F2052" s="1">
        <f ca="1">IFERROR(__xludf.DUMMYFUNCTION("""COMPUTED_VALUE"""),24233)</f>
        <v>24233</v>
      </c>
      <c r="G2052" s="1" t="str">
        <f ca="1">IFERROR(__xludf.DUMMYFUNCTION("""COMPUTED_VALUE"""),"12.9425/77.5760")</f>
        <v>12.9425/77.5760</v>
      </c>
      <c r="H2052" s="1" t="str">
        <f ca="1">IFERROR(__xludf.DUMMYFUNCTION("""COMPUTED_VALUE"""),"Venus Residency")</f>
        <v>Venus Residency</v>
      </c>
      <c r="I2052" s="1"/>
      <c r="J2052" s="1" t="str">
        <f ca="1">IFERROR(__xludf.DUMMYFUNCTION("""COMPUTED_VALUE"""),"0d 00h 00m")</f>
        <v>0d 00h 00m</v>
      </c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13.2">
      <c r="A2053" s="1">
        <f ca="1">IFERROR(__xludf.DUMMYFUNCTION("""COMPUTED_VALUE"""),88)</f>
        <v>88</v>
      </c>
      <c r="B2053" s="1" t="str">
        <f ca="1">IFERROR(__xludf.DUMMYFUNCTION("""COMPUTED_VALUE"""),"SW3_KA05A8077_Tanker")</f>
        <v>SW3_KA05A8077_Tanker</v>
      </c>
      <c r="C2053" s="1" t="str">
        <f ca="1">IFERROR(__xludf.DUMMYFUNCTION("""COMPUTED_VALUE"""),"sw3_ka05a8077_tanker")</f>
        <v>sw3_ka05a8077_tanker</v>
      </c>
      <c r="D2053" s="2">
        <f ca="1">IFERROR(__xludf.DUMMYFUNCTION("""COMPUTED_VALUE"""),44771)</f>
        <v>44771</v>
      </c>
      <c r="E2053" s="3">
        <f ca="1">IFERROR(__xludf.DUMMYFUNCTION("""COMPUTED_VALUE"""),0.529027777778537)</f>
        <v>0.52902777777853704</v>
      </c>
      <c r="F2053" s="1">
        <f ca="1">IFERROR(__xludf.DUMMYFUNCTION("""COMPUTED_VALUE"""),24233)</f>
        <v>24233</v>
      </c>
      <c r="G2053" s="1" t="str">
        <f ca="1">IFERROR(__xludf.DUMMYFUNCTION("""COMPUTED_VALUE"""),"12.9427/77.5757")</f>
        <v>12.9427/77.5757</v>
      </c>
      <c r="H2053" s="1" t="str">
        <f ca="1">IFERROR(__xludf.DUMMYFUNCTION("""COMPUTED_VALUE"""),"Venus Residency")</f>
        <v>Venus Residency</v>
      </c>
      <c r="I2053" s="1"/>
      <c r="J2053" s="1" t="str">
        <f ca="1">IFERROR(__xludf.DUMMYFUNCTION("""COMPUTED_VALUE"""),"0d 00h 00m")</f>
        <v>0d 00h 00m</v>
      </c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13.2">
      <c r="A2054" s="1">
        <f ca="1">IFERROR(__xludf.DUMMYFUNCTION("""COMPUTED_VALUE"""),62)</f>
        <v>62</v>
      </c>
      <c r="B2054" s="1" t="str">
        <f ca="1">IFERROR(__xludf.DUMMYFUNCTION("""COMPUTED_VALUE"""),"SW3_KA05A8077_Tanker")</f>
        <v>SW3_KA05A8077_Tanker</v>
      </c>
      <c r="C2054" s="1" t="str">
        <f ca="1">IFERROR(__xludf.DUMMYFUNCTION("""COMPUTED_VALUE"""),"sw3_ka05a8077_tanker")</f>
        <v>sw3_ka05a8077_tanker</v>
      </c>
      <c r="D2054" s="2">
        <f ca="1">IFERROR(__xludf.DUMMYFUNCTION("""COMPUTED_VALUE"""),44771)</f>
        <v>44771</v>
      </c>
      <c r="E2054" s="3">
        <f ca="1">IFERROR(__xludf.DUMMYFUNCTION("""COMPUTED_VALUE"""),0.529027777778537)</f>
        <v>0.52902777777853704</v>
      </c>
      <c r="F2054" s="1">
        <f ca="1">IFERROR(__xludf.DUMMYFUNCTION("""COMPUTED_VALUE"""),24233)</f>
        <v>24233</v>
      </c>
      <c r="G2054" s="1" t="str">
        <f ca="1">IFERROR(__xludf.DUMMYFUNCTION("""COMPUTED_VALUE"""),"12.9427/77.5757")</f>
        <v>12.9427/77.5757</v>
      </c>
      <c r="H2054" s="1" t="str">
        <f ca="1">IFERROR(__xludf.DUMMYFUNCTION("""COMPUTED_VALUE"""),"Venus Residency")</f>
        <v>Venus Residency</v>
      </c>
      <c r="I2054" s="1"/>
      <c r="J2054" s="1" t="str">
        <f ca="1">IFERROR(__xludf.DUMMYFUNCTION("""COMPUTED_VALUE"""),"0d 00h 00m")</f>
        <v>0d 00h 00m</v>
      </c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13.2">
      <c r="A2055" s="1">
        <f ca="1">IFERROR(__xludf.DUMMYFUNCTION("""COMPUTED_VALUE"""),155)</f>
        <v>155</v>
      </c>
      <c r="B2055" s="1" t="str">
        <f ca="1">IFERROR(__xludf.DUMMYFUNCTION("""COMPUTED_VALUE"""),"SW3_KA05A8077_Tanker")</f>
        <v>SW3_KA05A8077_Tanker</v>
      </c>
      <c r="C2055" s="1" t="str">
        <f ca="1">IFERROR(__xludf.DUMMYFUNCTION("""COMPUTED_VALUE"""),"sw3_ka05a8077_tanker")</f>
        <v>sw3_ka05a8077_tanker</v>
      </c>
      <c r="D2055" s="2">
        <f ca="1">IFERROR(__xludf.DUMMYFUNCTION("""COMPUTED_VALUE"""),44860)</f>
        <v>44860</v>
      </c>
      <c r="E2055" s="3">
        <f ca="1">IFERROR(__xludf.DUMMYFUNCTION("""COMPUTED_VALUE"""),0.998622685187001)</f>
        <v>0.99862268518700104</v>
      </c>
      <c r="F2055" s="1">
        <f ca="1">IFERROR(__xludf.DUMMYFUNCTION("""COMPUTED_VALUE"""),24519)</f>
        <v>24519</v>
      </c>
      <c r="G2055" s="1" t="str">
        <f ca="1">IFERROR(__xludf.DUMMYFUNCTION("""COMPUTED_VALUE"""),"12.9428/77.5759")</f>
        <v>12.9428/77.5759</v>
      </c>
      <c r="H2055" s="1" t="str">
        <f ca="1">IFERROR(__xludf.DUMMYFUNCTION("""COMPUTED_VALUE"""),"Venus Residency")</f>
        <v>Venus Residency</v>
      </c>
      <c r="I2055" s="1"/>
      <c r="J2055" s="1" t="str">
        <f ca="1">IFERROR(__xludf.DUMMYFUNCTION("""COMPUTED_VALUE"""),"0d 00h 00m")</f>
        <v>0d 00h 00m</v>
      </c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13.2">
      <c r="A2056" s="1">
        <f ca="1">IFERROR(__xludf.DUMMYFUNCTION("""COMPUTED_VALUE"""),136)</f>
        <v>136</v>
      </c>
      <c r="B2056" s="1" t="str">
        <f ca="1">IFERROR(__xludf.DUMMYFUNCTION("""COMPUTED_VALUE"""),"SW3_KA05A8077_TANKER")</f>
        <v>SW3_KA05A8077_TANKER</v>
      </c>
      <c r="C2056" s="1" t="str">
        <f ca="1">IFERROR(__xludf.DUMMYFUNCTION("""COMPUTED_VALUE"""),"sw3_ka05a8077_tanker")</f>
        <v>sw3_ka05a8077_tanker</v>
      </c>
      <c r="D2056" s="2">
        <f ca="1">IFERROR(__xludf.DUMMYFUNCTION("""COMPUTED_VALUE"""),44763)</f>
        <v>44763</v>
      </c>
      <c r="E2056" s="3">
        <f ca="1">IFERROR(__xludf.DUMMYFUNCTION("""COMPUTED_VALUE"""),0.247071759258687)</f>
        <v>0.24707175925868699</v>
      </c>
      <c r="F2056" s="1">
        <f ca="1">IFERROR(__xludf.DUMMYFUNCTION("""COMPUTED_VALUE"""),24233)</f>
        <v>24233</v>
      </c>
      <c r="G2056" s="1" t="str">
        <f ca="1">IFERROR(__xludf.DUMMYFUNCTION("""COMPUTED_VALUE"""),"12.9425/77.5760")</f>
        <v>12.9425/77.5760</v>
      </c>
      <c r="H2056" s="1" t="str">
        <f ca="1">IFERROR(__xludf.DUMMYFUNCTION("""COMPUTED_VALUE"""),"Venus Residency")</f>
        <v>Venus Residency</v>
      </c>
      <c r="I2056" s="1"/>
      <c r="J2056" s="1" t="str">
        <f ca="1">IFERROR(__xludf.DUMMYFUNCTION("""COMPUTED_VALUE"""),"0d 00h 00m")</f>
        <v>0d 00h 00m</v>
      </c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13.2">
      <c r="A2057" s="1">
        <f ca="1">IFERROR(__xludf.DUMMYFUNCTION("""COMPUTED_VALUE"""),146)</f>
        <v>146</v>
      </c>
      <c r="B2057" s="1" t="str">
        <f ca="1">IFERROR(__xludf.DUMMYFUNCTION("""COMPUTED_VALUE"""),"SW3_KA05A8077_TANKER")</f>
        <v>SW3_KA05A8077_TANKER</v>
      </c>
      <c r="C2057" s="1" t="str">
        <f ca="1">IFERROR(__xludf.DUMMYFUNCTION("""COMPUTED_VALUE"""),"sw3_ka05a8077_tanker")</f>
        <v>sw3_ka05a8077_tanker</v>
      </c>
      <c r="D2057" s="2">
        <f ca="1">IFERROR(__xludf.DUMMYFUNCTION("""COMPUTED_VALUE"""),44860)</f>
        <v>44860</v>
      </c>
      <c r="E2057" s="3">
        <f ca="1">IFERROR(__xludf.DUMMYFUNCTION("""COMPUTED_VALUE"""),0.998622685187001)</f>
        <v>0.99862268518700104</v>
      </c>
      <c r="F2057" s="1">
        <f ca="1">IFERROR(__xludf.DUMMYFUNCTION("""COMPUTED_VALUE"""),24519)</f>
        <v>24519</v>
      </c>
      <c r="G2057" s="1" t="str">
        <f ca="1">IFERROR(__xludf.DUMMYFUNCTION("""COMPUTED_VALUE"""),"12.9428/77.5759")</f>
        <v>12.9428/77.5759</v>
      </c>
      <c r="H2057" s="1" t="str">
        <f ca="1">IFERROR(__xludf.DUMMYFUNCTION("""COMPUTED_VALUE"""),"Venus Residency")</f>
        <v>Venus Residency</v>
      </c>
      <c r="I2057" s="1"/>
      <c r="J2057" s="1" t="str">
        <f ca="1">IFERROR(__xludf.DUMMYFUNCTION("""COMPUTED_VALUE"""),"0d 00h 00m")</f>
        <v>0d 00h 00m</v>
      </c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13.2">
      <c r="A2058" s="1">
        <f ca="1">IFERROR(__xludf.DUMMYFUNCTION("""COMPUTED_VALUE"""),159)</f>
        <v>159</v>
      </c>
      <c r="B2058" s="1" t="str">
        <f ca="1">IFERROR(__xludf.DUMMYFUNCTION("""COMPUTED_VALUE"""),"SW3_KA05A8077_TANKER")</f>
        <v>SW3_KA05A8077_TANKER</v>
      </c>
      <c r="C2058" s="1" t="str">
        <f ca="1">IFERROR(__xludf.DUMMYFUNCTION("""COMPUTED_VALUE"""),"sw3_ka05a8077_tanker")</f>
        <v>sw3_ka05a8077_tanker</v>
      </c>
      <c r="D2058" s="2">
        <f ca="1">IFERROR(__xludf.DUMMYFUNCTION("""COMPUTED_VALUE"""),44952)</f>
        <v>44952</v>
      </c>
      <c r="E2058" s="3">
        <f ca="1">IFERROR(__xludf.DUMMYFUNCTION("""COMPUTED_VALUE"""),0.999178240741457)</f>
        <v>0.999178240741457</v>
      </c>
      <c r="F2058" s="1">
        <f ca="1">IFERROR(__xludf.DUMMYFUNCTION("""COMPUTED_VALUE"""),25219)</f>
        <v>25219</v>
      </c>
      <c r="G2058" s="1" t="str">
        <f ca="1">IFERROR(__xludf.DUMMYFUNCTION("""COMPUTED_VALUE"""),"12.9429/77.5759")</f>
        <v>12.9429/77.5759</v>
      </c>
      <c r="H2058" s="1" t="str">
        <f ca="1">IFERROR(__xludf.DUMMYFUNCTION("""COMPUTED_VALUE"""),"Venus Residency")</f>
        <v>Venus Residency</v>
      </c>
      <c r="I2058" s="1"/>
      <c r="J2058" s="1" t="str">
        <f ca="1">IFERROR(__xludf.DUMMYFUNCTION("""COMPUTED_VALUE"""),"0d 00h 00m")</f>
        <v>0d 00h 00m</v>
      </c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13.2">
      <c r="A2059" s="1">
        <f ca="1">IFERROR(__xludf.DUMMYFUNCTION("""COMPUTED_VALUE"""),163)</f>
        <v>163</v>
      </c>
      <c r="B2059" s="1" t="str">
        <f ca="1">IFERROR(__xludf.DUMMYFUNCTION("""COMPUTED_VALUE"""),"SW3_KA05A8077_TANKER")</f>
        <v>SW3_KA05A8077_TANKER</v>
      </c>
      <c r="C2059" s="1" t="str">
        <f ca="1">IFERROR(__xludf.DUMMYFUNCTION("""COMPUTED_VALUE"""),"sw3_ka05a8077_tanker")</f>
        <v>sw3_ka05a8077_tanker</v>
      </c>
      <c r="D2059" s="2">
        <f ca="1">IFERROR(__xludf.DUMMYFUNCTION("""COMPUTED_VALUE"""),45042)</f>
        <v>45042</v>
      </c>
      <c r="E2059" s="3">
        <f ca="1">IFERROR(__xludf.DUMMYFUNCTION("""COMPUTED_VALUE"""),0.999259259260725)</f>
        <v>0.99925925926072501</v>
      </c>
      <c r="F2059" s="1">
        <f ca="1">IFERROR(__xludf.DUMMYFUNCTION("""COMPUTED_VALUE"""),12209)</f>
        <v>12209</v>
      </c>
      <c r="G2059" s="1" t="str">
        <f ca="1">IFERROR(__xludf.DUMMYFUNCTION("""COMPUTED_VALUE"""),"12.9408/77.5757")</f>
        <v>12.9408/77.5757</v>
      </c>
      <c r="H2059" s="1" t="str">
        <f ca="1">IFERROR(__xludf.DUMMYFUNCTION("""COMPUTED_VALUE"""),"Nagasandra Circle")</f>
        <v>Nagasandra Circle</v>
      </c>
      <c r="I2059" s="1"/>
      <c r="J2059" s="1" t="str">
        <f ca="1">IFERROR(__xludf.DUMMYFUNCTION("""COMPUTED_VALUE"""),"0d 00h 00m")</f>
        <v>0d 00h 00m</v>
      </c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13.2">
      <c r="A2060" s="1">
        <f ca="1">IFERROR(__xludf.DUMMYFUNCTION("""COMPUTED_VALUE"""),160)</f>
        <v>160</v>
      </c>
      <c r="B2060" s="1" t="str">
        <f ca="1">IFERROR(__xludf.DUMMYFUNCTION("""COMPUTED_VALUE"""),"SW3_KA05A8077_TANKER")</f>
        <v>SW3_KA05A8077_TANKER</v>
      </c>
      <c r="C2060" s="1" t="str">
        <f ca="1">IFERROR(__xludf.DUMMYFUNCTION("""COMPUTED_VALUE"""),"sw3_ka05a8077_tanker")</f>
        <v>sw3_ka05a8077_tanker</v>
      </c>
      <c r="D2060" s="2">
        <f ca="1">IFERROR(__xludf.DUMMYFUNCTION("""COMPUTED_VALUE"""),45134)</f>
        <v>45134</v>
      </c>
      <c r="E2060" s="3">
        <f ca="1">IFERROR(__xludf.DUMMYFUNCTION("""COMPUTED_VALUE"""),0.999178240741457)</f>
        <v>0.999178240741457</v>
      </c>
      <c r="F2060" s="1">
        <f ca="1">IFERROR(__xludf.DUMMYFUNCTION("""COMPUTED_VALUE"""),13243)</f>
        <v>13243</v>
      </c>
      <c r="G2060" s="1" t="str">
        <f ca="1">IFERROR(__xludf.DUMMYFUNCTION("""COMPUTED_VALUE"""),"12.9424/77.5757")</f>
        <v>12.9424/77.5757</v>
      </c>
      <c r="H2060" s="1" t="str">
        <f ca="1">IFERROR(__xludf.DUMMYFUNCTION("""COMPUTED_VALUE"""),"Venus Residency")</f>
        <v>Venus Residency</v>
      </c>
      <c r="I2060" s="1"/>
      <c r="J2060" s="1" t="str">
        <f ca="1">IFERROR(__xludf.DUMMYFUNCTION("""COMPUTED_VALUE"""),"0d 00h 00m")</f>
        <v>0d 00h 00m</v>
      </c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13.2">
      <c r="A2061" s="1">
        <f ca="1">IFERROR(__xludf.DUMMYFUNCTION("""COMPUTED_VALUE"""),159)</f>
        <v>159</v>
      </c>
      <c r="B2061" s="1" t="str">
        <f ca="1">IFERROR(__xludf.DUMMYFUNCTION("""COMPUTED_VALUE"""),"SW3_KA05A8077_TANKER")</f>
        <v>SW3_KA05A8077_TANKER</v>
      </c>
      <c r="C2061" s="1" t="str">
        <f ca="1">IFERROR(__xludf.DUMMYFUNCTION("""COMPUTED_VALUE"""),"sw3_ka05a8077_tanker")</f>
        <v>sw3_ka05a8077_tanker</v>
      </c>
      <c r="D2061" s="2">
        <f ca="1">IFERROR(__xludf.DUMMYFUNCTION("""COMPUTED_VALUE"""),45226)</f>
        <v>45226</v>
      </c>
      <c r="E2061" s="3">
        <f ca="1">IFERROR(__xludf.DUMMYFUNCTION("""COMPUTED_VALUE"""),0.998981481479859)</f>
        <v>0.99898148147985899</v>
      </c>
      <c r="F2061" s="1">
        <f ca="1">IFERROR(__xludf.DUMMYFUNCTION("""COMPUTED_VALUE"""),14136)</f>
        <v>14136</v>
      </c>
      <c r="G2061" s="1" t="str">
        <f ca="1">IFERROR(__xludf.DUMMYFUNCTION("""COMPUTED_VALUE"""),"12.9428/77.5760")</f>
        <v>12.9428/77.5760</v>
      </c>
      <c r="H2061" s="1" t="str">
        <f ca="1">IFERROR(__xludf.DUMMYFUNCTION("""COMPUTED_VALUE"""),"Venus Residency")</f>
        <v>Venus Residency</v>
      </c>
      <c r="I2061" s="1"/>
      <c r="J2061" s="1" t="str">
        <f ca="1">IFERROR(__xludf.DUMMYFUNCTION("""COMPUTED_VALUE"""),"0d 00h 00m")</f>
        <v>0d 00h 00m</v>
      </c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13.2">
      <c r="A2062" s="1">
        <f ca="1">IFERROR(__xludf.DUMMYFUNCTION("""COMPUTED_VALUE"""),180)</f>
        <v>180</v>
      </c>
      <c r="B2062" s="1" t="str">
        <f ca="1">IFERROR(__xludf.DUMMYFUNCTION("""COMPUTED_VALUE"""),"SW3_KA05A8077_TANKER")</f>
        <v>SW3_KA05A8077_TANKER</v>
      </c>
      <c r="C2062" s="1" t="str">
        <f ca="1">IFERROR(__xludf.DUMMYFUNCTION("""COMPUTED_VALUE"""),"sw3_ka05a8077_tanker")</f>
        <v>sw3_ka05a8077_tanker</v>
      </c>
      <c r="D2062" s="2">
        <f ca="1">IFERROR(__xludf.DUMMYFUNCTION("""COMPUTED_VALUE"""),45315)</f>
        <v>45315</v>
      </c>
      <c r="E2062" s="3">
        <f ca="1">IFERROR(__xludf.DUMMYFUNCTION("""COMPUTED_VALUE"""),0.787210648148175)</f>
        <v>0.78721064814817499</v>
      </c>
      <c r="F2062" s="1">
        <f ca="1">IFERROR(__xludf.DUMMYFUNCTION("""COMPUTED_VALUE"""),15199)</f>
        <v>15199</v>
      </c>
      <c r="G2062" s="1" t="str">
        <f ca="1">IFERROR(__xludf.DUMMYFUNCTION("""COMPUTED_VALUE"""),"12.9426/77.5762")</f>
        <v>12.9426/77.5762</v>
      </c>
      <c r="H2062" s="1" t="str">
        <f ca="1">IFERROR(__xludf.DUMMYFUNCTION("""COMPUTED_VALUE"""),"Venus Residency")</f>
        <v>Venus Residency</v>
      </c>
      <c r="I2062" s="1"/>
      <c r="J2062" s="1" t="str">
        <f ca="1">IFERROR(__xludf.DUMMYFUNCTION("""COMPUTED_VALUE"""),"0d 00h 00m")</f>
        <v>0d 00h 00m</v>
      </c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13.2">
      <c r="A2063" s="1">
        <f ca="1">IFERROR(__xludf.DUMMYFUNCTION("""COMPUTED_VALUE"""),229)</f>
        <v>229</v>
      </c>
      <c r="B2063" s="1" t="str">
        <f ca="1">IFERROR(__xludf.DUMMYFUNCTION("""COMPUTED_VALUE"""),"SW3_KA05AD2942_Desilting")</f>
        <v>SW3_KA05AD2942_Desilting</v>
      </c>
      <c r="C2063" s="1" t="str">
        <f ca="1">IFERROR(__xludf.DUMMYFUNCTION("""COMPUTED_VALUE"""),"sw3_ka05ad2942_desilting")</f>
        <v>sw3_ka05ad2942_desilting</v>
      </c>
      <c r="D2063" s="2">
        <f ca="1">IFERROR(__xludf.DUMMYFUNCTION("""COMPUTED_VALUE"""),44707)</f>
        <v>44707</v>
      </c>
      <c r="E2063" s="3">
        <f ca="1">IFERROR(__xludf.DUMMYFUNCTION("""COMPUTED_VALUE"""),0.999305555556929)</f>
        <v>0.99930555555692901</v>
      </c>
      <c r="F2063" s="1">
        <f ca="1">IFERROR(__xludf.DUMMYFUNCTION("""COMPUTED_VALUE"""),21120)</f>
        <v>21120</v>
      </c>
      <c r="G2063" s="1" t="str">
        <f ca="1">IFERROR(__xludf.DUMMYFUNCTION("""COMPUTED_VALUE"""),"12.9431/77.5761")</f>
        <v>12.9431/77.5761</v>
      </c>
      <c r="H2063" s="1" t="str">
        <f ca="1">IFERROR(__xludf.DUMMYFUNCTION("""COMPUTED_VALUE"""),"Venus Residency")</f>
        <v>Venus Residency</v>
      </c>
      <c r="I2063" s="1"/>
      <c r="J2063" s="1" t="str">
        <f ca="1">IFERROR(__xludf.DUMMYFUNCTION("""COMPUTED_VALUE"""),"0d 00h 00m")</f>
        <v>0d 00h 00m</v>
      </c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13.2">
      <c r="A2064" s="1">
        <f ca="1">IFERROR(__xludf.DUMMYFUNCTION("""COMPUTED_VALUE"""),227)</f>
        <v>227</v>
      </c>
      <c r="B2064" s="1" t="str">
        <f ca="1">IFERROR(__xludf.DUMMYFUNCTION("""COMPUTED_VALUE"""),"SW3_KA05AD2942_Desilting")</f>
        <v>SW3_KA05AD2942_Desilting</v>
      </c>
      <c r="C2064" s="1" t="str">
        <f ca="1">IFERROR(__xludf.DUMMYFUNCTION("""COMPUTED_VALUE"""),"sw3_ka05ad2942_desilting")</f>
        <v>sw3_ka05ad2942_desilting</v>
      </c>
      <c r="D2064" s="2">
        <f ca="1">IFERROR(__xludf.DUMMYFUNCTION("""COMPUTED_VALUE"""),44738)</f>
        <v>44738</v>
      </c>
      <c r="E2064" s="3">
        <f ca="1">IFERROR(__xludf.DUMMYFUNCTION("""COMPUTED_VALUE"""),0.999270833333866)</f>
        <v>0.99927083333386602</v>
      </c>
      <c r="F2064" s="1">
        <f ca="1">IFERROR(__xludf.DUMMYFUNCTION("""COMPUTED_VALUE"""),21513)</f>
        <v>21513</v>
      </c>
      <c r="G2064" s="1" t="str">
        <f ca="1">IFERROR(__xludf.DUMMYFUNCTION("""COMPUTED_VALUE"""),"12.9432/77.5762")</f>
        <v>12.9432/77.5762</v>
      </c>
      <c r="H2064" s="1" t="str">
        <f ca="1">IFERROR(__xludf.DUMMYFUNCTION("""COMPUTED_VALUE"""),"Venus Residency")</f>
        <v>Venus Residency</v>
      </c>
      <c r="I2064" s="1"/>
      <c r="J2064" s="1" t="str">
        <f ca="1">IFERROR(__xludf.DUMMYFUNCTION("""COMPUTED_VALUE"""),"0d 00h 00m")</f>
        <v>0d 00h 00m</v>
      </c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13.2">
      <c r="A2065" s="1">
        <f ca="1">IFERROR(__xludf.DUMMYFUNCTION("""COMPUTED_VALUE"""),229)</f>
        <v>229</v>
      </c>
      <c r="B2065" s="1" t="str">
        <f ca="1">IFERROR(__xludf.DUMMYFUNCTION("""COMPUTED_VALUE"""),"SW3_KA05AD2942_Desilting")</f>
        <v>SW3_KA05AD2942_Desilting</v>
      </c>
      <c r="C2065" s="1" t="str">
        <f ca="1">IFERROR(__xludf.DUMMYFUNCTION("""COMPUTED_VALUE"""),"sw3_ka05ad2942_desilting")</f>
        <v>sw3_ka05ad2942_desilting</v>
      </c>
      <c r="D2065" s="2">
        <f ca="1">IFERROR(__xludf.DUMMYFUNCTION("""COMPUTED_VALUE"""),44768)</f>
        <v>44768</v>
      </c>
      <c r="E2065" s="3">
        <f ca="1">IFERROR(__xludf.DUMMYFUNCTION("""COMPUTED_VALUE"""),0.999282407407008)</f>
        <v>0.99928240740700802</v>
      </c>
      <c r="F2065" s="1">
        <f ca="1">IFERROR(__xludf.DUMMYFUNCTION("""COMPUTED_VALUE"""),22023)</f>
        <v>22023</v>
      </c>
      <c r="G2065" s="1" t="str">
        <f ca="1">IFERROR(__xludf.DUMMYFUNCTION("""COMPUTED_VALUE"""),"12.9430/77.5763")</f>
        <v>12.9430/77.5763</v>
      </c>
      <c r="H2065" s="1" t="str">
        <f ca="1">IFERROR(__xludf.DUMMYFUNCTION("""COMPUTED_VALUE"""),"Venus Residency")</f>
        <v>Venus Residency</v>
      </c>
      <c r="I2065" s="1"/>
      <c r="J2065" s="1" t="str">
        <f ca="1">IFERROR(__xludf.DUMMYFUNCTION("""COMPUTED_VALUE"""),"0d 00h 00m")</f>
        <v>0d 00h 00m</v>
      </c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13.2">
      <c r="A2066" s="1">
        <f ca="1">IFERROR(__xludf.DUMMYFUNCTION("""COMPUTED_VALUE"""),232)</f>
        <v>232</v>
      </c>
      <c r="B2066" s="1" t="str">
        <f ca="1">IFERROR(__xludf.DUMMYFUNCTION("""COMPUTED_VALUE"""),"SW3_KA05AD2942_Desilting")</f>
        <v>SW3_KA05AD2942_Desilting</v>
      </c>
      <c r="C2066" s="1" t="str">
        <f ca="1">IFERROR(__xludf.DUMMYFUNCTION("""COMPUTED_VALUE"""),"sw3_ka05ad2942_desilting")</f>
        <v>sw3_ka05ad2942_desilting</v>
      </c>
      <c r="D2066" s="2">
        <f ca="1">IFERROR(__xludf.DUMMYFUNCTION("""COMPUTED_VALUE"""),44799)</f>
        <v>44799</v>
      </c>
      <c r="E2066" s="3">
        <f ca="1">IFERROR(__xludf.DUMMYFUNCTION("""COMPUTED_VALUE"""),0.99929398148015)</f>
        <v>0.99929398148015003</v>
      </c>
      <c r="F2066" s="1">
        <f ca="1">IFERROR(__xludf.DUMMYFUNCTION("""COMPUTED_VALUE"""),22485)</f>
        <v>22485</v>
      </c>
      <c r="G2066" s="1" t="str">
        <f ca="1">IFERROR(__xludf.DUMMYFUNCTION("""COMPUTED_VALUE"""),"12.9431/77.5762")</f>
        <v>12.9431/77.5762</v>
      </c>
      <c r="H2066" s="1" t="str">
        <f ca="1">IFERROR(__xludf.DUMMYFUNCTION("""COMPUTED_VALUE"""),"Venus Residency")</f>
        <v>Venus Residency</v>
      </c>
      <c r="I2066" s="1"/>
      <c r="J2066" s="1" t="str">
        <f ca="1">IFERROR(__xludf.DUMMYFUNCTION("""COMPUTED_VALUE"""),"0d 00h 00m")</f>
        <v>0d 00h 00m</v>
      </c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13.2">
      <c r="A2067" s="1">
        <f ca="1">IFERROR(__xludf.DUMMYFUNCTION("""COMPUTED_VALUE"""),163)</f>
        <v>163</v>
      </c>
      <c r="B2067" s="1" t="str">
        <f ca="1">IFERROR(__xludf.DUMMYFUNCTION("""COMPUTED_VALUE"""),"SW3_KA05AD2942_Desilting")</f>
        <v>SW3_KA05AD2942_Desilting</v>
      </c>
      <c r="C2067" s="1" t="str">
        <f ca="1">IFERROR(__xludf.DUMMYFUNCTION("""COMPUTED_VALUE"""),"sw3_ka05ad2942_desilting")</f>
        <v>sw3_ka05ad2942_desilting</v>
      </c>
      <c r="D2067" s="2">
        <f ca="1">IFERROR(__xludf.DUMMYFUNCTION("""COMPUTED_VALUE"""),44830)</f>
        <v>44830</v>
      </c>
      <c r="E2067" s="3">
        <f ca="1">IFERROR(__xludf.DUMMYFUNCTION("""COMPUTED_VALUE"""),0.998935185183654)</f>
        <v>0.99893518518365398</v>
      </c>
      <c r="F2067" s="1">
        <f ca="1">IFERROR(__xludf.DUMMYFUNCTION("""COMPUTED_VALUE"""),22959)</f>
        <v>22959</v>
      </c>
      <c r="G2067" s="1" t="str">
        <f ca="1">IFERROR(__xludf.DUMMYFUNCTION("""COMPUTED_VALUE"""),"12.9431/77.5762")</f>
        <v>12.9431/77.5762</v>
      </c>
      <c r="H2067" s="1" t="str">
        <f ca="1">IFERROR(__xludf.DUMMYFUNCTION("""COMPUTED_VALUE"""),"Venus Residency")</f>
        <v>Venus Residency</v>
      </c>
      <c r="I2067" s="1"/>
      <c r="J2067" s="1" t="str">
        <f ca="1">IFERROR(__xludf.DUMMYFUNCTION("""COMPUTED_VALUE"""),"0d 00h 00m")</f>
        <v>0d 00h 00m</v>
      </c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13.2">
      <c r="A2068" s="1">
        <f ca="1">IFERROR(__xludf.DUMMYFUNCTION("""COMPUTED_VALUE"""),153)</f>
        <v>153</v>
      </c>
      <c r="B2068" s="1" t="str">
        <f ca="1">IFERROR(__xludf.DUMMYFUNCTION("""COMPUTED_VALUE"""),"SW3_KA05AD2942_Desilting")</f>
        <v>SW3_KA05AD2942_Desilting</v>
      </c>
      <c r="C2068" s="1" t="str">
        <f ca="1">IFERROR(__xludf.DUMMYFUNCTION("""COMPUTED_VALUE"""),"sw3_ka05ad2942_desilting")</f>
        <v>sw3_ka05ad2942_desilting</v>
      </c>
      <c r="D2068" s="2">
        <f ca="1">IFERROR(__xludf.DUMMYFUNCTION("""COMPUTED_VALUE"""),44860)</f>
        <v>44860</v>
      </c>
      <c r="E2068" s="3">
        <f ca="1">IFERROR(__xludf.DUMMYFUNCTION("""COMPUTED_VALUE"""),0.998541666667733)</f>
        <v>0.99854166666773303</v>
      </c>
      <c r="F2068" s="1">
        <f ca="1">IFERROR(__xludf.DUMMYFUNCTION("""COMPUTED_VALUE"""),23776)</f>
        <v>23776</v>
      </c>
      <c r="G2068" s="1" t="str">
        <f ca="1">IFERROR(__xludf.DUMMYFUNCTION("""COMPUTED_VALUE"""),"12.9430/77.5763")</f>
        <v>12.9430/77.5763</v>
      </c>
      <c r="H2068" s="1" t="str">
        <f ca="1">IFERROR(__xludf.DUMMYFUNCTION("""COMPUTED_VALUE"""),"Venus Residency")</f>
        <v>Venus Residency</v>
      </c>
      <c r="I2068" s="1"/>
      <c r="J2068" s="1" t="str">
        <f ca="1">IFERROR(__xludf.DUMMYFUNCTION("""COMPUTED_VALUE"""),"0d 00h 00m")</f>
        <v>0d 00h 00m</v>
      </c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13.2">
      <c r="A2069" s="1">
        <f ca="1">IFERROR(__xludf.DUMMYFUNCTION("""COMPUTED_VALUE"""),151)</f>
        <v>151</v>
      </c>
      <c r="B2069" s="1" t="str">
        <f ca="1">IFERROR(__xludf.DUMMYFUNCTION("""COMPUTED_VALUE"""),"SW3_KA05AD2942_DESILTING")</f>
        <v>SW3_KA05AD2942_DESILTING</v>
      </c>
      <c r="C2069" s="1" t="str">
        <f ca="1">IFERROR(__xludf.DUMMYFUNCTION("""COMPUTED_VALUE"""),"sw3_ka05ad2942_desilting")</f>
        <v>sw3_ka05ad2942_desilting</v>
      </c>
      <c r="D2069" s="2">
        <f ca="1">IFERROR(__xludf.DUMMYFUNCTION("""COMPUTED_VALUE"""),44769)</f>
        <v>44769</v>
      </c>
      <c r="E2069" s="3">
        <f ca="1">IFERROR(__xludf.DUMMYFUNCTION("""COMPUTED_VALUE"""),0.999050925925985)</f>
        <v>0.99905092592598499</v>
      </c>
      <c r="F2069" s="1">
        <f ca="1">IFERROR(__xludf.DUMMYFUNCTION("""COMPUTED_VALUE"""),22037)</f>
        <v>22037</v>
      </c>
      <c r="G2069" s="1" t="str">
        <f ca="1">IFERROR(__xludf.DUMMYFUNCTION("""COMPUTED_VALUE"""),"12.9432/77.5765")</f>
        <v>12.9432/77.5765</v>
      </c>
      <c r="H2069" s="1" t="str">
        <f ca="1">IFERROR(__xludf.DUMMYFUNCTION("""COMPUTED_VALUE"""),"Venus Residency")</f>
        <v>Venus Residency</v>
      </c>
      <c r="I2069" s="1"/>
      <c r="J2069" s="1" t="str">
        <f ca="1">IFERROR(__xludf.DUMMYFUNCTION("""COMPUTED_VALUE"""),"0d 00h 00m")</f>
        <v>0d 00h 00m</v>
      </c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13.2">
      <c r="A2070" s="1">
        <f ca="1">IFERROR(__xludf.DUMMYFUNCTION("""COMPUTED_VALUE"""),144)</f>
        <v>144</v>
      </c>
      <c r="B2070" s="1" t="str">
        <f ca="1">IFERROR(__xludf.DUMMYFUNCTION("""COMPUTED_VALUE"""),"SW3_KA05AD2942_DESILTING")</f>
        <v>SW3_KA05AD2942_DESILTING</v>
      </c>
      <c r="C2070" s="1" t="str">
        <f ca="1">IFERROR(__xludf.DUMMYFUNCTION("""COMPUTED_VALUE"""),"sw3_ka05ad2942_desilting")</f>
        <v>sw3_ka05ad2942_desilting</v>
      </c>
      <c r="D2070" s="2">
        <f ca="1">IFERROR(__xludf.DUMMYFUNCTION("""COMPUTED_VALUE"""),44860)</f>
        <v>44860</v>
      </c>
      <c r="E2070" s="3">
        <f ca="1">IFERROR(__xludf.DUMMYFUNCTION("""COMPUTED_VALUE"""),0.998541666667733)</f>
        <v>0.99854166666773303</v>
      </c>
      <c r="F2070" s="1">
        <f ca="1">IFERROR(__xludf.DUMMYFUNCTION("""COMPUTED_VALUE"""),23776)</f>
        <v>23776</v>
      </c>
      <c r="G2070" s="1" t="str">
        <f ca="1">IFERROR(__xludf.DUMMYFUNCTION("""COMPUTED_VALUE"""),"12.9430/77.5763")</f>
        <v>12.9430/77.5763</v>
      </c>
      <c r="H2070" s="1" t="str">
        <f ca="1">IFERROR(__xludf.DUMMYFUNCTION("""COMPUTED_VALUE"""),"Venus Residency")</f>
        <v>Venus Residency</v>
      </c>
      <c r="I2070" s="1"/>
      <c r="J2070" s="1" t="str">
        <f ca="1">IFERROR(__xludf.DUMMYFUNCTION("""COMPUTED_VALUE"""),"0d 00h 00m")</f>
        <v>0d 00h 00m</v>
      </c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13.2">
      <c r="A2071" s="1">
        <f ca="1">IFERROR(__xludf.DUMMYFUNCTION("""COMPUTED_VALUE"""),148)</f>
        <v>148</v>
      </c>
      <c r="B2071" s="1" t="str">
        <f ca="1">IFERROR(__xludf.DUMMYFUNCTION("""COMPUTED_VALUE"""),"SW3_KA05AD2942_DESILTING")</f>
        <v>SW3_KA05AD2942_DESILTING</v>
      </c>
      <c r="C2071" s="1" t="str">
        <f ca="1">IFERROR(__xludf.DUMMYFUNCTION("""COMPUTED_VALUE"""),"sw3_ka05ad2942_desilting")</f>
        <v>sw3_ka05ad2942_desilting</v>
      </c>
      <c r="D2071" s="2">
        <f ca="1">IFERROR(__xludf.DUMMYFUNCTION("""COMPUTED_VALUE"""),44952)</f>
        <v>44952</v>
      </c>
      <c r="E2071" s="3">
        <f ca="1">IFERROR(__xludf.DUMMYFUNCTION("""COMPUTED_VALUE"""),0.998993055556638)</f>
        <v>0.99899305555663798</v>
      </c>
      <c r="F2071" s="1">
        <f ca="1">IFERROR(__xludf.DUMMYFUNCTION("""COMPUTED_VALUE"""),25283)</f>
        <v>25283</v>
      </c>
      <c r="G2071" s="1" t="str">
        <f ca="1">IFERROR(__xludf.DUMMYFUNCTION("""COMPUTED_VALUE"""),"12.9429/77.5759")</f>
        <v>12.9429/77.5759</v>
      </c>
      <c r="H2071" s="1" t="str">
        <f ca="1">IFERROR(__xludf.DUMMYFUNCTION("""COMPUTED_VALUE"""),"Venus Residency")</f>
        <v>Venus Residency</v>
      </c>
      <c r="I2071" s="1"/>
      <c r="J2071" s="1" t="str">
        <f ca="1">IFERROR(__xludf.DUMMYFUNCTION("""COMPUTED_VALUE"""),"0d 00h 00m")</f>
        <v>0d 00h 00m</v>
      </c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13.2">
      <c r="A2072" s="1">
        <f ca="1">IFERROR(__xludf.DUMMYFUNCTION("""COMPUTED_VALUE"""),160)</f>
        <v>160</v>
      </c>
      <c r="B2072" s="1" t="str">
        <f ca="1">IFERROR(__xludf.DUMMYFUNCTION("""COMPUTED_VALUE"""),"SW3_KA05AD2942_DESILTING")</f>
        <v>SW3_KA05AD2942_DESILTING</v>
      </c>
      <c r="C2072" s="1" t="str">
        <f ca="1">IFERROR(__xludf.DUMMYFUNCTION("""COMPUTED_VALUE"""),"sw3_ka05ad2942_desilting")</f>
        <v>sw3_ka05ad2942_desilting</v>
      </c>
      <c r="D2072" s="2">
        <f ca="1">IFERROR(__xludf.DUMMYFUNCTION("""COMPUTED_VALUE"""),45042)</f>
        <v>45042</v>
      </c>
      <c r="E2072" s="3">
        <f ca="1">IFERROR(__xludf.DUMMYFUNCTION("""COMPUTED_VALUE"""),0.999143518518394)</f>
        <v>0.999143518518394</v>
      </c>
      <c r="F2072" s="1">
        <f ca="1">IFERROR(__xludf.DUMMYFUNCTION("""COMPUTED_VALUE"""),26182)</f>
        <v>26182</v>
      </c>
      <c r="G2072" s="1" t="str">
        <f ca="1">IFERROR(__xludf.DUMMYFUNCTION("""COMPUTED_VALUE"""),"12.9428/77.5756")</f>
        <v>12.9428/77.5756</v>
      </c>
      <c r="H2072" s="1" t="str">
        <f ca="1">IFERROR(__xludf.DUMMYFUNCTION("""COMPUTED_VALUE"""),"Venus Residency")</f>
        <v>Venus Residency</v>
      </c>
      <c r="I2072" s="1"/>
      <c r="J2072" s="1" t="str">
        <f ca="1">IFERROR(__xludf.DUMMYFUNCTION("""COMPUTED_VALUE"""),"0d 00h 00m")</f>
        <v>0d 00h 00m</v>
      </c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13.2">
      <c r="A2073" s="1">
        <f ca="1">IFERROR(__xludf.DUMMYFUNCTION("""COMPUTED_VALUE"""),156)</f>
        <v>156</v>
      </c>
      <c r="B2073" s="1" t="str">
        <f ca="1">IFERROR(__xludf.DUMMYFUNCTION("""COMPUTED_VALUE"""),"SW3_KA05AD2942_DESILTING")</f>
        <v>SW3_KA05AD2942_DESILTING</v>
      </c>
      <c r="C2073" s="1" t="str">
        <f ca="1">IFERROR(__xludf.DUMMYFUNCTION("""COMPUTED_VALUE"""),"sw3_ka05ad2942_desilting")</f>
        <v>sw3_ka05ad2942_desilting</v>
      </c>
      <c r="D2073" s="2">
        <f ca="1">IFERROR(__xludf.DUMMYFUNCTION("""COMPUTED_VALUE"""),45134)</f>
        <v>45134</v>
      </c>
      <c r="E2073" s="3">
        <f ca="1">IFERROR(__xludf.DUMMYFUNCTION("""COMPUTED_VALUE"""),0.999108796295331)</f>
        <v>0.999108796295331</v>
      </c>
      <c r="F2073" s="1">
        <f ca="1">IFERROR(__xludf.DUMMYFUNCTION("""COMPUTED_VALUE"""),27343)</f>
        <v>27343</v>
      </c>
      <c r="G2073" s="1" t="str">
        <f ca="1">IFERROR(__xludf.DUMMYFUNCTION("""COMPUTED_VALUE"""),"12.8986/77.5118")</f>
        <v>12.8986/77.5118</v>
      </c>
      <c r="H2073" s="1" t="str">
        <f ca="1">IFERROR(__xludf.DUMMYFUNCTION("""COMPUTED_VALUE"""),"Rajarajeshwari Nagar")</f>
        <v>Rajarajeshwari Nagar</v>
      </c>
      <c r="I2073" s="1"/>
      <c r="J2073" s="1" t="str">
        <f ca="1">IFERROR(__xludf.DUMMYFUNCTION("""COMPUTED_VALUE"""),"0d 00h 00m")</f>
        <v>0d 00h 00m</v>
      </c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13.2">
      <c r="A2074" s="1">
        <f ca="1">IFERROR(__xludf.DUMMYFUNCTION("""COMPUTED_VALUE"""),141)</f>
        <v>141</v>
      </c>
      <c r="B2074" s="1" t="str">
        <f ca="1">IFERROR(__xludf.DUMMYFUNCTION("""COMPUTED_VALUE"""),"SW3_KA05AD2942_DESILTING")</f>
        <v>SW3_KA05AD2942_DESILTING</v>
      </c>
      <c r="C2074" s="1" t="str">
        <f ca="1">IFERROR(__xludf.DUMMYFUNCTION("""COMPUTED_VALUE"""),"sw3_ka05ad2942_desilting")</f>
        <v>sw3_ka05ad2942_desilting</v>
      </c>
      <c r="D2074" s="2">
        <f ca="1">IFERROR(__xludf.DUMMYFUNCTION("""COMPUTED_VALUE"""),45203)</f>
        <v>45203</v>
      </c>
      <c r="E2074" s="3">
        <f ca="1">IFERROR(__xludf.DUMMYFUNCTION("""COMPUTED_VALUE"""),0.355520833334594)</f>
        <v>0.355520833334594</v>
      </c>
      <c r="F2074" s="1">
        <f ca="1">IFERROR(__xludf.DUMMYFUNCTION("""COMPUTED_VALUE"""),28150)</f>
        <v>28150</v>
      </c>
      <c r="G2074" s="1" t="str">
        <f ca="1">IFERROR(__xludf.DUMMYFUNCTION("""COMPUTED_VALUE"""),"12.9429/77.5759")</f>
        <v>12.9429/77.5759</v>
      </c>
      <c r="H2074" s="1" t="str">
        <f ca="1">IFERROR(__xludf.DUMMYFUNCTION("""COMPUTED_VALUE"""),"Venus Residency")</f>
        <v>Venus Residency</v>
      </c>
      <c r="I2074" s="1"/>
      <c r="J2074" s="1" t="str">
        <f ca="1">IFERROR(__xludf.DUMMYFUNCTION("""COMPUTED_VALUE"""),"0d 00h 00m")</f>
        <v>0d 00h 00m</v>
      </c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13.2">
      <c r="A2075" s="1">
        <f ca="1">IFERROR(__xludf.DUMMYFUNCTION("""COMPUTED_VALUE"""),164)</f>
        <v>164</v>
      </c>
      <c r="B2075" s="1" t="str">
        <f ca="1">IFERROR(__xludf.DUMMYFUNCTION("""COMPUTED_VALUE"""),"SW3_KA05AD2942_DESILTING")</f>
        <v>SW3_KA05AD2942_DESILTING</v>
      </c>
      <c r="C2075" s="1" t="str">
        <f ca="1">IFERROR(__xludf.DUMMYFUNCTION("""COMPUTED_VALUE"""),"sw3_ka05ad2942_desilting")</f>
        <v>sw3_ka05ad2942_desilting</v>
      </c>
      <c r="D2075" s="2">
        <f ca="1">IFERROR(__xludf.DUMMYFUNCTION("""COMPUTED_VALUE"""),45315)</f>
        <v>45315</v>
      </c>
      <c r="E2075" s="3">
        <f ca="1">IFERROR(__xludf.DUMMYFUNCTION("""COMPUTED_VALUE"""),0.786932870370947)</f>
        <v>0.78693287037094695</v>
      </c>
      <c r="F2075" s="1">
        <f ca="1">IFERROR(__xludf.DUMMYFUNCTION("""COMPUTED_VALUE"""),29300)</f>
        <v>29300</v>
      </c>
      <c r="G2075" s="1" t="str">
        <f ca="1">IFERROR(__xludf.DUMMYFUNCTION("""COMPUTED_VALUE"""),"12.9430/77.5762")</f>
        <v>12.9430/77.5762</v>
      </c>
      <c r="H2075" s="1" t="str">
        <f ca="1">IFERROR(__xludf.DUMMYFUNCTION("""COMPUTED_VALUE"""),"Venus Residency")</f>
        <v>Venus Residency</v>
      </c>
      <c r="I2075" s="1"/>
      <c r="J2075" s="1" t="str">
        <f ca="1">IFERROR(__xludf.DUMMYFUNCTION("""COMPUTED_VALUE"""),"0d 00h 00m")</f>
        <v>0d 00h 00m</v>
      </c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13.2">
      <c r="A2076" s="1">
        <f ca="1">IFERROR(__xludf.DUMMYFUNCTION("""COMPUTED_VALUE"""),76)</f>
        <v>76</v>
      </c>
      <c r="B2076" s="1" t="str">
        <f ca="1">IFERROR(__xludf.DUMMYFUNCTION("""COMPUTED_VALUE"""),"SW4_KA04AA9016_Desilting")</f>
        <v>SW4_KA04AA9016_Desilting</v>
      </c>
      <c r="C2076" s="1" t="str">
        <f ca="1">IFERROR(__xludf.DUMMYFUNCTION("""COMPUTED_VALUE"""),"sw4_ka04aa9016_desilting")</f>
        <v>sw4_ka04aa9016_desilting</v>
      </c>
      <c r="D2076" s="2">
        <f ca="1">IFERROR(__xludf.DUMMYFUNCTION("""COMPUTED_VALUE"""),44694)</f>
        <v>44694</v>
      </c>
      <c r="E2076" s="3">
        <f ca="1">IFERROR(__xludf.DUMMYFUNCTION("""COMPUTED_VALUE"""),0.406435185184818)</f>
        <v>0.40643518518481803</v>
      </c>
      <c r="F2076" s="1">
        <f ca="1">IFERROR(__xludf.DUMMYFUNCTION("""COMPUTED_VALUE"""),1413)</f>
        <v>1413</v>
      </c>
      <c r="G2076" s="1" t="str">
        <f ca="1">IFERROR(__xludf.DUMMYFUNCTION("""COMPUTED_VALUE"""),"12.9080/77.5845")</f>
        <v>12.9080/77.5845</v>
      </c>
      <c r="H2076" s="1" t="str">
        <f ca="1">IFERROR(__xludf.DUMMYFUNCTION("""COMPUTED_VALUE"""),"Cross Roads Inn")</f>
        <v>Cross Roads Inn</v>
      </c>
      <c r="I2076" s="1"/>
      <c r="J2076" s="1" t="str">
        <f ca="1">IFERROR(__xludf.DUMMYFUNCTION("""COMPUTED_VALUE"""),"0d 00h 00m")</f>
        <v>0d 00h 00m</v>
      </c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13.2">
      <c r="A2077" s="1">
        <f ca="1">IFERROR(__xludf.DUMMYFUNCTION("""COMPUTED_VALUE"""),172)</f>
        <v>172</v>
      </c>
      <c r="B2077" s="1" t="str">
        <f ca="1">IFERROR(__xludf.DUMMYFUNCTION("""COMPUTED_VALUE"""),"SW4_KA04AA9016_Desilting")</f>
        <v>SW4_KA04AA9016_Desilting</v>
      </c>
      <c r="C2077" s="1" t="str">
        <f ca="1">IFERROR(__xludf.DUMMYFUNCTION("""COMPUTED_VALUE"""),"sw4_ka04aa9016_desilting")</f>
        <v>sw4_ka04aa9016_desilting</v>
      </c>
      <c r="D2077" s="2">
        <f ca="1">IFERROR(__xludf.DUMMYFUNCTION("""COMPUTED_VALUE"""),44738)</f>
        <v>44738</v>
      </c>
      <c r="E2077" s="3">
        <f ca="1">IFERROR(__xludf.DUMMYFUNCTION("""COMPUTED_VALUE"""),0.999039351852843)</f>
        <v>0.99903935185284298</v>
      </c>
      <c r="F2077" s="1">
        <f ca="1">IFERROR(__xludf.DUMMYFUNCTION("""COMPUTED_VALUE"""),1984)</f>
        <v>1984</v>
      </c>
      <c r="G2077" s="1" t="str">
        <f ca="1">IFERROR(__xludf.DUMMYFUNCTION("""COMPUTED_VALUE"""),"12.9081/77.5846")</f>
        <v>12.9081/77.5846</v>
      </c>
      <c r="H2077" s="1" t="str">
        <f ca="1">IFERROR(__xludf.DUMMYFUNCTION("""COMPUTED_VALUE"""),"Cross Roads Inn")</f>
        <v>Cross Roads Inn</v>
      </c>
      <c r="I2077" s="1"/>
      <c r="J2077" s="1" t="str">
        <f ca="1">IFERROR(__xludf.DUMMYFUNCTION("""COMPUTED_VALUE"""),"0d 00h 00m")</f>
        <v>0d 00h 00m</v>
      </c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13.2">
      <c r="A2078" s="1">
        <f ca="1">IFERROR(__xludf.DUMMYFUNCTION("""COMPUTED_VALUE"""),181)</f>
        <v>181</v>
      </c>
      <c r="B2078" s="1" t="str">
        <f ca="1">IFERROR(__xludf.DUMMYFUNCTION("""COMPUTED_VALUE"""),"SW4_KA04AA9016_Desilting")</f>
        <v>SW4_KA04AA9016_Desilting</v>
      </c>
      <c r="C2078" s="1" t="str">
        <f ca="1">IFERROR(__xludf.DUMMYFUNCTION("""COMPUTED_VALUE"""),"sw4_ka04aa9016_desilting")</f>
        <v>sw4_ka04aa9016_desilting</v>
      </c>
      <c r="D2078" s="2">
        <f ca="1">IFERROR(__xludf.DUMMYFUNCTION("""COMPUTED_VALUE"""),44768)</f>
        <v>44768</v>
      </c>
      <c r="E2078" s="3">
        <f ca="1">IFERROR(__xludf.DUMMYFUNCTION("""COMPUTED_VALUE"""),0.999039351852843)</f>
        <v>0.99903935185284298</v>
      </c>
      <c r="F2078" s="1">
        <f ca="1">IFERROR(__xludf.DUMMYFUNCTION("""COMPUTED_VALUE"""),2448)</f>
        <v>2448</v>
      </c>
      <c r="G2078" s="1" t="str">
        <f ca="1">IFERROR(__xludf.DUMMYFUNCTION("""COMPUTED_VALUE"""),"13.0038/77.4670")</f>
        <v>13.0038/77.4670</v>
      </c>
      <c r="H2078" s="1" t="str">
        <f ca="1">IFERROR(__xludf.DUMMYFUNCTION("""COMPUTED_VALUE"""),"Cachohalli")</f>
        <v>Cachohalli</v>
      </c>
      <c r="I2078" s="1"/>
      <c r="J2078" s="1" t="str">
        <f ca="1">IFERROR(__xludf.DUMMYFUNCTION("""COMPUTED_VALUE"""),"0d 00h 00m")</f>
        <v>0d 00h 00m</v>
      </c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13.2">
      <c r="A2079" s="1">
        <f ca="1">IFERROR(__xludf.DUMMYFUNCTION("""COMPUTED_VALUE"""),191)</f>
        <v>191</v>
      </c>
      <c r="B2079" s="1" t="str">
        <f ca="1">IFERROR(__xludf.DUMMYFUNCTION("""COMPUTED_VALUE"""),"SW4_KA04AA9016_Desilting")</f>
        <v>SW4_KA04AA9016_Desilting</v>
      </c>
      <c r="C2079" s="1" t="str">
        <f ca="1">IFERROR(__xludf.DUMMYFUNCTION("""COMPUTED_VALUE"""),"sw4_ka04aa9016_desilting")</f>
        <v>sw4_ka04aa9016_desilting</v>
      </c>
      <c r="D2079" s="2">
        <f ca="1">IFERROR(__xludf.DUMMYFUNCTION("""COMPUTED_VALUE"""),44799)</f>
        <v>44799</v>
      </c>
      <c r="E2079" s="3">
        <f ca="1">IFERROR(__xludf.DUMMYFUNCTION("""COMPUTED_VALUE"""),0.999074074072268)</f>
        <v>0.999074074072268</v>
      </c>
      <c r="F2079" s="1">
        <f ca="1">IFERROR(__xludf.DUMMYFUNCTION("""COMPUTED_VALUE"""),2821)</f>
        <v>2821</v>
      </c>
      <c r="G2079" s="1" t="str">
        <f ca="1">IFERROR(__xludf.DUMMYFUNCTION("""COMPUTED_VALUE"""),"12.9082/77.5843")</f>
        <v>12.9082/77.5843</v>
      </c>
      <c r="H2079" s="1" t="str">
        <f ca="1">IFERROR(__xludf.DUMMYFUNCTION("""COMPUTED_VALUE"""),"Cross Roads Inn")</f>
        <v>Cross Roads Inn</v>
      </c>
      <c r="I2079" s="1"/>
      <c r="J2079" s="1" t="str">
        <f ca="1">IFERROR(__xludf.DUMMYFUNCTION("""COMPUTED_VALUE"""),"0d 00h 00m")</f>
        <v>0d 00h 00m</v>
      </c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13.2">
      <c r="A2080" s="1">
        <f ca="1">IFERROR(__xludf.DUMMYFUNCTION("""COMPUTED_VALUE"""),229)</f>
        <v>229</v>
      </c>
      <c r="B2080" s="1" t="str">
        <f ca="1">IFERROR(__xludf.DUMMYFUNCTION("""COMPUTED_VALUE"""),"SW4_KA04AA9016_Desilting")</f>
        <v>SW4_KA04AA9016_Desilting</v>
      </c>
      <c r="C2080" s="1" t="str">
        <f ca="1">IFERROR(__xludf.DUMMYFUNCTION("""COMPUTED_VALUE"""),"sw4_ka04aa9016_desilting")</f>
        <v>sw4_ka04aa9016_desilting</v>
      </c>
      <c r="D2080" s="2">
        <f ca="1">IFERROR(__xludf.DUMMYFUNCTION("""COMPUTED_VALUE"""),44830)</f>
        <v>44830</v>
      </c>
      <c r="E2080" s="3">
        <f ca="1">IFERROR(__xludf.DUMMYFUNCTION("""COMPUTED_VALUE"""),0.999259259260725)</f>
        <v>0.99925925926072501</v>
      </c>
      <c r="F2080" s="1">
        <f ca="1">IFERROR(__xludf.DUMMYFUNCTION("""COMPUTED_VALUE"""),3450)</f>
        <v>3450</v>
      </c>
      <c r="G2080" s="1" t="str">
        <f ca="1">IFERROR(__xludf.DUMMYFUNCTION("""COMPUTED_VALUE"""),"12.9082/77.5844")</f>
        <v>12.9082/77.5844</v>
      </c>
      <c r="H2080" s="1" t="str">
        <f ca="1">IFERROR(__xludf.DUMMYFUNCTION("""COMPUTED_VALUE"""),"Cross Roads Inn")</f>
        <v>Cross Roads Inn</v>
      </c>
      <c r="I2080" s="1"/>
      <c r="J2080" s="1" t="str">
        <f ca="1">IFERROR(__xludf.DUMMYFUNCTION("""COMPUTED_VALUE"""),"0d 00h 00m")</f>
        <v>0d 00h 00m</v>
      </c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13.2">
      <c r="A2081" s="1">
        <f ca="1">IFERROR(__xludf.DUMMYFUNCTION("""COMPUTED_VALUE"""),170)</f>
        <v>170</v>
      </c>
      <c r="B2081" s="1" t="str">
        <f ca="1">IFERROR(__xludf.DUMMYFUNCTION("""COMPUTED_VALUE"""),"SW4_KA04AA9016_Desilting")</f>
        <v>SW4_KA04AA9016_Desilting</v>
      </c>
      <c r="C2081" s="1" t="str">
        <f ca="1">IFERROR(__xludf.DUMMYFUNCTION("""COMPUTED_VALUE"""),"sw4_ka04aa9016_desilting")</f>
        <v>sw4_ka04aa9016_desilting</v>
      </c>
      <c r="D2081" s="2">
        <f ca="1">IFERROR(__xludf.DUMMYFUNCTION("""COMPUTED_VALUE"""),44860)</f>
        <v>44860</v>
      </c>
      <c r="E2081" s="3">
        <f ca="1">IFERROR(__xludf.DUMMYFUNCTION("""COMPUTED_VALUE"""),0.999027777776063)</f>
        <v>0.999027777776063</v>
      </c>
      <c r="F2081" s="1">
        <f ca="1">IFERROR(__xludf.DUMMYFUNCTION("""COMPUTED_VALUE"""),3898)</f>
        <v>3898</v>
      </c>
      <c r="G2081" s="1" t="str">
        <f ca="1">IFERROR(__xludf.DUMMYFUNCTION("""COMPUTED_VALUE"""),"12.9082/77.5844")</f>
        <v>12.9082/77.5844</v>
      </c>
      <c r="H2081" s="1" t="str">
        <f ca="1">IFERROR(__xludf.DUMMYFUNCTION("""COMPUTED_VALUE"""),"Cross Roads Inn")</f>
        <v>Cross Roads Inn</v>
      </c>
      <c r="I2081" s="1"/>
      <c r="J2081" s="1" t="str">
        <f ca="1">IFERROR(__xludf.DUMMYFUNCTION("""COMPUTED_VALUE"""),"0d 00h 00m")</f>
        <v>0d 00h 00m</v>
      </c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13.2">
      <c r="A2082" s="1">
        <f ca="1">IFERROR(__xludf.DUMMYFUNCTION("""COMPUTED_VALUE"""),230)</f>
        <v>230</v>
      </c>
      <c r="B2082" s="1" t="str">
        <f ca="1">IFERROR(__xludf.DUMMYFUNCTION("""COMPUTED_VALUE"""),"SW4_KA04AA9021_Desilting")</f>
        <v>SW4_KA04AA9021_Desilting</v>
      </c>
      <c r="C2082" s="1" t="str">
        <f ca="1">IFERROR(__xludf.DUMMYFUNCTION("""COMPUTED_VALUE"""),"sw4_ka04aa9021_desilting")</f>
        <v>sw4_ka04aa9021_desilting</v>
      </c>
      <c r="D2082" s="2">
        <f ca="1">IFERROR(__xludf.DUMMYFUNCTION("""COMPUTED_VALUE"""),44707)</f>
        <v>44707</v>
      </c>
      <c r="E2082" s="3">
        <f ca="1">IFERROR(__xludf.DUMMYFUNCTION("""COMPUTED_VALUE"""),0.999317129630071)</f>
        <v>0.99931712963007102</v>
      </c>
      <c r="F2082" s="1">
        <f ca="1">IFERROR(__xludf.DUMMYFUNCTION("""COMPUTED_VALUE"""),6101)</f>
        <v>6101</v>
      </c>
      <c r="G2082" s="1" t="str">
        <f ca="1">IFERROR(__xludf.DUMMYFUNCTION("""COMPUTED_VALUE"""),"12.9355/77.5888")</f>
        <v>12.9355/77.5888</v>
      </c>
      <c r="H2082" s="1" t="str">
        <f ca="1">IFERROR(__xludf.DUMMYFUNCTION("""COMPUTED_VALUE"""),"Jayanagar Swimming Pool")</f>
        <v>Jayanagar Swimming Pool</v>
      </c>
      <c r="I2082" s="1"/>
      <c r="J2082" s="1" t="str">
        <f ca="1">IFERROR(__xludf.DUMMYFUNCTION("""COMPUTED_VALUE"""),"0d 00h 00m")</f>
        <v>0d 00h 00m</v>
      </c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13.2">
      <c r="A2083" s="1">
        <f ca="1">IFERROR(__xludf.DUMMYFUNCTION("""COMPUTED_VALUE"""),198)</f>
        <v>198</v>
      </c>
      <c r="B2083" s="1" t="str">
        <f ca="1">IFERROR(__xludf.DUMMYFUNCTION("""COMPUTED_VALUE"""),"SW4_KA04AA9021_Desilting")</f>
        <v>SW4_KA04AA9021_Desilting</v>
      </c>
      <c r="C2083" s="1" t="str">
        <f ca="1">IFERROR(__xludf.DUMMYFUNCTION("""COMPUTED_VALUE"""),"sw4_ka04aa9021_desilting")</f>
        <v>sw4_ka04aa9021_desilting</v>
      </c>
      <c r="D2083" s="2">
        <f ca="1">IFERROR(__xludf.DUMMYFUNCTION("""COMPUTED_VALUE"""),44738)</f>
        <v>44738</v>
      </c>
      <c r="E2083" s="3">
        <f ca="1">IFERROR(__xludf.DUMMYFUNCTION("""COMPUTED_VALUE"""),0.999155092591536)</f>
        <v>0.99915509259153601</v>
      </c>
      <c r="F2083" s="1">
        <f ca="1">IFERROR(__xludf.DUMMYFUNCTION("""COMPUTED_VALUE"""),6613)</f>
        <v>6613</v>
      </c>
      <c r="G2083" s="1" t="str">
        <f ca="1">IFERROR(__xludf.DUMMYFUNCTION("""COMPUTED_VALUE"""),"12.9356/77.5889")</f>
        <v>12.9356/77.5889</v>
      </c>
      <c r="H2083" s="1" t="str">
        <f ca="1">IFERROR(__xludf.DUMMYFUNCTION("""COMPUTED_VALUE"""),"Jayanagar Swimming Pool")</f>
        <v>Jayanagar Swimming Pool</v>
      </c>
      <c r="I2083" s="1"/>
      <c r="J2083" s="1" t="str">
        <f ca="1">IFERROR(__xludf.DUMMYFUNCTION("""COMPUTED_VALUE"""),"0d 00h 00m")</f>
        <v>0d 00h 00m</v>
      </c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13.2">
      <c r="A2084" s="1">
        <f ca="1">IFERROR(__xludf.DUMMYFUNCTION("""COMPUTED_VALUE"""),220)</f>
        <v>220</v>
      </c>
      <c r="B2084" s="1" t="str">
        <f ca="1">IFERROR(__xludf.DUMMYFUNCTION("""COMPUTED_VALUE"""),"SW4_KA04AA9021_Desilting")</f>
        <v>SW4_KA04AA9021_Desilting</v>
      </c>
      <c r="C2084" s="1" t="str">
        <f ca="1">IFERROR(__xludf.DUMMYFUNCTION("""COMPUTED_VALUE"""),"sw4_ka04aa9021_desilting")</f>
        <v>sw4_ka04aa9021_desilting</v>
      </c>
      <c r="D2084" s="2">
        <f ca="1">IFERROR(__xludf.DUMMYFUNCTION("""COMPUTED_VALUE"""),44768)</f>
        <v>44768</v>
      </c>
      <c r="E2084" s="3">
        <f ca="1">IFERROR(__xludf.DUMMYFUNCTION("""COMPUTED_VALUE"""),0.999247685183945)</f>
        <v>0.99924768518394502</v>
      </c>
      <c r="F2084" s="1">
        <f ca="1">IFERROR(__xludf.DUMMYFUNCTION("""COMPUTED_VALUE"""),7142)</f>
        <v>7142</v>
      </c>
      <c r="G2084" s="1" t="str">
        <f ca="1">IFERROR(__xludf.DUMMYFUNCTION("""COMPUTED_VALUE"""),"12.9355/77.5888")</f>
        <v>12.9355/77.5888</v>
      </c>
      <c r="H2084" s="1" t="str">
        <f ca="1">IFERROR(__xludf.DUMMYFUNCTION("""COMPUTED_VALUE"""),"Jayanagar Swimming Pool")</f>
        <v>Jayanagar Swimming Pool</v>
      </c>
      <c r="I2084" s="1"/>
      <c r="J2084" s="1" t="str">
        <f ca="1">IFERROR(__xludf.DUMMYFUNCTION("""COMPUTED_VALUE"""),"0d 00h 00m")</f>
        <v>0d 00h 00m</v>
      </c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13.2">
      <c r="A2085" s="1">
        <f ca="1">IFERROR(__xludf.DUMMYFUNCTION("""COMPUTED_VALUE"""),219)</f>
        <v>219</v>
      </c>
      <c r="B2085" s="1" t="str">
        <f ca="1">IFERROR(__xludf.DUMMYFUNCTION("""COMPUTED_VALUE"""),"SW4_KA04AA9021_Desilting")</f>
        <v>SW4_KA04AA9021_Desilting</v>
      </c>
      <c r="C2085" s="1" t="str">
        <f ca="1">IFERROR(__xludf.DUMMYFUNCTION("""COMPUTED_VALUE"""),"sw4_ka04aa9021_desilting")</f>
        <v>sw4_ka04aa9021_desilting</v>
      </c>
      <c r="D2085" s="2">
        <f ca="1">IFERROR(__xludf.DUMMYFUNCTION("""COMPUTED_VALUE"""),44799)</f>
        <v>44799</v>
      </c>
      <c r="E2085" s="3">
        <f ca="1">IFERROR(__xludf.DUMMYFUNCTION("""COMPUTED_VALUE"""),0.99920138888774)</f>
        <v>0.99920138888774002</v>
      </c>
      <c r="F2085" s="1">
        <f ca="1">IFERROR(__xludf.DUMMYFUNCTION("""COMPUTED_VALUE"""),7415)</f>
        <v>7415</v>
      </c>
      <c r="G2085" s="1" t="str">
        <f ca="1">IFERROR(__xludf.DUMMYFUNCTION("""COMPUTED_VALUE"""),"12.9084/77.5845")</f>
        <v>12.9084/77.5845</v>
      </c>
      <c r="H2085" s="1" t="str">
        <f ca="1">IFERROR(__xludf.DUMMYFUNCTION("""COMPUTED_VALUE"""),"Cross Roads Inn")</f>
        <v>Cross Roads Inn</v>
      </c>
      <c r="I2085" s="1"/>
      <c r="J2085" s="1" t="str">
        <f ca="1">IFERROR(__xludf.DUMMYFUNCTION("""COMPUTED_VALUE"""),"0d 00h 00m")</f>
        <v>0d 00h 00m</v>
      </c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13.2">
      <c r="A2086" s="1">
        <f ca="1">IFERROR(__xludf.DUMMYFUNCTION("""COMPUTED_VALUE"""),134)</f>
        <v>134</v>
      </c>
      <c r="B2086" s="1" t="str">
        <f ca="1">IFERROR(__xludf.DUMMYFUNCTION("""COMPUTED_VALUE"""),"SW4_KA04AA9021_Desilting")</f>
        <v>SW4_KA04AA9021_Desilting</v>
      </c>
      <c r="C2086" s="1" t="str">
        <f ca="1">IFERROR(__xludf.DUMMYFUNCTION("""COMPUTED_VALUE"""),"sw4_ka04aa9021_desilting")</f>
        <v>sw4_ka04aa9021_desilting</v>
      </c>
      <c r="D2086" s="2">
        <f ca="1">IFERROR(__xludf.DUMMYFUNCTION("""COMPUTED_VALUE"""),44828)</f>
        <v>44828</v>
      </c>
      <c r="E2086" s="3">
        <f ca="1">IFERROR(__xludf.DUMMYFUNCTION("""COMPUTED_VALUE"""),0.60546296296161)</f>
        <v>0.60546296296160995</v>
      </c>
      <c r="F2086" s="1">
        <f ca="1">IFERROR(__xludf.DUMMYFUNCTION("""COMPUTED_VALUE"""),7417)</f>
        <v>7417</v>
      </c>
      <c r="G2086" s="1" t="str">
        <f ca="1">IFERROR(__xludf.DUMMYFUNCTION("""COMPUTED_VALUE"""),"12.9083/77.5844")</f>
        <v>12.9083/77.5844</v>
      </c>
      <c r="H2086" s="1" t="str">
        <f ca="1">IFERROR(__xludf.DUMMYFUNCTION("""COMPUTED_VALUE"""),"Cross Roads Inn")</f>
        <v>Cross Roads Inn</v>
      </c>
      <c r="I2086" s="1"/>
      <c r="J2086" s="1" t="str">
        <f ca="1">IFERROR(__xludf.DUMMYFUNCTION("""COMPUTED_VALUE"""),"0d 00h 00m")</f>
        <v>0d 00h 00m</v>
      </c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13.2">
      <c r="A2087" s="1">
        <f ca="1">IFERROR(__xludf.DUMMYFUNCTION("""COMPUTED_VALUE"""),99)</f>
        <v>99</v>
      </c>
      <c r="B2087" s="1" t="str">
        <f ca="1">IFERROR(__xludf.DUMMYFUNCTION("""COMPUTED_VALUE"""),"SW4_KA04AA9021_Desilting")</f>
        <v>SW4_KA04AA9021_Desilting</v>
      </c>
      <c r="C2087" s="1" t="str">
        <f ca="1">IFERROR(__xludf.DUMMYFUNCTION("""COMPUTED_VALUE"""),"sw4_ka04aa9021_desilting")</f>
        <v>sw4_ka04aa9021_desilting</v>
      </c>
      <c r="D2087" s="2">
        <f ca="1">IFERROR(__xludf.DUMMYFUNCTION("""COMPUTED_VALUE"""),44856)</f>
        <v>44856</v>
      </c>
      <c r="E2087" s="3">
        <f ca="1">IFERROR(__xludf.DUMMYFUNCTION("""COMPUTED_VALUE"""),0.567395833331829)</f>
        <v>0.56739583333182897</v>
      </c>
      <c r="F2087" s="1">
        <f ca="1">IFERROR(__xludf.DUMMYFUNCTION("""COMPUTED_VALUE"""),7457)</f>
        <v>7457</v>
      </c>
      <c r="G2087" s="1"/>
      <c r="H2087" s="1"/>
      <c r="I2087" s="1"/>
      <c r="J2087" s="1" t="str">
        <f ca="1">IFERROR(__xludf.DUMMYFUNCTION("""COMPUTED_VALUE"""),"0d 00h 00m")</f>
        <v>0d 00h 00m</v>
      </c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13.2">
      <c r="A2088" s="1">
        <f ca="1">IFERROR(__xludf.DUMMYFUNCTION("""COMPUTED_VALUE"""),93)</f>
        <v>93</v>
      </c>
      <c r="B2088" s="1" t="str">
        <f ca="1">IFERROR(__xludf.DUMMYFUNCTION("""COMPUTED_VALUE"""),"SW4_KA04C2198_Jetting")</f>
        <v>SW4_KA04C2198_Jetting</v>
      </c>
      <c r="C2088" s="1" t="str">
        <f ca="1">IFERROR(__xludf.DUMMYFUNCTION("""COMPUTED_VALUE"""),"sw4_ka04c2198_jetting")</f>
        <v>sw4_ka04c2198_jetting</v>
      </c>
      <c r="D2088" s="2">
        <f ca="1">IFERROR(__xludf.DUMMYFUNCTION("""COMPUTED_VALUE"""),44702)</f>
        <v>44702</v>
      </c>
      <c r="E2088" s="3">
        <f ca="1">IFERROR(__xludf.DUMMYFUNCTION("""COMPUTED_VALUE"""),0.381076388890505)</f>
        <v>0.38107638889050499</v>
      </c>
      <c r="F2088" s="1">
        <f ca="1">IFERROR(__xludf.DUMMYFUNCTION("""COMPUTED_VALUE"""),25516)</f>
        <v>25516</v>
      </c>
      <c r="G2088" s="1" t="str">
        <f ca="1">IFERROR(__xludf.DUMMYFUNCTION("""COMPUTED_VALUE"""),"12.9358/77.5852")</f>
        <v>12.9358/77.5852</v>
      </c>
      <c r="H2088" s="1" t="str">
        <f ca="1">IFERROR(__xludf.DUMMYFUNCTION("""COMPUTED_VALUE"""),"Madhavan Park Jayanagar")</f>
        <v>Madhavan Park Jayanagar</v>
      </c>
      <c r="I2088" s="1"/>
      <c r="J2088" s="1" t="str">
        <f ca="1">IFERROR(__xludf.DUMMYFUNCTION("""COMPUTED_VALUE"""),"0d 00h 00m")</f>
        <v>0d 00h 00m</v>
      </c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13.2">
      <c r="A2089" s="1">
        <f ca="1">IFERROR(__xludf.DUMMYFUNCTION("""COMPUTED_VALUE"""),62)</f>
        <v>62</v>
      </c>
      <c r="B2089" s="1" t="str">
        <f ca="1">IFERROR(__xludf.DUMMYFUNCTION("""COMPUTED_VALUE"""),"SW4_KA04C2198_Jetting")</f>
        <v>SW4_KA04C2198_Jetting</v>
      </c>
      <c r="C2089" s="1" t="str">
        <f ca="1">IFERROR(__xludf.DUMMYFUNCTION("""COMPUTED_VALUE"""),"sw4_ka04c2198_jetting")</f>
        <v>sw4_ka04c2198_jetting</v>
      </c>
      <c r="D2089" s="2">
        <f ca="1">IFERROR(__xludf.DUMMYFUNCTION("""COMPUTED_VALUE"""),44709)</f>
        <v>44709</v>
      </c>
      <c r="E2089" s="3">
        <f ca="1">IFERROR(__xludf.DUMMYFUNCTION("""COMPUTED_VALUE"""),0.555266203704377)</f>
        <v>0.55526620370437696</v>
      </c>
      <c r="F2089" s="1">
        <f ca="1">IFERROR(__xludf.DUMMYFUNCTION("""COMPUTED_VALUE"""),25519)</f>
        <v>25519</v>
      </c>
      <c r="G2089" s="1" t="str">
        <f ca="1">IFERROR(__xludf.DUMMYFUNCTION("""COMPUTED_VALUE"""),"12.9224/77.5896")</f>
        <v>12.9224/77.5896</v>
      </c>
      <c r="H2089" s="1" t="str">
        <f ca="1">IFERROR(__xludf.DUMMYFUNCTION("""COMPUTED_VALUE"""),"Jayanagar 9th Block")</f>
        <v>Jayanagar 9th Block</v>
      </c>
      <c r="I2089" s="1"/>
      <c r="J2089" s="1" t="str">
        <f ca="1">IFERROR(__xludf.DUMMYFUNCTION("""COMPUTED_VALUE"""),"0d 00h 00m")</f>
        <v>0d 00h 00m</v>
      </c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13.2">
      <c r="A2090" s="1">
        <f ca="1">IFERROR(__xludf.DUMMYFUNCTION("""COMPUTED_VALUE"""),75)</f>
        <v>75</v>
      </c>
      <c r="B2090" s="1" t="str">
        <f ca="1">IFERROR(__xludf.DUMMYFUNCTION("""COMPUTED_VALUE"""),"SW4_KA04C2198_Jetting")</f>
        <v>SW4_KA04C2198_Jetting</v>
      </c>
      <c r="C2090" s="1" t="str">
        <f ca="1">IFERROR(__xludf.DUMMYFUNCTION("""COMPUTED_VALUE"""),"sw4_ka04c2198_jetting")</f>
        <v>sw4_ka04c2198_jetting</v>
      </c>
      <c r="D2090" s="2">
        <f ca="1">IFERROR(__xludf.DUMMYFUNCTION("""COMPUTED_VALUE"""),44741)</f>
        <v>44741</v>
      </c>
      <c r="E2090" s="3">
        <f ca="1">IFERROR(__xludf.DUMMYFUNCTION("""COMPUTED_VALUE"""),0.377129629629052)</f>
        <v>0.377129629629052</v>
      </c>
      <c r="F2090" s="1">
        <f ca="1">IFERROR(__xludf.DUMMYFUNCTION("""COMPUTED_VALUE"""),25519)</f>
        <v>25519</v>
      </c>
      <c r="G2090" s="1" t="str">
        <f ca="1">IFERROR(__xludf.DUMMYFUNCTION("""COMPUTED_VALUE"""),"12.9235/77.5916")</f>
        <v>12.9235/77.5916</v>
      </c>
      <c r="H2090" s="1" t="str">
        <f ca="1">IFERROR(__xludf.DUMMYFUNCTION("""COMPUTED_VALUE"""),"Jayanagar 9th Block")</f>
        <v>Jayanagar 9th Block</v>
      </c>
      <c r="I2090" s="1"/>
      <c r="J2090" s="1" t="str">
        <f ca="1">IFERROR(__xludf.DUMMYFUNCTION("""COMPUTED_VALUE"""),"0d 00h 00m")</f>
        <v>0d 00h 00m</v>
      </c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13.2">
      <c r="A2091" s="1">
        <f ca="1">IFERROR(__xludf.DUMMYFUNCTION("""COMPUTED_VALUE"""),66)</f>
        <v>66</v>
      </c>
      <c r="B2091" s="1" t="str">
        <f ca="1">IFERROR(__xludf.DUMMYFUNCTION("""COMPUTED_VALUE"""),"SW4_KA04C2198_Jetting")</f>
        <v>SW4_KA04C2198_Jetting</v>
      </c>
      <c r="C2091" s="1" t="str">
        <f ca="1">IFERROR(__xludf.DUMMYFUNCTION("""COMPUTED_VALUE"""),"sw4_ka04c2198_jetting")</f>
        <v>sw4_ka04c2198_jetting</v>
      </c>
      <c r="D2091" s="2">
        <f ca="1">IFERROR(__xludf.DUMMYFUNCTION("""COMPUTED_VALUE"""),44741)</f>
        <v>44741</v>
      </c>
      <c r="E2091" s="3">
        <f ca="1">IFERROR(__xludf.DUMMYFUNCTION("""COMPUTED_VALUE"""),0.377129629629052)</f>
        <v>0.377129629629052</v>
      </c>
      <c r="F2091" s="1">
        <f ca="1">IFERROR(__xludf.DUMMYFUNCTION("""COMPUTED_VALUE"""),25519)</f>
        <v>25519</v>
      </c>
      <c r="G2091" s="1" t="str">
        <f ca="1">IFERROR(__xludf.DUMMYFUNCTION("""COMPUTED_VALUE"""),"12.9235/77.5916")</f>
        <v>12.9235/77.5916</v>
      </c>
      <c r="H2091" s="1" t="str">
        <f ca="1">IFERROR(__xludf.DUMMYFUNCTION("""COMPUTED_VALUE"""),"Jayanagar 9th Block")</f>
        <v>Jayanagar 9th Block</v>
      </c>
      <c r="I2091" s="1"/>
      <c r="J2091" s="1" t="str">
        <f ca="1">IFERROR(__xludf.DUMMYFUNCTION("""COMPUTED_VALUE"""),"0d 00h 00m")</f>
        <v>0d 00h 00m</v>
      </c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13.2">
      <c r="A2092" s="1">
        <f ca="1">IFERROR(__xludf.DUMMYFUNCTION("""COMPUTED_VALUE"""),52)</f>
        <v>52</v>
      </c>
      <c r="B2092" s="1" t="str">
        <f ca="1">IFERROR(__xludf.DUMMYFUNCTION("""COMPUTED_VALUE"""),"SW4_KA04C2198_Jetting")</f>
        <v>SW4_KA04C2198_Jetting</v>
      </c>
      <c r="C2092" s="1" t="str">
        <f ca="1">IFERROR(__xludf.DUMMYFUNCTION("""COMPUTED_VALUE"""),"sw4_ka04c2198_jetting")</f>
        <v>sw4_ka04c2198_jetting</v>
      </c>
      <c r="D2092" s="2">
        <f ca="1">IFERROR(__xludf.DUMMYFUNCTION("""COMPUTED_VALUE"""),44741)</f>
        <v>44741</v>
      </c>
      <c r="E2092" s="3">
        <f ca="1">IFERROR(__xludf.DUMMYFUNCTION("""COMPUTED_VALUE"""),0.377129629629052)</f>
        <v>0.377129629629052</v>
      </c>
      <c r="F2092" s="1">
        <f ca="1">IFERROR(__xludf.DUMMYFUNCTION("""COMPUTED_VALUE"""),25519)</f>
        <v>25519</v>
      </c>
      <c r="G2092" s="1" t="str">
        <f ca="1">IFERROR(__xludf.DUMMYFUNCTION("""COMPUTED_VALUE"""),"12.9235/77.5916")</f>
        <v>12.9235/77.5916</v>
      </c>
      <c r="H2092" s="1" t="str">
        <f ca="1">IFERROR(__xludf.DUMMYFUNCTION("""COMPUTED_VALUE"""),"Jayanagar 9th Block")</f>
        <v>Jayanagar 9th Block</v>
      </c>
      <c r="I2092" s="1"/>
      <c r="J2092" s="1" t="str">
        <f ca="1">IFERROR(__xludf.DUMMYFUNCTION("""COMPUTED_VALUE"""),"0d 00h 00m")</f>
        <v>0d 00h 00m</v>
      </c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13.2">
      <c r="A2093" s="1">
        <f ca="1">IFERROR(__xludf.DUMMYFUNCTION("""COMPUTED_VALUE"""),74)</f>
        <v>74</v>
      </c>
      <c r="B2093" s="1" t="str">
        <f ca="1">IFERROR(__xludf.DUMMYFUNCTION("""COMPUTED_VALUE"""),"SW4_KA04C2198_Jetting")</f>
        <v>SW4_KA04C2198_Jetting</v>
      </c>
      <c r="C2093" s="1" t="str">
        <f ca="1">IFERROR(__xludf.DUMMYFUNCTION("""COMPUTED_VALUE"""),"sw4_ka04c2198_jetting")</f>
        <v>sw4_ka04c2198_jetting</v>
      </c>
      <c r="D2093" s="2">
        <f ca="1">IFERROR(__xludf.DUMMYFUNCTION("""COMPUTED_VALUE"""),44834)</f>
        <v>44834</v>
      </c>
      <c r="E2093" s="3">
        <f ca="1">IFERROR(__xludf.DUMMYFUNCTION("""COMPUTED_VALUE"""),0.493912037036352)</f>
        <v>0.493912037036352</v>
      </c>
      <c r="F2093" s="1">
        <f ca="1">IFERROR(__xludf.DUMMYFUNCTION("""COMPUTED_VALUE"""),25524)</f>
        <v>25524</v>
      </c>
      <c r="G2093" s="1" t="str">
        <f ca="1">IFERROR(__xludf.DUMMYFUNCTION("""COMPUTED_VALUE"""),"12.9181/77.5892")</f>
        <v>12.9181/77.5892</v>
      </c>
      <c r="H2093" s="1" t="str">
        <f ca="1">IFERROR(__xludf.DUMMYFUNCTION("""COMPUTED_VALUE"""),"Pai Comforts")</f>
        <v>Pai Comforts</v>
      </c>
      <c r="I2093" s="1"/>
      <c r="J2093" s="1" t="str">
        <f ca="1">IFERROR(__xludf.DUMMYFUNCTION("""COMPUTED_VALUE"""),"0d 00h 00m")</f>
        <v>0d 00h 00m</v>
      </c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13.2">
      <c r="A2094" s="1">
        <f ca="1">IFERROR(__xludf.DUMMYFUNCTION("""COMPUTED_VALUE"""),81)</f>
        <v>81</v>
      </c>
      <c r="B2094" s="1" t="str">
        <f ca="1">IFERROR(__xludf.DUMMYFUNCTION("""COMPUTED_VALUE"""),"SW4_KA04C2203_Jetting")</f>
        <v>SW4_KA04C2203_Jetting</v>
      </c>
      <c r="C2094" s="1" t="str">
        <f ca="1">IFERROR(__xludf.DUMMYFUNCTION("""COMPUTED_VALUE"""),"sw4_ka04c2203_jetting")</f>
        <v>sw4_ka04c2203_jetting</v>
      </c>
      <c r="D2094" s="2">
        <f ca="1">IFERROR(__xludf.DUMMYFUNCTION("""COMPUTED_VALUE"""),44696)</f>
        <v>44696</v>
      </c>
      <c r="E2094" s="3">
        <f ca="1">IFERROR(__xludf.DUMMYFUNCTION("""COMPUTED_VALUE"""),0.98498842592744)</f>
        <v>0.98498842592743996</v>
      </c>
      <c r="F2094" s="1">
        <f ca="1">IFERROR(__xludf.DUMMYFUNCTION("""COMPUTED_VALUE"""),30919)</f>
        <v>30919</v>
      </c>
      <c r="G2094" s="1" t="str">
        <f ca="1">IFERROR(__xludf.DUMMYFUNCTION("""COMPUTED_VALUE"""),"12.9143/77.5954")</f>
        <v>12.9143/77.5954</v>
      </c>
      <c r="H2094" s="1" t="str">
        <f ca="1">IFERROR(__xludf.DUMMYFUNCTION("""COMPUTED_VALUE"""),"Ragigudda Temple")</f>
        <v>Ragigudda Temple</v>
      </c>
      <c r="I2094" s="1"/>
      <c r="J2094" s="1" t="str">
        <f ca="1">IFERROR(__xludf.DUMMYFUNCTION("""COMPUTED_VALUE"""),"0d 00h 00m")</f>
        <v>0d 00h 00m</v>
      </c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13.2">
      <c r="A2095" s="1">
        <f ca="1">IFERROR(__xludf.DUMMYFUNCTION("""COMPUTED_VALUE"""),73)</f>
        <v>73</v>
      </c>
      <c r="B2095" s="1" t="str">
        <f ca="1">IFERROR(__xludf.DUMMYFUNCTION("""COMPUTED_VALUE"""),"SW4_KA04C2203_Jetting")</f>
        <v>SW4_KA04C2203_Jetting</v>
      </c>
      <c r="C2095" s="1" t="str">
        <f ca="1">IFERROR(__xludf.DUMMYFUNCTION("""COMPUTED_VALUE"""),"sw4_ka04c2203_jetting")</f>
        <v>sw4_ka04c2203_jetting</v>
      </c>
      <c r="D2095" s="2">
        <f ca="1">IFERROR(__xludf.DUMMYFUNCTION("""COMPUTED_VALUE"""),44719)</f>
        <v>44719</v>
      </c>
      <c r="E2095" s="3">
        <f ca="1">IFERROR(__xludf.DUMMYFUNCTION("""COMPUTED_VALUE"""),0.626331018516793)</f>
        <v>0.62633101851679296</v>
      </c>
      <c r="F2095" s="1">
        <f ca="1">IFERROR(__xludf.DUMMYFUNCTION("""COMPUTED_VALUE"""),30920)</f>
        <v>30920</v>
      </c>
      <c r="G2095" s="1" t="str">
        <f ca="1">IFERROR(__xludf.DUMMYFUNCTION("""COMPUTED_VALUE"""),"12.9126/77.5989")</f>
        <v>12.9126/77.5989</v>
      </c>
      <c r="H2095" s="1" t="str">
        <f ca="1">IFERROR(__xludf.DUMMYFUNCTION("""COMPUTED_VALUE"""),"Mico Layout (Near Shilpa Kala Mantapa)")</f>
        <v>Mico Layout (Near Shilpa Kala Mantapa)</v>
      </c>
      <c r="I2095" s="1"/>
      <c r="J2095" s="1" t="str">
        <f ca="1">IFERROR(__xludf.DUMMYFUNCTION("""COMPUTED_VALUE"""),"0d 00h 00m")</f>
        <v>0d 00h 00m</v>
      </c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13.2">
      <c r="A2096" s="1">
        <f ca="1">IFERROR(__xludf.DUMMYFUNCTION("""COMPUTED_VALUE"""),58)</f>
        <v>58</v>
      </c>
      <c r="B2096" s="1" t="str">
        <f ca="1">IFERROR(__xludf.DUMMYFUNCTION("""COMPUTED_VALUE"""),"SW4_KA04C2203_Jetting")</f>
        <v>SW4_KA04C2203_Jetting</v>
      </c>
      <c r="C2096" s="1" t="str">
        <f ca="1">IFERROR(__xludf.DUMMYFUNCTION("""COMPUTED_VALUE"""),"sw4_ka04c2203_jetting")</f>
        <v>sw4_ka04c2203_jetting</v>
      </c>
      <c r="D2096" s="2">
        <f ca="1">IFERROR(__xludf.DUMMYFUNCTION("""COMPUTED_VALUE"""),44719)</f>
        <v>44719</v>
      </c>
      <c r="E2096" s="3">
        <f ca="1">IFERROR(__xludf.DUMMYFUNCTION("""COMPUTED_VALUE"""),0.626331018516793)</f>
        <v>0.62633101851679296</v>
      </c>
      <c r="F2096" s="1">
        <f ca="1">IFERROR(__xludf.DUMMYFUNCTION("""COMPUTED_VALUE"""),30920)</f>
        <v>30920</v>
      </c>
      <c r="G2096" s="1" t="str">
        <f ca="1">IFERROR(__xludf.DUMMYFUNCTION("""COMPUTED_VALUE"""),"12.9126/77.5989")</f>
        <v>12.9126/77.5989</v>
      </c>
      <c r="H2096" s="1" t="str">
        <f ca="1">IFERROR(__xludf.DUMMYFUNCTION("""COMPUTED_VALUE"""),"Mico Layout (Near Shilpa Kala Mantapa)")</f>
        <v>Mico Layout (Near Shilpa Kala Mantapa)</v>
      </c>
      <c r="I2096" s="1"/>
      <c r="J2096" s="1" t="str">
        <f ca="1">IFERROR(__xludf.DUMMYFUNCTION("""COMPUTED_VALUE"""),"0d 00h 00m")</f>
        <v>0d 00h 00m</v>
      </c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13.2">
      <c r="A2097" s="1">
        <f ca="1">IFERROR(__xludf.DUMMYFUNCTION("""COMPUTED_VALUE"""),125)</f>
        <v>125</v>
      </c>
      <c r="B2097" s="1" t="str">
        <f ca="1">IFERROR(__xludf.DUMMYFUNCTION("""COMPUTED_VALUE"""),"SW4_KA04C2203_Jetting")</f>
        <v>SW4_KA04C2203_Jetting</v>
      </c>
      <c r="C2097" s="1" t="str">
        <f ca="1">IFERROR(__xludf.DUMMYFUNCTION("""COMPUTED_VALUE"""),"sw4_ka04c2203_jetting")</f>
        <v>sw4_ka04c2203_jetting</v>
      </c>
      <c r="D2097" s="2">
        <f ca="1">IFERROR(__xludf.DUMMYFUNCTION("""COMPUTED_VALUE"""),44794)</f>
        <v>44794</v>
      </c>
      <c r="E2097" s="3">
        <f ca="1">IFERROR(__xludf.DUMMYFUNCTION("""COMPUTED_VALUE"""),0.654120370370947)</f>
        <v>0.65412037037094695</v>
      </c>
      <c r="F2097" s="1">
        <f ca="1">IFERROR(__xludf.DUMMYFUNCTION("""COMPUTED_VALUE"""),30922)</f>
        <v>30922</v>
      </c>
      <c r="G2097" s="1" t="str">
        <f ca="1">IFERROR(__xludf.DUMMYFUNCTION("""COMPUTED_VALUE"""),"12.9144/77.5951")</f>
        <v>12.9144/77.5951</v>
      </c>
      <c r="H2097" s="1" t="str">
        <f ca="1">IFERROR(__xludf.DUMMYFUNCTION("""COMPUTED_VALUE"""),"Ragigudda Temple")</f>
        <v>Ragigudda Temple</v>
      </c>
      <c r="I2097" s="1"/>
      <c r="J2097" s="1" t="str">
        <f ca="1">IFERROR(__xludf.DUMMYFUNCTION("""COMPUTED_VALUE"""),"0d 00h 00m")</f>
        <v>0d 00h 00m</v>
      </c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13.2">
      <c r="A2098" s="1">
        <f ca="1">IFERROR(__xludf.DUMMYFUNCTION("""COMPUTED_VALUE"""),109)</f>
        <v>109</v>
      </c>
      <c r="B2098" s="1" t="str">
        <f ca="1">IFERROR(__xludf.DUMMYFUNCTION("""COMPUTED_VALUE"""),"SW4_KA04C2203_Jetting")</f>
        <v>SW4_KA04C2203_Jetting</v>
      </c>
      <c r="C2098" s="1" t="str">
        <f ca="1">IFERROR(__xludf.DUMMYFUNCTION("""COMPUTED_VALUE"""),"sw4_ka04c2203_jetting")</f>
        <v>sw4_ka04c2203_jetting</v>
      </c>
      <c r="D2098" s="2">
        <f ca="1">IFERROR(__xludf.DUMMYFUNCTION("""COMPUTED_VALUE"""),44824)</f>
        <v>44824</v>
      </c>
      <c r="E2098" s="3">
        <f ca="1">IFERROR(__xludf.DUMMYFUNCTION("""COMPUTED_VALUE"""),0.687337962961464)</f>
        <v>0.68733796296146399</v>
      </c>
      <c r="F2098" s="1">
        <f ca="1">IFERROR(__xludf.DUMMYFUNCTION("""COMPUTED_VALUE"""),31759)</f>
        <v>31759</v>
      </c>
      <c r="G2098" s="1" t="str">
        <f ca="1">IFERROR(__xludf.DUMMYFUNCTION("""COMPUTED_VALUE"""),"13.0034/77.4668")</f>
        <v>13.0034/77.4668</v>
      </c>
      <c r="H2098" s="1" t="str">
        <f ca="1">IFERROR(__xludf.DUMMYFUNCTION("""COMPUTED_VALUE"""),"Cachohalli")</f>
        <v>Cachohalli</v>
      </c>
      <c r="I2098" s="1"/>
      <c r="J2098" s="1" t="str">
        <f ca="1">IFERROR(__xludf.DUMMYFUNCTION("""COMPUTED_VALUE"""),"0d 00h 00m")</f>
        <v>0d 00h 00m</v>
      </c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13.2">
      <c r="A2099" s="1">
        <f ca="1">IFERROR(__xludf.DUMMYFUNCTION("""COMPUTED_VALUE"""),208)</f>
        <v>208</v>
      </c>
      <c r="B2099" s="1" t="str">
        <f ca="1">IFERROR(__xludf.DUMMYFUNCTION("""COMPUTED_VALUE"""),"SW4_KA04C2203_Jetting")</f>
        <v>SW4_KA04C2203_Jetting</v>
      </c>
      <c r="C2099" s="1" t="str">
        <f ca="1">IFERROR(__xludf.DUMMYFUNCTION("""COMPUTED_VALUE"""),"sw4_ka04c2203_jetting")</f>
        <v>sw4_ka04c2203_jetting</v>
      </c>
      <c r="D2099" s="2">
        <f ca="1">IFERROR(__xludf.DUMMYFUNCTION("""COMPUTED_VALUE"""),44860)</f>
        <v>44860</v>
      </c>
      <c r="E2099" s="3">
        <f ca="1">IFERROR(__xludf.DUMMYFUNCTION("""COMPUTED_VALUE"""),0.999189814814599)</f>
        <v>0.99918981481459901</v>
      </c>
      <c r="F2099" s="1">
        <f ca="1">IFERROR(__xludf.DUMMYFUNCTION("""COMPUTED_VALUE"""),32219)</f>
        <v>32219</v>
      </c>
      <c r="G2099" s="1" t="str">
        <f ca="1">IFERROR(__xludf.DUMMYFUNCTION("""COMPUTED_VALUE"""),"12.9141/77.5952")</f>
        <v>12.9141/77.5952</v>
      </c>
      <c r="H2099" s="1" t="str">
        <f ca="1">IFERROR(__xludf.DUMMYFUNCTION("""COMPUTED_VALUE"""),"Ragigudda Temple")</f>
        <v>Ragigudda Temple</v>
      </c>
      <c r="I2099" s="1"/>
      <c r="J2099" s="1" t="str">
        <f ca="1">IFERROR(__xludf.DUMMYFUNCTION("""COMPUTED_VALUE"""),"0d 00h 00m")</f>
        <v>0d 00h 00m</v>
      </c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13.2">
      <c r="A2100" s="1">
        <f ca="1">IFERROR(__xludf.DUMMYFUNCTION("""COMPUTED_VALUE"""),14)</f>
        <v>14</v>
      </c>
      <c r="B2100" s="1" t="str">
        <f ca="1">IFERROR(__xludf.DUMMYFUNCTION("""COMPUTED_VALUE"""),"SW4_KA04C5143_JETTING")</f>
        <v>SW4_KA04C5143_JETTING</v>
      </c>
      <c r="C2100" s="1" t="str">
        <f ca="1">IFERROR(__xludf.DUMMYFUNCTION("""COMPUTED_VALUE"""),"sw4_ka04c5143_jetting")</f>
        <v>sw4_ka04c5143_jetting</v>
      </c>
      <c r="D2100" s="2">
        <f ca="1">IFERROR(__xludf.DUMMYFUNCTION("""COMPUTED_VALUE"""),41640)</f>
        <v>41640</v>
      </c>
      <c r="E2100" s="3">
        <f ca="1">IFERROR(__xludf.DUMMYFUNCTION("""COMPUTED_VALUE"""),0.229537037037516)</f>
        <v>0.22953703703751599</v>
      </c>
      <c r="F2100" s="1">
        <f ca="1">IFERROR(__xludf.DUMMYFUNCTION("""COMPUTED_VALUE"""),41183)</f>
        <v>41183</v>
      </c>
      <c r="G2100" s="1"/>
      <c r="H2100" s="1"/>
      <c r="I2100" s="1"/>
      <c r="J2100" s="1" t="str">
        <f ca="1">IFERROR(__xludf.DUMMYFUNCTION("""COMPUTED_VALUE"""),"6d 18h 30m")</f>
        <v>6d 18h 30m</v>
      </c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13.2">
      <c r="A2101" s="1">
        <f ca="1">IFERROR(__xludf.DUMMYFUNCTION("""COMPUTED_VALUE"""),14)</f>
        <v>14</v>
      </c>
      <c r="B2101" s="1" t="str">
        <f ca="1">IFERROR(__xludf.DUMMYFUNCTION("""COMPUTED_VALUE"""),"SW4_KA04C5143_JETTING")</f>
        <v>SW4_KA04C5143_JETTING</v>
      </c>
      <c r="C2101" s="1" t="str">
        <f ca="1">IFERROR(__xludf.DUMMYFUNCTION("""COMPUTED_VALUE"""),"sw4_ka04c5143_jetting")</f>
        <v>sw4_ka04c5143_jetting</v>
      </c>
      <c r="D2101" s="2">
        <f ca="1">IFERROR(__xludf.DUMMYFUNCTION("""COMPUTED_VALUE"""),41640)</f>
        <v>41640</v>
      </c>
      <c r="E2101" s="3">
        <f ca="1">IFERROR(__xludf.DUMMYFUNCTION("""COMPUTED_VALUE"""),0.229537037037516)</f>
        <v>0.22953703703751599</v>
      </c>
      <c r="F2101" s="1">
        <f ca="1">IFERROR(__xludf.DUMMYFUNCTION("""COMPUTED_VALUE"""),41183)</f>
        <v>41183</v>
      </c>
      <c r="G2101" s="1"/>
      <c r="H2101" s="1"/>
      <c r="I2101" s="1"/>
      <c r="J2101" s="1" t="str">
        <f ca="1">IFERROR(__xludf.DUMMYFUNCTION("""COMPUTED_VALUE"""),"6d 18h 31m")</f>
        <v>6d 18h 31m</v>
      </c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13.2">
      <c r="A2102" s="1">
        <f ca="1">IFERROR(__xludf.DUMMYFUNCTION("""COMPUTED_VALUE"""),14)</f>
        <v>14</v>
      </c>
      <c r="B2102" s="1" t="str">
        <f ca="1">IFERROR(__xludf.DUMMYFUNCTION("""COMPUTED_VALUE"""),"SW4_KA04C5143_JETTING")</f>
        <v>SW4_KA04C5143_JETTING</v>
      </c>
      <c r="C2102" s="1" t="str">
        <f ca="1">IFERROR(__xludf.DUMMYFUNCTION("""COMPUTED_VALUE"""),"sw4_ka04c5143_jetting")</f>
        <v>sw4_ka04c5143_jetting</v>
      </c>
      <c r="D2102" s="2">
        <f ca="1">IFERROR(__xludf.DUMMYFUNCTION("""COMPUTED_VALUE"""),41640)</f>
        <v>41640</v>
      </c>
      <c r="E2102" s="3">
        <f ca="1">IFERROR(__xludf.DUMMYFUNCTION("""COMPUTED_VALUE"""),0.229537037037516)</f>
        <v>0.22953703703751599</v>
      </c>
      <c r="F2102" s="1">
        <f ca="1">IFERROR(__xludf.DUMMYFUNCTION("""COMPUTED_VALUE"""),41183)</f>
        <v>41183</v>
      </c>
      <c r="G2102" s="1"/>
      <c r="H2102" s="1"/>
      <c r="I2102" s="1"/>
      <c r="J2102" s="1" t="str">
        <f ca="1">IFERROR(__xludf.DUMMYFUNCTION("""COMPUTED_VALUE"""),"6d 18h 34m")</f>
        <v>6d 18h 34m</v>
      </c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13.2">
      <c r="A2103" s="1">
        <f ca="1">IFERROR(__xludf.DUMMYFUNCTION("""COMPUTED_VALUE"""),14)</f>
        <v>14</v>
      </c>
      <c r="B2103" s="1" t="str">
        <f ca="1">IFERROR(__xludf.DUMMYFUNCTION("""COMPUTED_VALUE"""),"SW4_KA04C5143_JETTING")</f>
        <v>SW4_KA04C5143_JETTING</v>
      </c>
      <c r="C2103" s="1" t="str">
        <f ca="1">IFERROR(__xludf.DUMMYFUNCTION("""COMPUTED_VALUE"""),"sw4_ka04c5143_jetting")</f>
        <v>sw4_ka04c5143_jetting</v>
      </c>
      <c r="D2103" s="2">
        <f ca="1">IFERROR(__xludf.DUMMYFUNCTION("""COMPUTED_VALUE"""),41640)</f>
        <v>41640</v>
      </c>
      <c r="E2103" s="3">
        <f ca="1">IFERROR(__xludf.DUMMYFUNCTION("""COMPUTED_VALUE"""),0.229537037037516)</f>
        <v>0.22953703703751599</v>
      </c>
      <c r="F2103" s="1">
        <f ca="1">IFERROR(__xludf.DUMMYFUNCTION("""COMPUTED_VALUE"""),41183)</f>
        <v>41183</v>
      </c>
      <c r="G2103" s="1"/>
      <c r="H2103" s="1"/>
      <c r="I2103" s="1"/>
      <c r="J2103" s="1" t="str">
        <f ca="1">IFERROR(__xludf.DUMMYFUNCTION("""COMPUTED_VALUE"""),"6d 18h 35m")</f>
        <v>6d 18h 35m</v>
      </c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13.2">
      <c r="A2104" s="1">
        <f ca="1">IFERROR(__xludf.DUMMYFUNCTION("""COMPUTED_VALUE"""),14)</f>
        <v>14</v>
      </c>
      <c r="B2104" s="1" t="str">
        <f ca="1">IFERROR(__xludf.DUMMYFUNCTION("""COMPUTED_VALUE"""),"SW4_KA04C5143_JETTING")</f>
        <v>SW4_KA04C5143_JETTING</v>
      </c>
      <c r="C2104" s="1" t="str">
        <f ca="1">IFERROR(__xludf.DUMMYFUNCTION("""COMPUTED_VALUE"""),"sw4_ka04c5143_jetting")</f>
        <v>sw4_ka04c5143_jetting</v>
      </c>
      <c r="D2104" s="2">
        <f ca="1">IFERROR(__xludf.DUMMYFUNCTION("""COMPUTED_VALUE"""),41640)</f>
        <v>41640</v>
      </c>
      <c r="E2104" s="3">
        <f ca="1">IFERROR(__xludf.DUMMYFUNCTION("""COMPUTED_VALUE"""),0.229537037037516)</f>
        <v>0.22953703703751599</v>
      </c>
      <c r="F2104" s="1">
        <f ca="1">IFERROR(__xludf.DUMMYFUNCTION("""COMPUTED_VALUE"""),41183)</f>
        <v>41183</v>
      </c>
      <c r="G2104" s="1"/>
      <c r="H2104" s="1"/>
      <c r="I2104" s="1"/>
      <c r="J2104" s="1" t="str">
        <f ca="1">IFERROR(__xludf.DUMMYFUNCTION("""COMPUTED_VALUE"""),"6d 18h 36m")</f>
        <v>6d 18h 36m</v>
      </c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13.2">
      <c r="A2105" s="1">
        <f ca="1">IFERROR(__xludf.DUMMYFUNCTION("""COMPUTED_VALUE"""),14)</f>
        <v>14</v>
      </c>
      <c r="B2105" s="1" t="str">
        <f ca="1">IFERROR(__xludf.DUMMYFUNCTION("""COMPUTED_VALUE"""),"SW4_KA04C5143_JETTING")</f>
        <v>SW4_KA04C5143_JETTING</v>
      </c>
      <c r="C2105" s="1" t="str">
        <f ca="1">IFERROR(__xludf.DUMMYFUNCTION("""COMPUTED_VALUE"""),"sw4_ka04c5143_jetting")</f>
        <v>sw4_ka04c5143_jetting</v>
      </c>
      <c r="D2105" s="2">
        <f ca="1">IFERROR(__xludf.DUMMYFUNCTION("""COMPUTED_VALUE"""),41640)</f>
        <v>41640</v>
      </c>
      <c r="E2105" s="3">
        <f ca="1">IFERROR(__xludf.DUMMYFUNCTION("""COMPUTED_VALUE"""),0.229537037037516)</f>
        <v>0.22953703703751599</v>
      </c>
      <c r="F2105" s="1">
        <f ca="1">IFERROR(__xludf.DUMMYFUNCTION("""COMPUTED_VALUE"""),41183)</f>
        <v>41183</v>
      </c>
      <c r="G2105" s="1"/>
      <c r="H2105" s="1"/>
      <c r="I2105" s="1"/>
      <c r="J2105" s="1" t="str">
        <f ca="1">IFERROR(__xludf.DUMMYFUNCTION("""COMPUTED_VALUE"""),"6d 18h 37m")</f>
        <v>6d 18h 37m</v>
      </c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13.2">
      <c r="A2106" s="1">
        <f ca="1">IFERROR(__xludf.DUMMYFUNCTION("""COMPUTED_VALUE"""),14)</f>
        <v>14</v>
      </c>
      <c r="B2106" s="1" t="str">
        <f ca="1">IFERROR(__xludf.DUMMYFUNCTION("""COMPUTED_VALUE"""),"SW4_KA04C5143_JETTING")</f>
        <v>SW4_KA04C5143_JETTING</v>
      </c>
      <c r="C2106" s="1" t="str">
        <f ca="1">IFERROR(__xludf.DUMMYFUNCTION("""COMPUTED_VALUE"""),"sw4_ka04c5143_jetting")</f>
        <v>sw4_ka04c5143_jetting</v>
      </c>
      <c r="D2106" s="2">
        <f ca="1">IFERROR(__xludf.DUMMYFUNCTION("""COMPUTED_VALUE"""),41640)</f>
        <v>41640</v>
      </c>
      <c r="E2106" s="3">
        <f ca="1">IFERROR(__xludf.DUMMYFUNCTION("""COMPUTED_VALUE"""),0.229537037037516)</f>
        <v>0.22953703703751599</v>
      </c>
      <c r="F2106" s="1">
        <f ca="1">IFERROR(__xludf.DUMMYFUNCTION("""COMPUTED_VALUE"""),41183)</f>
        <v>41183</v>
      </c>
      <c r="G2106" s="1"/>
      <c r="H2106" s="1"/>
      <c r="I2106" s="1"/>
      <c r="J2106" s="1" t="str">
        <f ca="1">IFERROR(__xludf.DUMMYFUNCTION("""COMPUTED_VALUE"""),"6d 18h 38m")</f>
        <v>6d 18h 38m</v>
      </c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13.2">
      <c r="A2107" s="1">
        <f ca="1">IFERROR(__xludf.DUMMYFUNCTION("""COMPUTED_VALUE"""),117)</f>
        <v>117</v>
      </c>
      <c r="B2107" s="1" t="str">
        <f ca="1">IFERROR(__xludf.DUMMYFUNCTION("""COMPUTED_VALUE"""),"SW4_KA04C5151_Jetting")</f>
        <v>SW4_KA04C5151_Jetting</v>
      </c>
      <c r="C2107" s="1" t="str">
        <f ca="1">IFERROR(__xludf.DUMMYFUNCTION("""COMPUTED_VALUE"""),"sw4_ka04c5151_jetting")</f>
        <v>sw4_ka04c5151_jetting</v>
      </c>
      <c r="D2107" s="2">
        <f ca="1">IFERROR(__xludf.DUMMYFUNCTION("""COMPUTED_VALUE"""),44706)</f>
        <v>44706</v>
      </c>
      <c r="E2107" s="3">
        <f ca="1">IFERROR(__xludf.DUMMYFUNCTION("""COMPUTED_VALUE"""),0.691377314815326)</f>
        <v>0.69137731481532605</v>
      </c>
      <c r="F2107" s="1">
        <f ca="1">IFERROR(__xludf.DUMMYFUNCTION("""COMPUTED_VALUE"""),19981)</f>
        <v>19981</v>
      </c>
      <c r="G2107" s="1" t="str">
        <f ca="1">IFERROR(__xludf.DUMMYFUNCTION("""COMPUTED_VALUE"""),"12.9428/77.5993")</f>
        <v>12.9428/77.5993</v>
      </c>
      <c r="H2107" s="1" t="str">
        <f ca="1">IFERROR(__xludf.DUMMYFUNCTION("""COMPUTED_VALUE"""),"Lakasandra")</f>
        <v>Lakasandra</v>
      </c>
      <c r="I2107" s="1"/>
      <c r="J2107" s="1" t="str">
        <f ca="1">IFERROR(__xludf.DUMMYFUNCTION("""COMPUTED_VALUE"""),"18d 20h 04m")</f>
        <v>18d 20h 04m</v>
      </c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13.2">
      <c r="A2108" s="1">
        <f ca="1">IFERROR(__xludf.DUMMYFUNCTION("""COMPUTED_VALUE"""),75)</f>
        <v>75</v>
      </c>
      <c r="B2108" s="1" t="str">
        <f ca="1">IFERROR(__xludf.DUMMYFUNCTION("""COMPUTED_VALUE"""),"SW4_KA04C5151_Jetting")</f>
        <v>SW4_KA04C5151_Jetting</v>
      </c>
      <c r="C2108" s="1" t="str">
        <f ca="1">IFERROR(__xludf.DUMMYFUNCTION("""COMPUTED_VALUE"""),"sw4_ka04c5151_jetting")</f>
        <v>sw4_ka04c5151_jetting</v>
      </c>
      <c r="D2108" s="2">
        <f ca="1">IFERROR(__xludf.DUMMYFUNCTION("""COMPUTED_VALUE"""),44720)</f>
        <v>44720</v>
      </c>
      <c r="E2108" s="3">
        <f ca="1">IFERROR(__xludf.DUMMYFUNCTION("""COMPUTED_VALUE"""),0.537314814813726)</f>
        <v>0.537314814813726</v>
      </c>
      <c r="F2108" s="1">
        <f ca="1">IFERROR(__xludf.DUMMYFUNCTION("""COMPUTED_VALUE"""),19989)</f>
        <v>19989</v>
      </c>
      <c r="G2108" s="1" t="str">
        <f ca="1">IFERROR(__xludf.DUMMYFUNCTION("""COMPUTED_VALUE"""),"12.9371/77.6089")</f>
        <v>12.9371/77.6089</v>
      </c>
      <c r="H2108" s="1" t="str">
        <f ca="1">IFERROR(__xludf.DUMMYFUNCTION("""COMPUTED_VALUE"""),"The Forum")</f>
        <v>The Forum</v>
      </c>
      <c r="I2108" s="1"/>
      <c r="J2108" s="1" t="str">
        <f ca="1">IFERROR(__xludf.DUMMYFUNCTION("""COMPUTED_VALUE"""),"18d 20h 05m")</f>
        <v>18d 20h 05m</v>
      </c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13.2">
      <c r="A2109" s="1">
        <f ca="1">IFERROR(__xludf.DUMMYFUNCTION("""COMPUTED_VALUE"""),100)</f>
        <v>100</v>
      </c>
      <c r="B2109" s="1" t="str">
        <f ca="1">IFERROR(__xludf.DUMMYFUNCTION("""COMPUTED_VALUE"""),"SW4_KA04C5151_Jetting")</f>
        <v>SW4_KA04C5151_Jetting</v>
      </c>
      <c r="C2109" s="1" t="str">
        <f ca="1">IFERROR(__xludf.DUMMYFUNCTION("""COMPUTED_VALUE"""),"sw4_ka04c5151_jetting")</f>
        <v>sw4_ka04c5151_jetting</v>
      </c>
      <c r="D2109" s="2">
        <f ca="1">IFERROR(__xludf.DUMMYFUNCTION("""COMPUTED_VALUE"""),44758)</f>
        <v>44758</v>
      </c>
      <c r="E2109" s="3">
        <f ca="1">IFERROR(__xludf.DUMMYFUNCTION("""COMPUTED_VALUE"""),0.646226851851679)</f>
        <v>0.64622685185167905</v>
      </c>
      <c r="F2109" s="1">
        <f ca="1">IFERROR(__xludf.DUMMYFUNCTION("""COMPUTED_VALUE"""),19999)</f>
        <v>19999</v>
      </c>
      <c r="G2109" s="1" t="str">
        <f ca="1">IFERROR(__xludf.DUMMYFUNCTION("""COMPUTED_VALUE"""),"12.9485/77.5960")</f>
        <v>12.9485/77.5960</v>
      </c>
      <c r="H2109" s="1" t="str">
        <f ca="1">IFERROR(__xludf.DUMMYFUNCTION("""COMPUTED_VALUE"""),"Wilson Garden")</f>
        <v>Wilson Garden</v>
      </c>
      <c r="I2109" s="1"/>
      <c r="J2109" s="1" t="str">
        <f ca="1">IFERROR(__xludf.DUMMYFUNCTION("""COMPUTED_VALUE"""),"18d 20h 06m")</f>
        <v>18d 20h 06m</v>
      </c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13.2">
      <c r="A2110" s="1">
        <f ca="1">IFERROR(__xludf.DUMMYFUNCTION("""COMPUTED_VALUE"""),122)</f>
        <v>122</v>
      </c>
      <c r="B2110" s="1" t="str">
        <f ca="1">IFERROR(__xludf.DUMMYFUNCTION("""COMPUTED_VALUE"""),"SW4_KA04C5151_Jetting")</f>
        <v>SW4_KA04C5151_Jetting</v>
      </c>
      <c r="C2110" s="1" t="str">
        <f ca="1">IFERROR(__xludf.DUMMYFUNCTION("""COMPUTED_VALUE"""),"sw4_ka04c5151_jetting")</f>
        <v>sw4_ka04c5151_jetting</v>
      </c>
      <c r="D2110" s="2">
        <f ca="1">IFERROR(__xludf.DUMMYFUNCTION("""COMPUTED_VALUE"""),44793)</f>
        <v>44793</v>
      </c>
      <c r="E2110" s="3">
        <f ca="1">IFERROR(__xludf.DUMMYFUNCTION("""COMPUTED_VALUE"""),0.622939814813435)</f>
        <v>0.62293981481343497</v>
      </c>
      <c r="F2110" s="1">
        <f ca="1">IFERROR(__xludf.DUMMYFUNCTION("""COMPUTED_VALUE"""),20048)</f>
        <v>20048</v>
      </c>
      <c r="G2110" s="1" t="str">
        <f ca="1">IFERROR(__xludf.DUMMYFUNCTION("""COMPUTED_VALUE"""),"12.9493/77.5988")</f>
        <v>12.9493/77.5988</v>
      </c>
      <c r="H2110" s="1" t="str">
        <f ca="1">IFERROR(__xludf.DUMMYFUNCTION("""COMPUTED_VALUE"""),"Wilson Garden")</f>
        <v>Wilson Garden</v>
      </c>
      <c r="I2110" s="1"/>
      <c r="J2110" s="1" t="str">
        <f ca="1">IFERROR(__xludf.DUMMYFUNCTION("""COMPUTED_VALUE"""),"18d 20h 06m")</f>
        <v>18d 20h 06m</v>
      </c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13.2">
      <c r="A2111" s="1">
        <f ca="1">IFERROR(__xludf.DUMMYFUNCTION("""COMPUTED_VALUE"""),80)</f>
        <v>80</v>
      </c>
      <c r="B2111" s="1" t="str">
        <f ca="1">IFERROR(__xludf.DUMMYFUNCTION("""COMPUTED_VALUE"""),"SW4_KA04C5151_Jetting")</f>
        <v>SW4_KA04C5151_Jetting</v>
      </c>
      <c r="C2111" s="1" t="str">
        <f ca="1">IFERROR(__xludf.DUMMYFUNCTION("""COMPUTED_VALUE"""),"sw4_ka04c5151_jetting")</f>
        <v>sw4_ka04c5151_jetting</v>
      </c>
      <c r="D2111" s="2">
        <f ca="1">IFERROR(__xludf.DUMMYFUNCTION("""COMPUTED_VALUE"""),44793)</f>
        <v>44793</v>
      </c>
      <c r="E2111" s="3">
        <f ca="1">IFERROR(__xludf.DUMMYFUNCTION("""COMPUTED_VALUE"""),0.622939814813435)</f>
        <v>0.62293981481343497</v>
      </c>
      <c r="F2111" s="1">
        <f ca="1">IFERROR(__xludf.DUMMYFUNCTION("""COMPUTED_VALUE"""),20048)</f>
        <v>20048</v>
      </c>
      <c r="G2111" s="1" t="str">
        <f ca="1">IFERROR(__xludf.DUMMYFUNCTION("""COMPUTED_VALUE"""),"12.9493/77.5988")</f>
        <v>12.9493/77.5988</v>
      </c>
      <c r="H2111" s="1" t="str">
        <f ca="1">IFERROR(__xludf.DUMMYFUNCTION("""COMPUTED_VALUE"""),"Wilson Garden")</f>
        <v>Wilson Garden</v>
      </c>
      <c r="I2111" s="1"/>
      <c r="J2111" s="1" t="str">
        <f ca="1">IFERROR(__xludf.DUMMYFUNCTION("""COMPUTED_VALUE"""),"18d 20h 07m")</f>
        <v>18d 20h 07m</v>
      </c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13.2">
      <c r="A2112" s="1">
        <f ca="1">IFERROR(__xludf.DUMMYFUNCTION("""COMPUTED_VALUE"""),132)</f>
        <v>132</v>
      </c>
      <c r="B2112" s="1" t="str">
        <f ca="1">IFERROR(__xludf.DUMMYFUNCTION("""COMPUTED_VALUE"""),"SW4_KA04C5151_Jetting")</f>
        <v>SW4_KA04C5151_Jetting</v>
      </c>
      <c r="C2112" s="1" t="str">
        <f ca="1">IFERROR(__xludf.DUMMYFUNCTION("""COMPUTED_VALUE"""),"sw4_ka04c5151_jetting")</f>
        <v>sw4_ka04c5151_jetting</v>
      </c>
      <c r="D2112" s="2">
        <f ca="1">IFERROR(__xludf.DUMMYFUNCTION("""COMPUTED_VALUE"""),44860)</f>
        <v>44860</v>
      </c>
      <c r="E2112" s="3">
        <f ca="1">IFERROR(__xludf.DUMMYFUNCTION("""COMPUTED_VALUE"""),0.561377314814308)</f>
        <v>0.56137731481430797</v>
      </c>
      <c r="F2112" s="1">
        <f ca="1">IFERROR(__xludf.DUMMYFUNCTION("""COMPUTED_VALUE"""),20088)</f>
        <v>20088</v>
      </c>
      <c r="G2112" s="1" t="str">
        <f ca="1">IFERROR(__xludf.DUMMYFUNCTION("""COMPUTED_VALUE"""),"12.9499/77.5959")</f>
        <v>12.9499/77.5959</v>
      </c>
      <c r="H2112" s="1" t="str">
        <f ca="1">IFERROR(__xludf.DUMMYFUNCTION("""COMPUTED_VALUE"""),"Wilson Garden")</f>
        <v>Wilson Garden</v>
      </c>
      <c r="I2112" s="1"/>
      <c r="J2112" s="1" t="str">
        <f ca="1">IFERROR(__xludf.DUMMYFUNCTION("""COMPUTED_VALUE"""),"18d 20h 08m")</f>
        <v>18d 20h 08m</v>
      </c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13.2">
      <c r="A2113" s="1">
        <f ca="1">IFERROR(__xludf.DUMMYFUNCTION("""COMPUTED_VALUE"""),146)</f>
        <v>146</v>
      </c>
      <c r="B2113" s="1" t="str">
        <f ca="1">IFERROR(__xludf.DUMMYFUNCTION("""COMPUTED_VALUE"""),"SW4_KA04D4106_Jetting")</f>
        <v>SW4_KA04D4106_Jetting</v>
      </c>
      <c r="C2113" s="1" t="str">
        <f ca="1">IFERROR(__xludf.DUMMYFUNCTION("""COMPUTED_VALUE"""),"sw4_ka04d4106_jetting")</f>
        <v>sw4_ka04d4106_jetting</v>
      </c>
      <c r="D2113" s="2">
        <f ca="1">IFERROR(__xludf.DUMMYFUNCTION("""COMPUTED_VALUE"""),44707)</f>
        <v>44707</v>
      </c>
      <c r="E2113" s="3">
        <f ca="1">IFERROR(__xludf.DUMMYFUNCTION("""COMPUTED_VALUE"""),0.998275462963647)</f>
        <v>0.998275462963647</v>
      </c>
      <c r="F2113" s="1">
        <f ca="1">IFERROR(__xludf.DUMMYFUNCTION("""COMPUTED_VALUE"""),81754)</f>
        <v>81754</v>
      </c>
      <c r="G2113" s="1" t="str">
        <f ca="1">IFERROR(__xludf.DUMMYFUNCTION("""COMPUTED_VALUE"""),"12.9354/77.5888")</f>
        <v>12.9354/77.5888</v>
      </c>
      <c r="H2113" s="1" t="str">
        <f ca="1">IFERROR(__xludf.DUMMYFUNCTION("""COMPUTED_VALUE"""),"Jayanagar Swimming Pool")</f>
        <v>Jayanagar Swimming Pool</v>
      </c>
      <c r="I2113" s="1"/>
      <c r="J2113" s="1" t="str">
        <f ca="1">IFERROR(__xludf.DUMMYFUNCTION("""COMPUTED_VALUE"""),"0d 00h 17m")</f>
        <v>0d 00h 17m</v>
      </c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13.2">
      <c r="A2114" s="1">
        <f ca="1">IFERROR(__xludf.DUMMYFUNCTION("""COMPUTED_VALUE"""),63)</f>
        <v>63</v>
      </c>
      <c r="B2114" s="1" t="str">
        <f ca="1">IFERROR(__xludf.DUMMYFUNCTION("""COMPUTED_VALUE"""),"SW4_KA04D4106_Jetting")</f>
        <v>SW4_KA04D4106_Jetting</v>
      </c>
      <c r="C2114" s="1" t="str">
        <f ca="1">IFERROR(__xludf.DUMMYFUNCTION("""COMPUTED_VALUE"""),"sw4_ka04d4106_jetting")</f>
        <v>sw4_ka04d4106_jetting</v>
      </c>
      <c r="D2114" s="2">
        <f ca="1">IFERROR(__xludf.DUMMYFUNCTION("""COMPUTED_VALUE"""),44710)</f>
        <v>44710</v>
      </c>
      <c r="E2114" s="3">
        <f ca="1">IFERROR(__xludf.DUMMYFUNCTION("""COMPUTED_VALUE"""),0.771527777778828)</f>
        <v>0.77152777777882797</v>
      </c>
      <c r="F2114" s="1">
        <f ca="1">IFERROR(__xludf.DUMMYFUNCTION("""COMPUTED_VALUE"""),81777)</f>
        <v>81777</v>
      </c>
      <c r="G2114" s="1" t="str">
        <f ca="1">IFERROR(__xludf.DUMMYFUNCTION("""COMPUTED_VALUE"""),"12.9355/77.5886")</f>
        <v>12.9355/77.5886</v>
      </c>
      <c r="H2114" s="1" t="str">
        <f ca="1">IFERROR(__xludf.DUMMYFUNCTION("""COMPUTED_VALUE"""),"Jayanagar Swimming Pool")</f>
        <v>Jayanagar Swimming Pool</v>
      </c>
      <c r="I2114" s="1"/>
      <c r="J2114" s="1" t="str">
        <f ca="1">IFERROR(__xludf.DUMMYFUNCTION("""COMPUTED_VALUE"""),"0d 00h 18m")</f>
        <v>0d 00h 18m</v>
      </c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13.2">
      <c r="A2115" s="1">
        <f ca="1">IFERROR(__xludf.DUMMYFUNCTION("""COMPUTED_VALUE"""),157)</f>
        <v>157</v>
      </c>
      <c r="B2115" s="1" t="str">
        <f ca="1">IFERROR(__xludf.DUMMYFUNCTION("""COMPUTED_VALUE"""),"SW4_KA04D4106_Jetting")</f>
        <v>SW4_KA04D4106_Jetting</v>
      </c>
      <c r="C2115" s="1" t="str">
        <f ca="1">IFERROR(__xludf.DUMMYFUNCTION("""COMPUTED_VALUE"""),"sw4_ka04d4106_jetting")</f>
        <v>sw4_ka04d4106_jetting</v>
      </c>
      <c r="D2115" s="2">
        <f ca="1">IFERROR(__xludf.DUMMYFUNCTION("""COMPUTED_VALUE"""),44768)</f>
        <v>44768</v>
      </c>
      <c r="E2115" s="3">
        <f ca="1">IFERROR(__xludf.DUMMYFUNCTION("""COMPUTED_VALUE"""),0.996886574073869)</f>
        <v>0.99688657407386905</v>
      </c>
      <c r="F2115" s="1">
        <f ca="1">IFERROR(__xludf.DUMMYFUNCTION("""COMPUTED_VALUE"""),82402)</f>
        <v>82402</v>
      </c>
      <c r="G2115" s="1" t="str">
        <f ca="1">IFERROR(__xludf.DUMMYFUNCTION("""COMPUTED_VALUE"""),"12.9353/77.5888")</f>
        <v>12.9353/77.5888</v>
      </c>
      <c r="H2115" s="1" t="str">
        <f ca="1">IFERROR(__xludf.DUMMYFUNCTION("""COMPUTED_VALUE"""),"Jayanagar Swimming Pool")</f>
        <v>Jayanagar Swimming Pool</v>
      </c>
      <c r="I2115" s="1"/>
      <c r="J2115" s="1" t="str">
        <f ca="1">IFERROR(__xludf.DUMMYFUNCTION("""COMPUTED_VALUE"""),"0d 00h 19m")</f>
        <v>0d 00h 19m</v>
      </c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13.2">
      <c r="A2116" s="1">
        <f ca="1">IFERROR(__xludf.DUMMYFUNCTION("""COMPUTED_VALUE"""),159)</f>
        <v>159</v>
      </c>
      <c r="B2116" s="1" t="str">
        <f ca="1">IFERROR(__xludf.DUMMYFUNCTION("""COMPUTED_VALUE"""),"SW4_KA04D4106_Jetting")</f>
        <v>SW4_KA04D4106_Jetting</v>
      </c>
      <c r="C2116" s="1" t="str">
        <f ca="1">IFERROR(__xludf.DUMMYFUNCTION("""COMPUTED_VALUE"""),"sw4_ka04d4106_jetting")</f>
        <v>sw4_ka04d4106_jetting</v>
      </c>
      <c r="D2116" s="2">
        <f ca="1">IFERROR(__xludf.DUMMYFUNCTION("""COMPUTED_VALUE"""),44799)</f>
        <v>44799</v>
      </c>
      <c r="E2116" s="3">
        <f ca="1">IFERROR(__xludf.DUMMYFUNCTION("""COMPUTED_VALUE"""),0.778194444443215)</f>
        <v>0.77819444444321495</v>
      </c>
      <c r="F2116" s="1">
        <f ca="1">IFERROR(__xludf.DUMMYFUNCTION("""COMPUTED_VALUE"""),82922)</f>
        <v>82922</v>
      </c>
      <c r="G2116" s="1" t="str">
        <f ca="1">IFERROR(__xludf.DUMMYFUNCTION("""COMPUTED_VALUE"""),"12.9355/77.5887")</f>
        <v>12.9355/77.5887</v>
      </c>
      <c r="H2116" s="1" t="str">
        <f ca="1">IFERROR(__xludf.DUMMYFUNCTION("""COMPUTED_VALUE"""),"Jayanagar Swimming Pool")</f>
        <v>Jayanagar Swimming Pool</v>
      </c>
      <c r="I2116" s="1"/>
      <c r="J2116" s="1" t="str">
        <f ca="1">IFERROR(__xludf.DUMMYFUNCTION("""COMPUTED_VALUE"""),"0d 00h 20m")</f>
        <v>0d 00h 20m</v>
      </c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13.2">
      <c r="A2117" s="1">
        <f ca="1">IFERROR(__xludf.DUMMYFUNCTION("""COMPUTED_VALUE"""),155)</f>
        <v>155</v>
      </c>
      <c r="B2117" s="1" t="str">
        <f ca="1">IFERROR(__xludf.DUMMYFUNCTION("""COMPUTED_VALUE"""),"SW4_KA04D4106_Jetting")</f>
        <v>SW4_KA04D4106_Jetting</v>
      </c>
      <c r="C2117" s="1" t="str">
        <f ca="1">IFERROR(__xludf.DUMMYFUNCTION("""COMPUTED_VALUE"""),"sw4_ka04d4106_jetting")</f>
        <v>sw4_ka04d4106_jetting</v>
      </c>
      <c r="D2117" s="2">
        <f ca="1">IFERROR(__xludf.DUMMYFUNCTION("""COMPUTED_VALUE"""),44830)</f>
        <v>44830</v>
      </c>
      <c r="E2117" s="3">
        <f ca="1">IFERROR(__xludf.DUMMYFUNCTION("""COMPUTED_VALUE"""),0.994409722221462)</f>
        <v>0.99440972222146196</v>
      </c>
      <c r="F2117" s="1">
        <f ca="1">IFERROR(__xludf.DUMMYFUNCTION("""COMPUTED_VALUE"""),83704)</f>
        <v>83704</v>
      </c>
      <c r="G2117" s="1" t="str">
        <f ca="1">IFERROR(__xludf.DUMMYFUNCTION("""COMPUTED_VALUE"""),"12.9355/77.5889")</f>
        <v>12.9355/77.5889</v>
      </c>
      <c r="H2117" s="1" t="str">
        <f ca="1">IFERROR(__xludf.DUMMYFUNCTION("""COMPUTED_VALUE"""),"Jayanagar Swimming Pool")</f>
        <v>Jayanagar Swimming Pool</v>
      </c>
      <c r="I2117" s="1"/>
      <c r="J2117" s="1" t="str">
        <f ca="1">IFERROR(__xludf.DUMMYFUNCTION("""COMPUTED_VALUE"""),"0d 00h 21m")</f>
        <v>0d 00h 21m</v>
      </c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13.2">
      <c r="A2118" s="1">
        <f ca="1">IFERROR(__xludf.DUMMYFUNCTION("""COMPUTED_VALUE"""),149)</f>
        <v>149</v>
      </c>
      <c r="B2118" s="1" t="str">
        <f ca="1">IFERROR(__xludf.DUMMYFUNCTION("""COMPUTED_VALUE"""),"SW4_KA04D4106_Jetting")</f>
        <v>SW4_KA04D4106_Jetting</v>
      </c>
      <c r="C2118" s="1" t="str">
        <f ca="1">IFERROR(__xludf.DUMMYFUNCTION("""COMPUTED_VALUE"""),"sw4_ka04d4106_jetting")</f>
        <v>sw4_ka04d4106_jetting</v>
      </c>
      <c r="D2118" s="2">
        <f ca="1">IFERROR(__xludf.DUMMYFUNCTION("""COMPUTED_VALUE"""),44860)</f>
        <v>44860</v>
      </c>
      <c r="E2118" s="3">
        <f ca="1">IFERROR(__xludf.DUMMYFUNCTION("""COMPUTED_VALUE"""),0.98618055555562)</f>
        <v>0.98618055555562001</v>
      </c>
      <c r="F2118" s="1">
        <f ca="1">IFERROR(__xludf.DUMMYFUNCTION("""COMPUTED_VALUE"""),84330)</f>
        <v>84330</v>
      </c>
      <c r="G2118" s="1" t="str">
        <f ca="1">IFERROR(__xludf.DUMMYFUNCTION("""COMPUTED_VALUE"""),"12.9354/77.5887")</f>
        <v>12.9354/77.5887</v>
      </c>
      <c r="H2118" s="1" t="str">
        <f ca="1">IFERROR(__xludf.DUMMYFUNCTION("""COMPUTED_VALUE"""),"Jayanagar Swimming Pool")</f>
        <v>Jayanagar Swimming Pool</v>
      </c>
      <c r="I2118" s="1"/>
      <c r="J2118" s="1" t="str">
        <f ca="1">IFERROR(__xludf.DUMMYFUNCTION("""COMPUTED_VALUE"""),"0d 00h 22m")</f>
        <v>0d 00h 22m</v>
      </c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13.2">
      <c r="A2119" s="1">
        <f ca="1">IFERROR(__xludf.DUMMYFUNCTION("""COMPUTED_VALUE"""),119)</f>
        <v>119</v>
      </c>
      <c r="B2119" s="1" t="str">
        <f ca="1">IFERROR(__xludf.DUMMYFUNCTION("""COMPUTED_VALUE"""),"SW4_KA04D4605_JETTING")</f>
        <v>SW4_KA04D4605_JETTING</v>
      </c>
      <c r="C2119" s="1" t="str">
        <f ca="1">IFERROR(__xludf.DUMMYFUNCTION("""COMPUTED_VALUE"""),"sw4_ka04d4605_jetting")</f>
        <v>sw4_ka04d4605_jetting</v>
      </c>
      <c r="D2119" s="2">
        <f ca="1">IFERROR(__xludf.DUMMYFUNCTION("""COMPUTED_VALUE"""),44041)</f>
        <v>44041</v>
      </c>
      <c r="E2119" s="3">
        <f ca="1">IFERROR(__xludf.DUMMYFUNCTION("""COMPUTED_VALUE"""),0.434247685185255)</f>
        <v>0.43424768518525497</v>
      </c>
      <c r="F2119" s="1">
        <f ca="1">IFERROR(__xludf.DUMMYFUNCTION("""COMPUTED_VALUE"""),17890)</f>
        <v>17890</v>
      </c>
      <c r="G2119" s="1" t="str">
        <f ca="1">IFERROR(__xludf.DUMMYFUNCTION("""COMPUTED_VALUE"""),"12.9296/77.5350")</f>
        <v>12.9296/77.5350</v>
      </c>
      <c r="H2119" s="1" t="str">
        <f ca="1">IFERROR(__xludf.DUMMYFUNCTION("""COMPUTED_VALUE"""),"Hosakerahalli")</f>
        <v>Hosakerahalli</v>
      </c>
      <c r="I2119" s="1"/>
      <c r="J2119" s="1" t="str">
        <f ca="1">IFERROR(__xludf.DUMMYFUNCTION("""COMPUTED_VALUE"""),"1330d 00h 58m")</f>
        <v>1330d 00h 58m</v>
      </c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13.2">
      <c r="A2120" s="1">
        <f ca="1">IFERROR(__xludf.DUMMYFUNCTION("""COMPUTED_VALUE"""),119)</f>
        <v>119</v>
      </c>
      <c r="B2120" s="1" t="str">
        <f ca="1">IFERROR(__xludf.DUMMYFUNCTION("""COMPUTED_VALUE"""),"SW4_KA04D4605_JETTING")</f>
        <v>SW4_KA04D4605_JETTING</v>
      </c>
      <c r="C2120" s="1" t="str">
        <f ca="1">IFERROR(__xludf.DUMMYFUNCTION("""COMPUTED_VALUE"""),"sw4_ka04d4605_jetting")</f>
        <v>sw4_ka04d4605_jetting</v>
      </c>
      <c r="D2120" s="2">
        <f ca="1">IFERROR(__xludf.DUMMYFUNCTION("""COMPUTED_VALUE"""),44041)</f>
        <v>44041</v>
      </c>
      <c r="E2120" s="3">
        <f ca="1">IFERROR(__xludf.DUMMYFUNCTION("""COMPUTED_VALUE"""),0.434247685185255)</f>
        <v>0.43424768518525497</v>
      </c>
      <c r="F2120" s="1">
        <f ca="1">IFERROR(__xludf.DUMMYFUNCTION("""COMPUTED_VALUE"""),17890)</f>
        <v>17890</v>
      </c>
      <c r="G2120" s="1" t="str">
        <f ca="1">IFERROR(__xludf.DUMMYFUNCTION("""COMPUTED_VALUE"""),"12.9296/77.5350")</f>
        <v>12.9296/77.5350</v>
      </c>
      <c r="H2120" s="1" t="str">
        <f ca="1">IFERROR(__xludf.DUMMYFUNCTION("""COMPUTED_VALUE"""),"Hosakerahalli")</f>
        <v>Hosakerahalli</v>
      </c>
      <c r="I2120" s="1"/>
      <c r="J2120" s="1" t="str">
        <f ca="1">IFERROR(__xludf.DUMMYFUNCTION("""COMPUTED_VALUE"""),"1330d 01h 00m")</f>
        <v>1330d 01h 00m</v>
      </c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13.2">
      <c r="A2121" s="1">
        <f ca="1">IFERROR(__xludf.DUMMYFUNCTION("""COMPUTED_VALUE"""),116)</f>
        <v>116</v>
      </c>
      <c r="B2121" s="1" t="str">
        <f ca="1">IFERROR(__xludf.DUMMYFUNCTION("""COMPUTED_VALUE"""),"SW4_KA04D4605_JETTING")</f>
        <v>SW4_KA04D4605_JETTING</v>
      </c>
      <c r="C2121" s="1" t="str">
        <f ca="1">IFERROR(__xludf.DUMMYFUNCTION("""COMPUTED_VALUE"""),"sw4_ka04d4605_jetting")</f>
        <v>sw4_ka04d4605_jetting</v>
      </c>
      <c r="D2121" s="2">
        <f ca="1">IFERROR(__xludf.DUMMYFUNCTION("""COMPUTED_VALUE"""),44041)</f>
        <v>44041</v>
      </c>
      <c r="E2121" s="3">
        <f ca="1">IFERROR(__xludf.DUMMYFUNCTION("""COMPUTED_VALUE"""),0.434247685185255)</f>
        <v>0.43424768518525497</v>
      </c>
      <c r="F2121" s="1">
        <f ca="1">IFERROR(__xludf.DUMMYFUNCTION("""COMPUTED_VALUE"""),17890)</f>
        <v>17890</v>
      </c>
      <c r="G2121" s="1" t="str">
        <f ca="1">IFERROR(__xludf.DUMMYFUNCTION("""COMPUTED_VALUE"""),"12.9296/77.5350")</f>
        <v>12.9296/77.5350</v>
      </c>
      <c r="H2121" s="1" t="str">
        <f ca="1">IFERROR(__xludf.DUMMYFUNCTION("""COMPUTED_VALUE"""),"Hosakerahalli")</f>
        <v>Hosakerahalli</v>
      </c>
      <c r="I2121" s="1"/>
      <c r="J2121" s="1" t="str">
        <f ca="1">IFERROR(__xludf.DUMMYFUNCTION("""COMPUTED_VALUE"""),"1330d 01h 02m")</f>
        <v>1330d 01h 02m</v>
      </c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13.2">
      <c r="A2122" s="1">
        <f ca="1">IFERROR(__xludf.DUMMYFUNCTION("""COMPUTED_VALUE"""),116)</f>
        <v>116</v>
      </c>
      <c r="B2122" s="1" t="str">
        <f ca="1">IFERROR(__xludf.DUMMYFUNCTION("""COMPUTED_VALUE"""),"SW4_KA04D4605_JETTING")</f>
        <v>SW4_KA04D4605_JETTING</v>
      </c>
      <c r="C2122" s="1" t="str">
        <f ca="1">IFERROR(__xludf.DUMMYFUNCTION("""COMPUTED_VALUE"""),"sw4_ka04d4605_jetting")</f>
        <v>sw4_ka04d4605_jetting</v>
      </c>
      <c r="D2122" s="2">
        <f ca="1">IFERROR(__xludf.DUMMYFUNCTION("""COMPUTED_VALUE"""),44041)</f>
        <v>44041</v>
      </c>
      <c r="E2122" s="3">
        <f ca="1">IFERROR(__xludf.DUMMYFUNCTION("""COMPUTED_VALUE"""),0.434247685185255)</f>
        <v>0.43424768518525497</v>
      </c>
      <c r="F2122" s="1">
        <f ca="1">IFERROR(__xludf.DUMMYFUNCTION("""COMPUTED_VALUE"""),17890)</f>
        <v>17890</v>
      </c>
      <c r="G2122" s="1" t="str">
        <f ca="1">IFERROR(__xludf.DUMMYFUNCTION("""COMPUTED_VALUE"""),"12.9296/77.5350")</f>
        <v>12.9296/77.5350</v>
      </c>
      <c r="H2122" s="1" t="str">
        <f ca="1">IFERROR(__xludf.DUMMYFUNCTION("""COMPUTED_VALUE"""),"Hosakerahalli")</f>
        <v>Hosakerahalli</v>
      </c>
      <c r="I2122" s="1"/>
      <c r="J2122" s="1" t="str">
        <f ca="1">IFERROR(__xludf.DUMMYFUNCTION("""COMPUTED_VALUE"""),"1330d 01h 03m")</f>
        <v>1330d 01h 03m</v>
      </c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13.2">
      <c r="A2123" s="1">
        <f ca="1">IFERROR(__xludf.DUMMYFUNCTION("""COMPUTED_VALUE"""),116)</f>
        <v>116</v>
      </c>
      <c r="B2123" s="1" t="str">
        <f ca="1">IFERROR(__xludf.DUMMYFUNCTION("""COMPUTED_VALUE"""),"SW4_KA04D4605_JETTING")</f>
        <v>SW4_KA04D4605_JETTING</v>
      </c>
      <c r="C2123" s="1" t="str">
        <f ca="1">IFERROR(__xludf.DUMMYFUNCTION("""COMPUTED_VALUE"""),"sw4_ka04d4605_jetting")</f>
        <v>sw4_ka04d4605_jetting</v>
      </c>
      <c r="D2123" s="2">
        <f ca="1">IFERROR(__xludf.DUMMYFUNCTION("""COMPUTED_VALUE"""),44041)</f>
        <v>44041</v>
      </c>
      <c r="E2123" s="3">
        <f ca="1">IFERROR(__xludf.DUMMYFUNCTION("""COMPUTED_VALUE"""),0.434247685185255)</f>
        <v>0.43424768518525497</v>
      </c>
      <c r="F2123" s="1">
        <f ca="1">IFERROR(__xludf.DUMMYFUNCTION("""COMPUTED_VALUE"""),17890)</f>
        <v>17890</v>
      </c>
      <c r="G2123" s="1" t="str">
        <f ca="1">IFERROR(__xludf.DUMMYFUNCTION("""COMPUTED_VALUE"""),"12.9296/77.5350")</f>
        <v>12.9296/77.5350</v>
      </c>
      <c r="H2123" s="1" t="str">
        <f ca="1">IFERROR(__xludf.DUMMYFUNCTION("""COMPUTED_VALUE"""),"Hosakerahalli")</f>
        <v>Hosakerahalli</v>
      </c>
      <c r="I2123" s="1"/>
      <c r="J2123" s="1" t="str">
        <f ca="1">IFERROR(__xludf.DUMMYFUNCTION("""COMPUTED_VALUE"""),"1330d 01h 05m")</f>
        <v>1330d 01h 05m</v>
      </c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13.2">
      <c r="A2124" s="1">
        <f ca="1">IFERROR(__xludf.DUMMYFUNCTION("""COMPUTED_VALUE"""),116)</f>
        <v>116</v>
      </c>
      <c r="B2124" s="1" t="str">
        <f ca="1">IFERROR(__xludf.DUMMYFUNCTION("""COMPUTED_VALUE"""),"SW4_KA04D4605_JETTING")</f>
        <v>SW4_KA04D4605_JETTING</v>
      </c>
      <c r="C2124" s="1" t="str">
        <f ca="1">IFERROR(__xludf.DUMMYFUNCTION("""COMPUTED_VALUE"""),"sw4_ka04d4605_jetting")</f>
        <v>sw4_ka04d4605_jetting</v>
      </c>
      <c r="D2124" s="2">
        <f ca="1">IFERROR(__xludf.DUMMYFUNCTION("""COMPUTED_VALUE"""),44041)</f>
        <v>44041</v>
      </c>
      <c r="E2124" s="3">
        <f ca="1">IFERROR(__xludf.DUMMYFUNCTION("""COMPUTED_VALUE"""),0.434247685185255)</f>
        <v>0.43424768518525497</v>
      </c>
      <c r="F2124" s="1">
        <f ca="1">IFERROR(__xludf.DUMMYFUNCTION("""COMPUTED_VALUE"""),17890)</f>
        <v>17890</v>
      </c>
      <c r="G2124" s="1" t="str">
        <f ca="1">IFERROR(__xludf.DUMMYFUNCTION("""COMPUTED_VALUE"""),"12.9296/77.5350")</f>
        <v>12.9296/77.5350</v>
      </c>
      <c r="H2124" s="1" t="str">
        <f ca="1">IFERROR(__xludf.DUMMYFUNCTION("""COMPUTED_VALUE"""),"Hosakerahalli")</f>
        <v>Hosakerahalli</v>
      </c>
      <c r="I2124" s="1"/>
      <c r="J2124" s="1" t="str">
        <f ca="1">IFERROR(__xludf.DUMMYFUNCTION("""COMPUTED_VALUE"""),"1330d 01h 06m")</f>
        <v>1330d 01h 06m</v>
      </c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13.2">
      <c r="A2125" s="1">
        <f ca="1">IFERROR(__xludf.DUMMYFUNCTION("""COMPUTED_VALUE"""),116)</f>
        <v>116</v>
      </c>
      <c r="B2125" s="1" t="str">
        <f ca="1">IFERROR(__xludf.DUMMYFUNCTION("""COMPUTED_VALUE"""),"SW4_KA04D4605_JETTING")</f>
        <v>SW4_KA04D4605_JETTING</v>
      </c>
      <c r="C2125" s="1" t="str">
        <f ca="1">IFERROR(__xludf.DUMMYFUNCTION("""COMPUTED_VALUE"""),"sw4_ka04d4605_jetting")</f>
        <v>sw4_ka04d4605_jetting</v>
      </c>
      <c r="D2125" s="2">
        <f ca="1">IFERROR(__xludf.DUMMYFUNCTION("""COMPUTED_VALUE"""),44041)</f>
        <v>44041</v>
      </c>
      <c r="E2125" s="3">
        <f ca="1">IFERROR(__xludf.DUMMYFUNCTION("""COMPUTED_VALUE"""),0.434247685185255)</f>
        <v>0.43424768518525497</v>
      </c>
      <c r="F2125" s="1">
        <f ca="1">IFERROR(__xludf.DUMMYFUNCTION("""COMPUTED_VALUE"""),17890)</f>
        <v>17890</v>
      </c>
      <c r="G2125" s="1" t="str">
        <f ca="1">IFERROR(__xludf.DUMMYFUNCTION("""COMPUTED_VALUE"""),"12.9296/77.5350")</f>
        <v>12.9296/77.5350</v>
      </c>
      <c r="H2125" s="1" t="str">
        <f ca="1">IFERROR(__xludf.DUMMYFUNCTION("""COMPUTED_VALUE"""),"Hosakerahalli")</f>
        <v>Hosakerahalli</v>
      </c>
      <c r="I2125" s="1"/>
      <c r="J2125" s="1" t="str">
        <f ca="1">IFERROR(__xludf.DUMMYFUNCTION("""COMPUTED_VALUE"""),"1330d 01h 07m")</f>
        <v>1330d 01h 07m</v>
      </c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13.2">
      <c r="A2126" s="1">
        <f ca="1">IFERROR(__xludf.DUMMYFUNCTION("""COMPUTED_VALUE"""),70)</f>
        <v>70</v>
      </c>
      <c r="B2126" s="1" t="str">
        <f ca="1">IFERROR(__xludf.DUMMYFUNCTION("""COMPUTED_VALUE"""),"SW4_KA04D5285_TANKER")</f>
        <v>SW4_KA04D5285_TANKER</v>
      </c>
      <c r="C2126" s="1" t="str">
        <f ca="1">IFERROR(__xludf.DUMMYFUNCTION("""COMPUTED_VALUE"""),"sw4_ka04d5285_tanker")</f>
        <v>sw4_ka04d5285_tanker</v>
      </c>
      <c r="D2126" s="2">
        <f ca="1">IFERROR(__xludf.DUMMYFUNCTION("""COMPUTED_VALUE"""),41640)</f>
        <v>41640</v>
      </c>
      <c r="E2126" s="3">
        <f ca="1">IFERROR(__xludf.DUMMYFUNCTION("""COMPUTED_VALUE"""),0.582662037035333)</f>
        <v>0.58266203703533304</v>
      </c>
      <c r="F2126" s="1">
        <f ca="1">IFERROR(__xludf.DUMMYFUNCTION("""COMPUTED_VALUE"""),27082)</f>
        <v>27082</v>
      </c>
      <c r="G2126" s="1" t="str">
        <f ca="1">IFERROR(__xludf.DUMMYFUNCTION("""COMPUTED_VALUE"""),"12.9202/77.5440")</f>
        <v>12.9202/77.5440</v>
      </c>
      <c r="H2126" s="1" t="str">
        <f ca="1">IFERROR(__xludf.DUMMYFUNCTION("""COMPUTED_VALUE"""),"Bhuvaneshwara Nagar")</f>
        <v>Bhuvaneshwara Nagar</v>
      </c>
      <c r="I2126" s="1"/>
      <c r="J2126" s="1" t="str">
        <f ca="1">IFERROR(__xludf.DUMMYFUNCTION("""COMPUTED_VALUE"""),"0d 00h 05m")</f>
        <v>0d 00h 05m</v>
      </c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13.2">
      <c r="A2127" s="1">
        <f ca="1">IFERROR(__xludf.DUMMYFUNCTION("""COMPUTED_VALUE"""),70)</f>
        <v>70</v>
      </c>
      <c r="B2127" s="1" t="str">
        <f ca="1">IFERROR(__xludf.DUMMYFUNCTION("""COMPUTED_VALUE"""),"SW4_KA04D5285_TANKER")</f>
        <v>SW4_KA04D5285_TANKER</v>
      </c>
      <c r="C2127" s="1" t="str">
        <f ca="1">IFERROR(__xludf.DUMMYFUNCTION("""COMPUTED_VALUE"""),"sw4_ka04d5285_tanker")</f>
        <v>sw4_ka04d5285_tanker</v>
      </c>
      <c r="D2127" s="2">
        <f ca="1">IFERROR(__xludf.DUMMYFUNCTION("""COMPUTED_VALUE"""),41640)</f>
        <v>41640</v>
      </c>
      <c r="E2127" s="3">
        <f ca="1">IFERROR(__xludf.DUMMYFUNCTION("""COMPUTED_VALUE"""),0.582662037035333)</f>
        <v>0.58266203703533304</v>
      </c>
      <c r="F2127" s="1">
        <f ca="1">IFERROR(__xludf.DUMMYFUNCTION("""COMPUTED_VALUE"""),27082)</f>
        <v>27082</v>
      </c>
      <c r="G2127" s="1" t="str">
        <f ca="1">IFERROR(__xludf.DUMMYFUNCTION("""COMPUTED_VALUE"""),"12.9202/77.5440")</f>
        <v>12.9202/77.5440</v>
      </c>
      <c r="H2127" s="1" t="str">
        <f ca="1">IFERROR(__xludf.DUMMYFUNCTION("""COMPUTED_VALUE"""),"Bhuvaneshwara Nagar")</f>
        <v>Bhuvaneshwara Nagar</v>
      </c>
      <c r="I2127" s="1"/>
      <c r="J2127" s="1" t="str">
        <f ca="1">IFERROR(__xludf.DUMMYFUNCTION("""COMPUTED_VALUE"""),"0d 00h 06m")</f>
        <v>0d 00h 06m</v>
      </c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13.2">
      <c r="A2128" s="1">
        <f ca="1">IFERROR(__xludf.DUMMYFUNCTION("""COMPUTED_VALUE"""),68)</f>
        <v>68</v>
      </c>
      <c r="B2128" s="1" t="str">
        <f ca="1">IFERROR(__xludf.DUMMYFUNCTION("""COMPUTED_VALUE"""),"SW4_KA04D5285_TANKER")</f>
        <v>SW4_KA04D5285_TANKER</v>
      </c>
      <c r="C2128" s="1" t="str">
        <f ca="1">IFERROR(__xludf.DUMMYFUNCTION("""COMPUTED_VALUE"""),"sw4_ka04d5285_tanker")</f>
        <v>sw4_ka04d5285_tanker</v>
      </c>
      <c r="D2128" s="2">
        <f ca="1">IFERROR(__xludf.DUMMYFUNCTION("""COMPUTED_VALUE"""),41640)</f>
        <v>41640</v>
      </c>
      <c r="E2128" s="3">
        <f ca="1">IFERROR(__xludf.DUMMYFUNCTION("""COMPUTED_VALUE"""),0.582662037035333)</f>
        <v>0.58266203703533304</v>
      </c>
      <c r="F2128" s="1">
        <f ca="1">IFERROR(__xludf.DUMMYFUNCTION("""COMPUTED_VALUE"""),27082)</f>
        <v>27082</v>
      </c>
      <c r="G2128" s="1" t="str">
        <f ca="1">IFERROR(__xludf.DUMMYFUNCTION("""COMPUTED_VALUE"""),"12.9202/77.5440")</f>
        <v>12.9202/77.5440</v>
      </c>
      <c r="H2128" s="1" t="str">
        <f ca="1">IFERROR(__xludf.DUMMYFUNCTION("""COMPUTED_VALUE"""),"Bhuvaneshwara Nagar")</f>
        <v>Bhuvaneshwara Nagar</v>
      </c>
      <c r="I2128" s="1"/>
      <c r="J2128" s="1" t="str">
        <f ca="1">IFERROR(__xludf.DUMMYFUNCTION("""COMPUTED_VALUE"""),"0d 00h 02m")</f>
        <v>0d 00h 02m</v>
      </c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13.2">
      <c r="A2129" s="1">
        <f ca="1">IFERROR(__xludf.DUMMYFUNCTION("""COMPUTED_VALUE"""),68)</f>
        <v>68</v>
      </c>
      <c r="B2129" s="1" t="str">
        <f ca="1">IFERROR(__xludf.DUMMYFUNCTION("""COMPUTED_VALUE"""),"SW4_KA04D5285_TANKER")</f>
        <v>SW4_KA04D5285_TANKER</v>
      </c>
      <c r="C2129" s="1" t="str">
        <f ca="1">IFERROR(__xludf.DUMMYFUNCTION("""COMPUTED_VALUE"""),"sw4_ka04d5285_tanker")</f>
        <v>sw4_ka04d5285_tanker</v>
      </c>
      <c r="D2129" s="2">
        <f ca="1">IFERROR(__xludf.DUMMYFUNCTION("""COMPUTED_VALUE"""),41640)</f>
        <v>41640</v>
      </c>
      <c r="E2129" s="3">
        <f ca="1">IFERROR(__xludf.DUMMYFUNCTION("""COMPUTED_VALUE"""),0.582662037035333)</f>
        <v>0.58266203703533304</v>
      </c>
      <c r="F2129" s="1">
        <f ca="1">IFERROR(__xludf.DUMMYFUNCTION("""COMPUTED_VALUE"""),27082)</f>
        <v>27082</v>
      </c>
      <c r="G2129" s="1" t="str">
        <f ca="1">IFERROR(__xludf.DUMMYFUNCTION("""COMPUTED_VALUE"""),"12.9202/77.5440")</f>
        <v>12.9202/77.5440</v>
      </c>
      <c r="H2129" s="1" t="str">
        <f ca="1">IFERROR(__xludf.DUMMYFUNCTION("""COMPUTED_VALUE"""),"Bhuvaneshwara Nagar")</f>
        <v>Bhuvaneshwara Nagar</v>
      </c>
      <c r="I2129" s="1"/>
      <c r="J2129" s="1" t="str">
        <f ca="1">IFERROR(__xludf.DUMMYFUNCTION("""COMPUTED_VALUE"""),"0d 00h 03m")</f>
        <v>0d 00h 03m</v>
      </c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13.2">
      <c r="A2130" s="1">
        <f ca="1">IFERROR(__xludf.DUMMYFUNCTION("""COMPUTED_VALUE"""),68)</f>
        <v>68</v>
      </c>
      <c r="B2130" s="1" t="str">
        <f ca="1">IFERROR(__xludf.DUMMYFUNCTION("""COMPUTED_VALUE"""),"SW4_KA04D5285_TANKER")</f>
        <v>SW4_KA04D5285_TANKER</v>
      </c>
      <c r="C2130" s="1" t="str">
        <f ca="1">IFERROR(__xludf.DUMMYFUNCTION("""COMPUTED_VALUE"""),"sw4_ka04d5285_tanker")</f>
        <v>sw4_ka04d5285_tanker</v>
      </c>
      <c r="D2130" s="2">
        <f ca="1">IFERROR(__xludf.DUMMYFUNCTION("""COMPUTED_VALUE"""),41640)</f>
        <v>41640</v>
      </c>
      <c r="E2130" s="3">
        <f ca="1">IFERROR(__xludf.DUMMYFUNCTION("""COMPUTED_VALUE"""),0.582662037035333)</f>
        <v>0.58266203703533304</v>
      </c>
      <c r="F2130" s="1">
        <f ca="1">IFERROR(__xludf.DUMMYFUNCTION("""COMPUTED_VALUE"""),27082)</f>
        <v>27082</v>
      </c>
      <c r="G2130" s="1" t="str">
        <f ca="1">IFERROR(__xludf.DUMMYFUNCTION("""COMPUTED_VALUE"""),"12.9202/77.5440")</f>
        <v>12.9202/77.5440</v>
      </c>
      <c r="H2130" s="1" t="str">
        <f ca="1">IFERROR(__xludf.DUMMYFUNCTION("""COMPUTED_VALUE"""),"Bhuvaneshwara Nagar")</f>
        <v>Bhuvaneshwara Nagar</v>
      </c>
      <c r="I2130" s="1"/>
      <c r="J2130" s="1" t="str">
        <f ca="1">IFERROR(__xludf.DUMMYFUNCTION("""COMPUTED_VALUE"""),"0d 00h 00m")</f>
        <v>0d 00h 00m</v>
      </c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13.2">
      <c r="A2131" s="1">
        <f ca="1">IFERROR(__xludf.DUMMYFUNCTION("""COMPUTED_VALUE"""),68)</f>
        <v>68</v>
      </c>
      <c r="B2131" s="1" t="str">
        <f ca="1">IFERROR(__xludf.DUMMYFUNCTION("""COMPUTED_VALUE"""),"SW4_KA04D5285_TANKER")</f>
        <v>SW4_KA04D5285_TANKER</v>
      </c>
      <c r="C2131" s="1" t="str">
        <f ca="1">IFERROR(__xludf.DUMMYFUNCTION("""COMPUTED_VALUE"""),"sw4_ka04d5285_tanker")</f>
        <v>sw4_ka04d5285_tanker</v>
      </c>
      <c r="D2131" s="2">
        <f ca="1">IFERROR(__xludf.DUMMYFUNCTION("""COMPUTED_VALUE"""),41640)</f>
        <v>41640</v>
      </c>
      <c r="E2131" s="3">
        <f ca="1">IFERROR(__xludf.DUMMYFUNCTION("""COMPUTED_VALUE"""),0.582662037035333)</f>
        <v>0.58266203703533304</v>
      </c>
      <c r="F2131" s="1">
        <f ca="1">IFERROR(__xludf.DUMMYFUNCTION("""COMPUTED_VALUE"""),27082)</f>
        <v>27082</v>
      </c>
      <c r="G2131" s="1" t="str">
        <f ca="1">IFERROR(__xludf.DUMMYFUNCTION("""COMPUTED_VALUE"""),"12.9202/77.5440")</f>
        <v>12.9202/77.5440</v>
      </c>
      <c r="H2131" s="1" t="str">
        <f ca="1">IFERROR(__xludf.DUMMYFUNCTION("""COMPUTED_VALUE"""),"Bhuvaneshwara Nagar")</f>
        <v>Bhuvaneshwara Nagar</v>
      </c>
      <c r="I2131" s="1"/>
      <c r="J2131" s="1" t="str">
        <f ca="1">IFERROR(__xludf.DUMMYFUNCTION("""COMPUTED_VALUE"""),"0d 00h 01m")</f>
        <v>0d 00h 01m</v>
      </c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13.2">
      <c r="A2132" s="1">
        <f ca="1">IFERROR(__xludf.DUMMYFUNCTION("""COMPUTED_VALUE"""),68)</f>
        <v>68</v>
      </c>
      <c r="B2132" s="1" t="str">
        <f ca="1">IFERROR(__xludf.DUMMYFUNCTION("""COMPUTED_VALUE"""),"SW4_KA04D5285_TANKER")</f>
        <v>SW4_KA04D5285_TANKER</v>
      </c>
      <c r="C2132" s="1" t="str">
        <f ca="1">IFERROR(__xludf.DUMMYFUNCTION("""COMPUTED_VALUE"""),"sw4_ka04d5285_tanker")</f>
        <v>sw4_ka04d5285_tanker</v>
      </c>
      <c r="D2132" s="2">
        <f ca="1">IFERROR(__xludf.DUMMYFUNCTION("""COMPUTED_VALUE"""),41640)</f>
        <v>41640</v>
      </c>
      <c r="E2132" s="3">
        <f ca="1">IFERROR(__xludf.DUMMYFUNCTION("""COMPUTED_VALUE"""),0.582662037035333)</f>
        <v>0.58266203703533304</v>
      </c>
      <c r="F2132" s="1">
        <f ca="1">IFERROR(__xludf.DUMMYFUNCTION("""COMPUTED_VALUE"""),27082)</f>
        <v>27082</v>
      </c>
      <c r="G2132" s="1" t="str">
        <f ca="1">IFERROR(__xludf.DUMMYFUNCTION("""COMPUTED_VALUE"""),"12.9202/77.5440")</f>
        <v>12.9202/77.5440</v>
      </c>
      <c r="H2132" s="1" t="str">
        <f ca="1">IFERROR(__xludf.DUMMYFUNCTION("""COMPUTED_VALUE"""),"Bhuvaneshwara Nagar")</f>
        <v>Bhuvaneshwara Nagar</v>
      </c>
      <c r="I2132" s="1"/>
      <c r="J2132" s="1" t="str">
        <f ca="1">IFERROR(__xludf.DUMMYFUNCTION("""COMPUTED_VALUE"""),"0d 00h 02m")</f>
        <v>0d 00h 02m</v>
      </c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13.2">
      <c r="A2133" s="1">
        <f ca="1">IFERROR(__xludf.DUMMYFUNCTION("""COMPUTED_VALUE"""),95)</f>
        <v>95</v>
      </c>
      <c r="B2133" s="1" t="str">
        <f ca="1">IFERROR(__xludf.DUMMYFUNCTION("""COMPUTED_VALUE"""),"SW4_KA04D5298_Tanker")</f>
        <v>SW4_KA04D5298_Tanker</v>
      </c>
      <c r="C2133" s="1" t="str">
        <f ca="1">IFERROR(__xludf.DUMMYFUNCTION("""COMPUTED_VALUE"""),"sw4_ka04d5298_tanker")</f>
        <v>sw4_ka04d5298_tanker</v>
      </c>
      <c r="D2133" s="2">
        <f ca="1">IFERROR(__xludf.DUMMYFUNCTION("""COMPUTED_VALUE"""),44702)</f>
        <v>44702</v>
      </c>
      <c r="E2133" s="3">
        <f ca="1">IFERROR(__xludf.DUMMYFUNCTION("""COMPUTED_VALUE"""),0.548738425924966)</f>
        <v>0.54873842592496602</v>
      </c>
      <c r="F2133" s="1">
        <f ca="1">IFERROR(__xludf.DUMMYFUNCTION("""COMPUTED_VALUE"""),32258)</f>
        <v>32258</v>
      </c>
      <c r="G2133" s="1" t="str">
        <f ca="1">IFERROR(__xludf.DUMMYFUNCTION("""COMPUTED_VALUE"""),"12.9355/77.5885")</f>
        <v>12.9355/77.5885</v>
      </c>
      <c r="H2133" s="1" t="str">
        <f ca="1">IFERROR(__xludf.DUMMYFUNCTION("""COMPUTED_VALUE"""),"Jayanagar Swimming Pool")</f>
        <v>Jayanagar Swimming Pool</v>
      </c>
      <c r="I2133" s="1"/>
      <c r="J2133" s="1" t="str">
        <f ca="1">IFERROR(__xludf.DUMMYFUNCTION("""COMPUTED_VALUE"""),"0d 00h 00m")</f>
        <v>0d 00h 00m</v>
      </c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13.2">
      <c r="A2134" s="1">
        <f ca="1">IFERROR(__xludf.DUMMYFUNCTION("""COMPUTED_VALUE"""),88)</f>
        <v>88</v>
      </c>
      <c r="B2134" s="1" t="str">
        <f ca="1">IFERROR(__xludf.DUMMYFUNCTION("""COMPUTED_VALUE"""),"SW4_KA04D5298_Tanker")</f>
        <v>SW4_KA04D5298_Tanker</v>
      </c>
      <c r="C2134" s="1" t="str">
        <f ca="1">IFERROR(__xludf.DUMMYFUNCTION("""COMPUTED_VALUE"""),"sw4_ka04d5298_tanker")</f>
        <v>sw4_ka04d5298_tanker</v>
      </c>
      <c r="D2134" s="2">
        <f ca="1">IFERROR(__xludf.DUMMYFUNCTION("""COMPUTED_VALUE"""),44730)</f>
        <v>44730</v>
      </c>
      <c r="E2134" s="3">
        <f ca="1">IFERROR(__xludf.DUMMYFUNCTION("""COMPUTED_VALUE"""),0.365046296297805)</f>
        <v>0.365046296297805</v>
      </c>
      <c r="F2134" s="1">
        <f ca="1">IFERROR(__xludf.DUMMYFUNCTION("""COMPUTED_VALUE"""),32317)</f>
        <v>32317</v>
      </c>
      <c r="G2134" s="1" t="str">
        <f ca="1">IFERROR(__xludf.DUMMYFUNCTION("""COMPUTED_VALUE"""),"12.9355/77.5890")</f>
        <v>12.9355/77.5890</v>
      </c>
      <c r="H2134" s="1" t="str">
        <f ca="1">IFERROR(__xludf.DUMMYFUNCTION("""COMPUTED_VALUE"""),"Jayanagar Swimming Pool")</f>
        <v>Jayanagar Swimming Pool</v>
      </c>
      <c r="I2134" s="1"/>
      <c r="J2134" s="1" t="str">
        <f ca="1">IFERROR(__xludf.DUMMYFUNCTION("""COMPUTED_VALUE"""),"0d 00h 00m")</f>
        <v>0d 00h 00m</v>
      </c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13.2">
      <c r="A2135" s="1">
        <f ca="1">IFERROR(__xludf.DUMMYFUNCTION("""COMPUTED_VALUE"""),93)</f>
        <v>93</v>
      </c>
      <c r="B2135" s="1" t="str">
        <f ca="1">IFERROR(__xludf.DUMMYFUNCTION("""COMPUTED_VALUE"""),"SW4_KA04D5298_Tanker")</f>
        <v>SW4_KA04D5298_Tanker</v>
      </c>
      <c r="C2135" s="1" t="str">
        <f ca="1">IFERROR(__xludf.DUMMYFUNCTION("""COMPUTED_VALUE"""),"sw4_ka04d5298_tanker")</f>
        <v>sw4_ka04d5298_tanker</v>
      </c>
      <c r="D2135" s="2">
        <f ca="1">IFERROR(__xludf.DUMMYFUNCTION("""COMPUTED_VALUE"""),44755)</f>
        <v>44755</v>
      </c>
      <c r="E2135" s="3">
        <f ca="1">IFERROR(__xludf.DUMMYFUNCTION("""COMPUTED_VALUE"""),0.570891203704377)</f>
        <v>0.57089120370437696</v>
      </c>
      <c r="F2135" s="1">
        <f ca="1">IFERROR(__xludf.DUMMYFUNCTION("""COMPUTED_VALUE"""),32327)</f>
        <v>32327</v>
      </c>
      <c r="G2135" s="1" t="str">
        <f ca="1">IFERROR(__xludf.DUMMYFUNCTION("""COMPUTED_VALUE"""),"12.9356/77.5888")</f>
        <v>12.9356/77.5888</v>
      </c>
      <c r="H2135" s="1" t="str">
        <f ca="1">IFERROR(__xludf.DUMMYFUNCTION("""COMPUTED_VALUE"""),"Jayanagar Swimming Pool")</f>
        <v>Jayanagar Swimming Pool</v>
      </c>
      <c r="I2135" s="1"/>
      <c r="J2135" s="1" t="str">
        <f ca="1">IFERROR(__xludf.DUMMYFUNCTION("""COMPUTED_VALUE"""),"0d 00h 00m")</f>
        <v>0d 00h 00m</v>
      </c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13.2">
      <c r="A2136" s="1">
        <f ca="1">IFERROR(__xludf.DUMMYFUNCTION("""COMPUTED_VALUE"""),74)</f>
        <v>74</v>
      </c>
      <c r="B2136" s="1" t="str">
        <f ca="1">IFERROR(__xludf.DUMMYFUNCTION("""COMPUTED_VALUE"""),"SW4_KA04D5298_Tanker")</f>
        <v>SW4_KA04D5298_Tanker</v>
      </c>
      <c r="C2136" s="1" t="str">
        <f ca="1">IFERROR(__xludf.DUMMYFUNCTION("""COMPUTED_VALUE"""),"sw4_ka04d5298_tanker")</f>
        <v>sw4_ka04d5298_tanker</v>
      </c>
      <c r="D2136" s="2">
        <f ca="1">IFERROR(__xludf.DUMMYFUNCTION("""COMPUTED_VALUE"""),44755)</f>
        <v>44755</v>
      </c>
      <c r="E2136" s="3">
        <f ca="1">IFERROR(__xludf.DUMMYFUNCTION("""COMPUTED_VALUE"""),0.570891203704377)</f>
        <v>0.57089120370437696</v>
      </c>
      <c r="F2136" s="1">
        <f ca="1">IFERROR(__xludf.DUMMYFUNCTION("""COMPUTED_VALUE"""),32327)</f>
        <v>32327</v>
      </c>
      <c r="G2136" s="1" t="str">
        <f ca="1">IFERROR(__xludf.DUMMYFUNCTION("""COMPUTED_VALUE"""),"12.9356/77.5888")</f>
        <v>12.9356/77.5888</v>
      </c>
      <c r="H2136" s="1" t="str">
        <f ca="1">IFERROR(__xludf.DUMMYFUNCTION("""COMPUTED_VALUE"""),"Jayanagar Swimming Pool")</f>
        <v>Jayanagar Swimming Pool</v>
      </c>
      <c r="I2136" s="1"/>
      <c r="J2136" s="1" t="str">
        <f ca="1">IFERROR(__xludf.DUMMYFUNCTION("""COMPUTED_VALUE"""),"0d 00h 00m")</f>
        <v>0d 00h 00m</v>
      </c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13.2">
      <c r="A2137" s="1">
        <f ca="1">IFERROR(__xludf.DUMMYFUNCTION("""COMPUTED_VALUE"""),196)</f>
        <v>196</v>
      </c>
      <c r="B2137" s="1" t="str">
        <f ca="1">IFERROR(__xludf.DUMMYFUNCTION("""COMPUTED_VALUE"""),"SW4_KA04D5298_Tanker")</f>
        <v>SW4_KA04D5298_Tanker</v>
      </c>
      <c r="C2137" s="1" t="str">
        <f ca="1">IFERROR(__xludf.DUMMYFUNCTION("""COMPUTED_VALUE"""),"sw4_ka04d5298_tanker")</f>
        <v>sw4_ka04d5298_tanker</v>
      </c>
      <c r="D2137" s="2">
        <f ca="1">IFERROR(__xludf.DUMMYFUNCTION("""COMPUTED_VALUE"""),44830)</f>
        <v>44830</v>
      </c>
      <c r="E2137" s="3">
        <f ca="1">IFERROR(__xludf.DUMMYFUNCTION("""COMPUTED_VALUE"""),0.999108796295331)</f>
        <v>0.999108796295331</v>
      </c>
      <c r="F2137" s="1">
        <f ca="1">IFERROR(__xludf.DUMMYFUNCTION("""COMPUTED_VALUE"""),32395)</f>
        <v>32395</v>
      </c>
      <c r="G2137" s="1" t="str">
        <f ca="1">IFERROR(__xludf.DUMMYFUNCTION("""COMPUTED_VALUE"""),"12.9355/77.5888")</f>
        <v>12.9355/77.5888</v>
      </c>
      <c r="H2137" s="1" t="str">
        <f ca="1">IFERROR(__xludf.DUMMYFUNCTION("""COMPUTED_VALUE"""),"Jayanagar Swimming Pool")</f>
        <v>Jayanagar Swimming Pool</v>
      </c>
      <c r="I2137" s="1"/>
      <c r="J2137" s="1" t="str">
        <f ca="1">IFERROR(__xludf.DUMMYFUNCTION("""COMPUTED_VALUE"""),"0d 00h 00m")</f>
        <v>0d 00h 00m</v>
      </c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13.2">
      <c r="A2138" s="1">
        <f ca="1">IFERROR(__xludf.DUMMYFUNCTION("""COMPUTED_VALUE"""),216)</f>
        <v>216</v>
      </c>
      <c r="B2138" s="1" t="str">
        <f ca="1">IFERROR(__xludf.DUMMYFUNCTION("""COMPUTED_VALUE"""),"SW4_KA04D5298_Tanker")</f>
        <v>SW4_KA04D5298_Tanker</v>
      </c>
      <c r="C2138" s="1" t="str">
        <f ca="1">IFERROR(__xludf.DUMMYFUNCTION("""COMPUTED_VALUE"""),"sw4_ka04d5298_tanker")</f>
        <v>sw4_ka04d5298_tanker</v>
      </c>
      <c r="D2138" s="2">
        <f ca="1">IFERROR(__xludf.DUMMYFUNCTION("""COMPUTED_VALUE"""),44860)</f>
        <v>44860</v>
      </c>
      <c r="E2138" s="3">
        <f ca="1">IFERROR(__xludf.DUMMYFUNCTION("""COMPUTED_VALUE"""),0.999224537037662)</f>
        <v>0.99922453703766201</v>
      </c>
      <c r="F2138" s="1">
        <f ca="1">IFERROR(__xludf.DUMMYFUNCTION("""COMPUTED_VALUE"""),32663)</f>
        <v>32663</v>
      </c>
      <c r="G2138" s="1" t="str">
        <f ca="1">IFERROR(__xludf.DUMMYFUNCTION("""COMPUTED_VALUE"""),"12.9356/77.5889")</f>
        <v>12.9356/77.5889</v>
      </c>
      <c r="H2138" s="1" t="str">
        <f ca="1">IFERROR(__xludf.DUMMYFUNCTION("""COMPUTED_VALUE"""),"Jayanagar Swimming Pool")</f>
        <v>Jayanagar Swimming Pool</v>
      </c>
      <c r="I2138" s="1"/>
      <c r="J2138" s="1" t="str">
        <f ca="1">IFERROR(__xludf.DUMMYFUNCTION("""COMPUTED_VALUE"""),"0d 00h 00m")</f>
        <v>0d 00h 00m</v>
      </c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13.2">
      <c r="A2139" s="1">
        <f ca="1">IFERROR(__xludf.DUMMYFUNCTION("""COMPUTED_VALUE"""),51)</f>
        <v>51</v>
      </c>
      <c r="B2139" s="1" t="str">
        <f ca="1">IFERROR(__xludf.DUMMYFUNCTION("""COMPUTED_VALUE"""),"SW4_KA05B6540_Jetting")</f>
        <v>SW4_KA05B6540_Jetting</v>
      </c>
      <c r="C2139" s="1" t="str">
        <f ca="1">IFERROR(__xludf.DUMMYFUNCTION("""COMPUTED_VALUE"""),"sw4_ka05b6540_jetting")</f>
        <v>sw4_ka05b6540_jetting</v>
      </c>
      <c r="D2139" s="2">
        <f ca="1">IFERROR(__xludf.DUMMYFUNCTION("""COMPUTED_VALUE"""),44610)</f>
        <v>44610</v>
      </c>
      <c r="E2139" s="3">
        <f ca="1">IFERROR(__xludf.DUMMYFUNCTION("""COMPUTED_VALUE"""),0.627627314814162)</f>
        <v>0.62762731481416201</v>
      </c>
      <c r="F2139" s="1">
        <f ca="1">IFERROR(__xludf.DUMMYFUNCTION("""COMPUTED_VALUE"""),14805)</f>
        <v>14805</v>
      </c>
      <c r="G2139" s="1" t="str">
        <f ca="1">IFERROR(__xludf.DUMMYFUNCTION("""COMPUTED_VALUE"""),"12.9419/77.5813")</f>
        <v>12.9419/77.5813</v>
      </c>
      <c r="H2139" s="1" t="str">
        <f ca="1">IFERROR(__xludf.DUMMYFUNCTION("""COMPUTED_VALUE"""),"Rv Road")</f>
        <v>Rv Road</v>
      </c>
      <c r="I2139" s="1"/>
      <c r="J2139" s="1" t="str">
        <f ca="1">IFERROR(__xludf.DUMMYFUNCTION("""COMPUTED_VALUE"""),"13d 13h 27m")</f>
        <v>13d 13h 27m</v>
      </c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13.2">
      <c r="A2140" s="1">
        <f ca="1">IFERROR(__xludf.DUMMYFUNCTION("""COMPUTED_VALUE"""),44)</f>
        <v>44</v>
      </c>
      <c r="B2140" s="1" t="str">
        <f ca="1">IFERROR(__xludf.DUMMYFUNCTION("""COMPUTED_VALUE"""),"SW4_KA05B6540_Jetting")</f>
        <v>SW4_KA05B6540_Jetting</v>
      </c>
      <c r="C2140" s="1" t="str">
        <f ca="1">IFERROR(__xludf.DUMMYFUNCTION("""COMPUTED_VALUE"""),"sw4_ka05b6540_jetting")</f>
        <v>sw4_ka05b6540_jetting</v>
      </c>
      <c r="D2140" s="2">
        <f ca="1">IFERROR(__xludf.DUMMYFUNCTION("""COMPUTED_VALUE"""),44610)</f>
        <v>44610</v>
      </c>
      <c r="E2140" s="3">
        <f ca="1">IFERROR(__xludf.DUMMYFUNCTION("""COMPUTED_VALUE"""),0.627627314814162)</f>
        <v>0.62762731481416201</v>
      </c>
      <c r="F2140" s="1">
        <f ca="1">IFERROR(__xludf.DUMMYFUNCTION("""COMPUTED_VALUE"""),14805)</f>
        <v>14805</v>
      </c>
      <c r="G2140" s="1" t="str">
        <f ca="1">IFERROR(__xludf.DUMMYFUNCTION("""COMPUTED_VALUE"""),"12.9419/77.5813")</f>
        <v>12.9419/77.5813</v>
      </c>
      <c r="H2140" s="1" t="str">
        <f ca="1">IFERROR(__xludf.DUMMYFUNCTION("""COMPUTED_VALUE"""),"Rv Road")</f>
        <v>Rv Road</v>
      </c>
      <c r="I2140" s="1"/>
      <c r="J2140" s="1" t="str">
        <f ca="1">IFERROR(__xludf.DUMMYFUNCTION("""COMPUTED_VALUE"""),"13d 13h 28m")</f>
        <v>13d 13h 28m</v>
      </c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13.2">
      <c r="A2141" s="1">
        <f ca="1">IFERROR(__xludf.DUMMYFUNCTION("""COMPUTED_VALUE"""),43)</f>
        <v>43</v>
      </c>
      <c r="B2141" s="1" t="str">
        <f ca="1">IFERROR(__xludf.DUMMYFUNCTION("""COMPUTED_VALUE"""),"SW4_KA05B6540_Jetting")</f>
        <v>SW4_KA05B6540_Jetting</v>
      </c>
      <c r="C2141" s="1" t="str">
        <f ca="1">IFERROR(__xludf.DUMMYFUNCTION("""COMPUTED_VALUE"""),"sw4_ka05b6540_jetting")</f>
        <v>sw4_ka05b6540_jetting</v>
      </c>
      <c r="D2141" s="2">
        <f ca="1">IFERROR(__xludf.DUMMYFUNCTION("""COMPUTED_VALUE"""),44610)</f>
        <v>44610</v>
      </c>
      <c r="E2141" s="3">
        <f ca="1">IFERROR(__xludf.DUMMYFUNCTION("""COMPUTED_VALUE"""),0.627627314814162)</f>
        <v>0.62762731481416201</v>
      </c>
      <c r="F2141" s="1">
        <f ca="1">IFERROR(__xludf.DUMMYFUNCTION("""COMPUTED_VALUE"""),14805)</f>
        <v>14805</v>
      </c>
      <c r="G2141" s="1" t="str">
        <f ca="1">IFERROR(__xludf.DUMMYFUNCTION("""COMPUTED_VALUE"""),"12.9419/77.5813")</f>
        <v>12.9419/77.5813</v>
      </c>
      <c r="H2141" s="1" t="str">
        <f ca="1">IFERROR(__xludf.DUMMYFUNCTION("""COMPUTED_VALUE"""),"Rv Road")</f>
        <v>Rv Road</v>
      </c>
      <c r="I2141" s="1"/>
      <c r="J2141" s="1" t="str">
        <f ca="1">IFERROR(__xludf.DUMMYFUNCTION("""COMPUTED_VALUE"""),"13d 13h 29m")</f>
        <v>13d 13h 29m</v>
      </c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13.2">
      <c r="A2142" s="1">
        <f ca="1">IFERROR(__xludf.DUMMYFUNCTION("""COMPUTED_VALUE"""),43)</f>
        <v>43</v>
      </c>
      <c r="B2142" s="1" t="str">
        <f ca="1">IFERROR(__xludf.DUMMYFUNCTION("""COMPUTED_VALUE"""),"SW4_KA05B6540_Jetting")</f>
        <v>SW4_KA05B6540_Jetting</v>
      </c>
      <c r="C2142" s="1" t="str">
        <f ca="1">IFERROR(__xludf.DUMMYFUNCTION("""COMPUTED_VALUE"""),"sw4_ka05b6540_jetting")</f>
        <v>sw4_ka05b6540_jetting</v>
      </c>
      <c r="D2142" s="2">
        <f ca="1">IFERROR(__xludf.DUMMYFUNCTION("""COMPUTED_VALUE"""),44610)</f>
        <v>44610</v>
      </c>
      <c r="E2142" s="3">
        <f ca="1">IFERROR(__xludf.DUMMYFUNCTION("""COMPUTED_VALUE"""),0.627627314814162)</f>
        <v>0.62762731481416201</v>
      </c>
      <c r="F2142" s="1">
        <f ca="1">IFERROR(__xludf.DUMMYFUNCTION("""COMPUTED_VALUE"""),14805)</f>
        <v>14805</v>
      </c>
      <c r="G2142" s="1" t="str">
        <f ca="1">IFERROR(__xludf.DUMMYFUNCTION("""COMPUTED_VALUE"""),"12.9419/77.5813")</f>
        <v>12.9419/77.5813</v>
      </c>
      <c r="H2142" s="1" t="str">
        <f ca="1">IFERROR(__xludf.DUMMYFUNCTION("""COMPUTED_VALUE"""),"Rv Road")</f>
        <v>Rv Road</v>
      </c>
      <c r="I2142" s="1"/>
      <c r="J2142" s="1" t="str">
        <f ca="1">IFERROR(__xludf.DUMMYFUNCTION("""COMPUTED_VALUE"""),"13d 13h 30m")</f>
        <v>13d 13h 30m</v>
      </c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13.2">
      <c r="A2143" s="1">
        <f ca="1">IFERROR(__xludf.DUMMYFUNCTION("""COMPUTED_VALUE"""),40)</f>
        <v>40</v>
      </c>
      <c r="B2143" s="1" t="str">
        <f ca="1">IFERROR(__xludf.DUMMYFUNCTION("""COMPUTED_VALUE"""),"SW4_KA05B6540_Jetting")</f>
        <v>SW4_KA05B6540_Jetting</v>
      </c>
      <c r="C2143" s="1" t="str">
        <f ca="1">IFERROR(__xludf.DUMMYFUNCTION("""COMPUTED_VALUE"""),"sw4_ka05b6540_jetting")</f>
        <v>sw4_ka05b6540_jetting</v>
      </c>
      <c r="D2143" s="2">
        <f ca="1">IFERROR(__xludf.DUMMYFUNCTION("""COMPUTED_VALUE"""),44610)</f>
        <v>44610</v>
      </c>
      <c r="E2143" s="3">
        <f ca="1">IFERROR(__xludf.DUMMYFUNCTION("""COMPUTED_VALUE"""),0.627627314814162)</f>
        <v>0.62762731481416201</v>
      </c>
      <c r="F2143" s="1">
        <f ca="1">IFERROR(__xludf.DUMMYFUNCTION("""COMPUTED_VALUE"""),14805)</f>
        <v>14805</v>
      </c>
      <c r="G2143" s="1" t="str">
        <f ca="1">IFERROR(__xludf.DUMMYFUNCTION("""COMPUTED_VALUE"""),"12.9419/77.5813")</f>
        <v>12.9419/77.5813</v>
      </c>
      <c r="H2143" s="1" t="str">
        <f ca="1">IFERROR(__xludf.DUMMYFUNCTION("""COMPUTED_VALUE"""),"Rv Road")</f>
        <v>Rv Road</v>
      </c>
      <c r="I2143" s="1"/>
      <c r="J2143" s="1" t="str">
        <f ca="1">IFERROR(__xludf.DUMMYFUNCTION("""COMPUTED_VALUE"""),"13d 13h 31m")</f>
        <v>13d 13h 31m</v>
      </c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13.2">
      <c r="A2144" s="1">
        <f ca="1">IFERROR(__xludf.DUMMYFUNCTION("""COMPUTED_VALUE"""),40)</f>
        <v>40</v>
      </c>
      <c r="B2144" s="1" t="str">
        <f ca="1">IFERROR(__xludf.DUMMYFUNCTION("""COMPUTED_VALUE"""),"SW4_KA05B6540_Jetting")</f>
        <v>SW4_KA05B6540_Jetting</v>
      </c>
      <c r="C2144" s="1" t="str">
        <f ca="1">IFERROR(__xludf.DUMMYFUNCTION("""COMPUTED_VALUE"""),"sw4_ka05b6540_jetting")</f>
        <v>sw4_ka05b6540_jetting</v>
      </c>
      <c r="D2144" s="2">
        <f ca="1">IFERROR(__xludf.DUMMYFUNCTION("""COMPUTED_VALUE"""),44610)</f>
        <v>44610</v>
      </c>
      <c r="E2144" s="3">
        <f ca="1">IFERROR(__xludf.DUMMYFUNCTION("""COMPUTED_VALUE"""),0.627627314814162)</f>
        <v>0.62762731481416201</v>
      </c>
      <c r="F2144" s="1">
        <f ca="1">IFERROR(__xludf.DUMMYFUNCTION("""COMPUTED_VALUE"""),14805)</f>
        <v>14805</v>
      </c>
      <c r="G2144" s="1" t="str">
        <f ca="1">IFERROR(__xludf.DUMMYFUNCTION("""COMPUTED_VALUE"""),"12.9419/77.5813")</f>
        <v>12.9419/77.5813</v>
      </c>
      <c r="H2144" s="1" t="str">
        <f ca="1">IFERROR(__xludf.DUMMYFUNCTION("""COMPUTED_VALUE"""),"Rv Road")</f>
        <v>Rv Road</v>
      </c>
      <c r="I2144" s="1"/>
      <c r="J2144" s="1" t="str">
        <f ca="1">IFERROR(__xludf.DUMMYFUNCTION("""COMPUTED_VALUE"""),"13d 13h 31m")</f>
        <v>13d 13h 31m</v>
      </c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13.2">
      <c r="A2145" s="1">
        <f ca="1">IFERROR(__xludf.DUMMYFUNCTION("""COMPUTED_VALUE"""),15)</f>
        <v>15</v>
      </c>
      <c r="B2145" s="1" t="str">
        <f ca="1">IFERROR(__xludf.DUMMYFUNCTION("""COMPUTED_VALUE"""),"SW4_KA05D8079_Tanker")</f>
        <v>SW4_KA05D8079_Tanker</v>
      </c>
      <c r="C2145" s="1" t="str">
        <f ca="1">IFERROR(__xludf.DUMMYFUNCTION("""COMPUTED_VALUE"""),"sw4_ka05d8079_tanker")</f>
        <v>sw4_ka05d8079_tanker</v>
      </c>
      <c r="D2145" s="2">
        <f ca="1">IFERROR(__xludf.DUMMYFUNCTION("""COMPUTED_VALUE"""),43839)</f>
        <v>43839</v>
      </c>
      <c r="E2145" s="3">
        <f ca="1">IFERROR(__xludf.DUMMYFUNCTION("""COMPUTED_VALUE"""),0.590729166666278)</f>
        <v>0.59072916666627795</v>
      </c>
      <c r="F2145" s="1">
        <f ca="1">IFERROR(__xludf.DUMMYFUNCTION("""COMPUTED_VALUE"""),16856)</f>
        <v>16856</v>
      </c>
      <c r="G2145" s="1" t="str">
        <f ca="1">IFERROR(__xludf.DUMMYFUNCTION("""COMPUTED_VALUE"""),"12.9707/77.5910")</f>
        <v>12.9707/77.5910</v>
      </c>
      <c r="H2145" s="1" t="str">
        <f ca="1">IFERROR(__xludf.DUMMYFUNCTION("""COMPUTED_VALUE"""),"Iris Hotel")</f>
        <v>Iris Hotel</v>
      </c>
      <c r="I2145" s="1"/>
      <c r="J2145" s="1" t="str">
        <f ca="1">IFERROR(__xludf.DUMMYFUNCTION("""COMPUTED_VALUE"""),"1077d 20h 14m")</f>
        <v>1077d 20h 14m</v>
      </c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13.2">
      <c r="A2146" s="1">
        <f ca="1">IFERROR(__xludf.DUMMYFUNCTION("""COMPUTED_VALUE"""),15)</f>
        <v>15</v>
      </c>
      <c r="B2146" s="1" t="str">
        <f ca="1">IFERROR(__xludf.DUMMYFUNCTION("""COMPUTED_VALUE"""),"SW4_KA05D8079_Tanker")</f>
        <v>SW4_KA05D8079_Tanker</v>
      </c>
      <c r="C2146" s="1" t="str">
        <f ca="1">IFERROR(__xludf.DUMMYFUNCTION("""COMPUTED_VALUE"""),"sw4_ka05d8079_tanker")</f>
        <v>sw4_ka05d8079_tanker</v>
      </c>
      <c r="D2146" s="2">
        <f ca="1">IFERROR(__xludf.DUMMYFUNCTION("""COMPUTED_VALUE"""),43839)</f>
        <v>43839</v>
      </c>
      <c r="E2146" s="3">
        <f ca="1">IFERROR(__xludf.DUMMYFUNCTION("""COMPUTED_VALUE"""),0.590729166666278)</f>
        <v>0.59072916666627795</v>
      </c>
      <c r="F2146" s="1">
        <f ca="1">IFERROR(__xludf.DUMMYFUNCTION("""COMPUTED_VALUE"""),16856)</f>
        <v>16856</v>
      </c>
      <c r="G2146" s="1" t="str">
        <f ca="1">IFERROR(__xludf.DUMMYFUNCTION("""COMPUTED_VALUE"""),"12.9707/77.5910")</f>
        <v>12.9707/77.5910</v>
      </c>
      <c r="H2146" s="1" t="str">
        <f ca="1">IFERROR(__xludf.DUMMYFUNCTION("""COMPUTED_VALUE"""),"Iris Hotel")</f>
        <v>Iris Hotel</v>
      </c>
      <c r="I2146" s="1"/>
      <c r="J2146" s="1" t="str">
        <f ca="1">IFERROR(__xludf.DUMMYFUNCTION("""COMPUTED_VALUE"""),"1077d 20h 15m")</f>
        <v>1077d 20h 15m</v>
      </c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13.2">
      <c r="A2147" s="1">
        <f ca="1">IFERROR(__xludf.DUMMYFUNCTION("""COMPUTED_VALUE"""),15)</f>
        <v>15</v>
      </c>
      <c r="B2147" s="1" t="str">
        <f ca="1">IFERROR(__xludf.DUMMYFUNCTION("""COMPUTED_VALUE"""),"SW4_KA05D8079_Tanker")</f>
        <v>SW4_KA05D8079_Tanker</v>
      </c>
      <c r="C2147" s="1" t="str">
        <f ca="1">IFERROR(__xludf.DUMMYFUNCTION("""COMPUTED_VALUE"""),"sw4_ka05d8079_tanker")</f>
        <v>sw4_ka05d8079_tanker</v>
      </c>
      <c r="D2147" s="2">
        <f ca="1">IFERROR(__xludf.DUMMYFUNCTION("""COMPUTED_VALUE"""),43839)</f>
        <v>43839</v>
      </c>
      <c r="E2147" s="3">
        <f ca="1">IFERROR(__xludf.DUMMYFUNCTION("""COMPUTED_VALUE"""),0.590729166666278)</f>
        <v>0.59072916666627795</v>
      </c>
      <c r="F2147" s="1">
        <f ca="1">IFERROR(__xludf.DUMMYFUNCTION("""COMPUTED_VALUE"""),16856)</f>
        <v>16856</v>
      </c>
      <c r="G2147" s="1" t="str">
        <f ca="1">IFERROR(__xludf.DUMMYFUNCTION("""COMPUTED_VALUE"""),"12.9707/77.5910")</f>
        <v>12.9707/77.5910</v>
      </c>
      <c r="H2147" s="1" t="str">
        <f ca="1">IFERROR(__xludf.DUMMYFUNCTION("""COMPUTED_VALUE"""),"Iris Hotel")</f>
        <v>Iris Hotel</v>
      </c>
      <c r="I2147" s="1"/>
      <c r="J2147" s="1" t="str">
        <f ca="1">IFERROR(__xludf.DUMMYFUNCTION("""COMPUTED_VALUE"""),"1077d 20h 16m")</f>
        <v>1077d 20h 16m</v>
      </c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13.2">
      <c r="A2148" s="1">
        <f ca="1">IFERROR(__xludf.DUMMYFUNCTION("""COMPUTED_VALUE"""),15)</f>
        <v>15</v>
      </c>
      <c r="B2148" s="1" t="str">
        <f ca="1">IFERROR(__xludf.DUMMYFUNCTION("""COMPUTED_VALUE"""),"SW4_KA05D8079_Tanker")</f>
        <v>SW4_KA05D8079_Tanker</v>
      </c>
      <c r="C2148" s="1" t="str">
        <f ca="1">IFERROR(__xludf.DUMMYFUNCTION("""COMPUTED_VALUE"""),"sw4_ka05d8079_tanker")</f>
        <v>sw4_ka05d8079_tanker</v>
      </c>
      <c r="D2148" s="2">
        <f ca="1">IFERROR(__xludf.DUMMYFUNCTION("""COMPUTED_VALUE"""),43839)</f>
        <v>43839</v>
      </c>
      <c r="E2148" s="3">
        <f ca="1">IFERROR(__xludf.DUMMYFUNCTION("""COMPUTED_VALUE"""),0.590729166666278)</f>
        <v>0.59072916666627795</v>
      </c>
      <c r="F2148" s="1">
        <f ca="1">IFERROR(__xludf.DUMMYFUNCTION("""COMPUTED_VALUE"""),16856)</f>
        <v>16856</v>
      </c>
      <c r="G2148" s="1" t="str">
        <f ca="1">IFERROR(__xludf.DUMMYFUNCTION("""COMPUTED_VALUE"""),"12.9707/77.5910")</f>
        <v>12.9707/77.5910</v>
      </c>
      <c r="H2148" s="1" t="str">
        <f ca="1">IFERROR(__xludf.DUMMYFUNCTION("""COMPUTED_VALUE"""),"Iris Hotel")</f>
        <v>Iris Hotel</v>
      </c>
      <c r="I2148" s="1"/>
      <c r="J2148" s="1" t="str">
        <f ca="1">IFERROR(__xludf.DUMMYFUNCTION("""COMPUTED_VALUE"""),"1077d 20h 17m")</f>
        <v>1077d 20h 17m</v>
      </c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13.2">
      <c r="A2149" s="1">
        <f ca="1">IFERROR(__xludf.DUMMYFUNCTION("""COMPUTED_VALUE"""),15)</f>
        <v>15</v>
      </c>
      <c r="B2149" s="1" t="str">
        <f ca="1">IFERROR(__xludf.DUMMYFUNCTION("""COMPUTED_VALUE"""),"SW4_KA05D8079_Tanker")</f>
        <v>SW4_KA05D8079_Tanker</v>
      </c>
      <c r="C2149" s="1" t="str">
        <f ca="1">IFERROR(__xludf.DUMMYFUNCTION("""COMPUTED_VALUE"""),"sw4_ka05d8079_tanker")</f>
        <v>sw4_ka05d8079_tanker</v>
      </c>
      <c r="D2149" s="2">
        <f ca="1">IFERROR(__xludf.DUMMYFUNCTION("""COMPUTED_VALUE"""),43839)</f>
        <v>43839</v>
      </c>
      <c r="E2149" s="3">
        <f ca="1">IFERROR(__xludf.DUMMYFUNCTION("""COMPUTED_VALUE"""),0.590729166666278)</f>
        <v>0.59072916666627795</v>
      </c>
      <c r="F2149" s="1">
        <f ca="1">IFERROR(__xludf.DUMMYFUNCTION("""COMPUTED_VALUE"""),16856)</f>
        <v>16856</v>
      </c>
      <c r="G2149" s="1" t="str">
        <f ca="1">IFERROR(__xludf.DUMMYFUNCTION("""COMPUTED_VALUE"""),"12.9707/77.5910")</f>
        <v>12.9707/77.5910</v>
      </c>
      <c r="H2149" s="1" t="str">
        <f ca="1">IFERROR(__xludf.DUMMYFUNCTION("""COMPUTED_VALUE"""),"Iris Hotel")</f>
        <v>Iris Hotel</v>
      </c>
      <c r="I2149" s="1"/>
      <c r="J2149" s="1" t="str">
        <f ca="1">IFERROR(__xludf.DUMMYFUNCTION("""COMPUTED_VALUE"""),"1077d 20h 18m")</f>
        <v>1077d 20h 18m</v>
      </c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13.2">
      <c r="A2150" s="1">
        <f ca="1">IFERROR(__xludf.DUMMYFUNCTION("""COMPUTED_VALUE"""),15)</f>
        <v>15</v>
      </c>
      <c r="B2150" s="1" t="str">
        <f ca="1">IFERROR(__xludf.DUMMYFUNCTION("""COMPUTED_VALUE"""),"SW4_KA05D8079_Tanker")</f>
        <v>SW4_KA05D8079_Tanker</v>
      </c>
      <c r="C2150" s="1" t="str">
        <f ca="1">IFERROR(__xludf.DUMMYFUNCTION("""COMPUTED_VALUE"""),"sw4_ka05d8079_tanker")</f>
        <v>sw4_ka05d8079_tanker</v>
      </c>
      <c r="D2150" s="2">
        <f ca="1">IFERROR(__xludf.DUMMYFUNCTION("""COMPUTED_VALUE"""),43839)</f>
        <v>43839</v>
      </c>
      <c r="E2150" s="3">
        <f ca="1">IFERROR(__xludf.DUMMYFUNCTION("""COMPUTED_VALUE"""),0.590729166666278)</f>
        <v>0.59072916666627795</v>
      </c>
      <c r="F2150" s="1">
        <f ca="1">IFERROR(__xludf.DUMMYFUNCTION("""COMPUTED_VALUE"""),16856)</f>
        <v>16856</v>
      </c>
      <c r="G2150" s="1" t="str">
        <f ca="1">IFERROR(__xludf.DUMMYFUNCTION("""COMPUTED_VALUE"""),"12.9707/77.5910")</f>
        <v>12.9707/77.5910</v>
      </c>
      <c r="H2150" s="1" t="str">
        <f ca="1">IFERROR(__xludf.DUMMYFUNCTION("""COMPUTED_VALUE"""),"Iris Hotel")</f>
        <v>Iris Hotel</v>
      </c>
      <c r="I2150" s="1"/>
      <c r="J2150" s="1" t="str">
        <f ca="1">IFERROR(__xludf.DUMMYFUNCTION("""COMPUTED_VALUE"""),"1077d 20h 18m")</f>
        <v>1077d 20h 18m</v>
      </c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13.2">
      <c r="A2151" s="1">
        <f ca="1">IFERROR(__xludf.DUMMYFUNCTION("""COMPUTED_VALUE"""),71)</f>
        <v>71</v>
      </c>
      <c r="B2151" s="1" t="str">
        <f ca="1">IFERROR(__xludf.DUMMYFUNCTION("""COMPUTED_VALUE"""),"SW5_KA03C5043_TANKER")</f>
        <v>SW5_KA03C5043_TANKER</v>
      </c>
      <c r="C2151" s="1" t="str">
        <f ca="1">IFERROR(__xludf.DUMMYFUNCTION("""COMPUTED_VALUE"""),"sw5_ka03c5043_tanker")</f>
        <v>sw5_ka03c5043_tanker</v>
      </c>
      <c r="D2151" s="2">
        <f ca="1">IFERROR(__xludf.DUMMYFUNCTION("""COMPUTED_VALUE"""),41640)</f>
        <v>41640</v>
      </c>
      <c r="E2151" s="3">
        <f ca="1">IFERROR(__xludf.DUMMYFUNCTION("""COMPUTED_VALUE"""),0.594328703704377)</f>
        <v>0.59432870370437696</v>
      </c>
      <c r="F2151" s="1">
        <f ca="1">IFERROR(__xludf.DUMMYFUNCTION("""COMPUTED_VALUE"""),43140)</f>
        <v>43140</v>
      </c>
      <c r="G2151" s="1" t="str">
        <f ca="1">IFERROR(__xludf.DUMMYFUNCTION("""COMPUTED_VALUE"""),"12.9000/77.5600")</f>
        <v>12.9000/77.5600</v>
      </c>
      <c r="H2151" s="1" t="str">
        <f ca="1">IFERROR(__xludf.DUMMYFUNCTION("""COMPUTED_VALUE"""),"ISRO Layout")</f>
        <v>ISRO Layout</v>
      </c>
      <c r="I2151" s="1"/>
      <c r="J2151" s="1" t="str">
        <f ca="1">IFERROR(__xludf.DUMMYFUNCTION("""COMPUTED_VALUE"""),"0d 00h 00m")</f>
        <v>0d 00h 00m</v>
      </c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13.2">
      <c r="A2152" s="1">
        <f ca="1">IFERROR(__xludf.DUMMYFUNCTION("""COMPUTED_VALUE"""),71)</f>
        <v>71</v>
      </c>
      <c r="B2152" s="1" t="str">
        <f ca="1">IFERROR(__xludf.DUMMYFUNCTION("""COMPUTED_VALUE"""),"SW5_KA03C5043_TANKER")</f>
        <v>SW5_KA03C5043_TANKER</v>
      </c>
      <c r="C2152" s="1" t="str">
        <f ca="1">IFERROR(__xludf.DUMMYFUNCTION("""COMPUTED_VALUE"""),"sw5_ka03c5043_tanker")</f>
        <v>sw5_ka03c5043_tanker</v>
      </c>
      <c r="D2152" s="2">
        <f ca="1">IFERROR(__xludf.DUMMYFUNCTION("""COMPUTED_VALUE"""),41640)</f>
        <v>41640</v>
      </c>
      <c r="E2152" s="3">
        <f ca="1">IFERROR(__xludf.DUMMYFUNCTION("""COMPUTED_VALUE"""),0.594328703704377)</f>
        <v>0.59432870370437696</v>
      </c>
      <c r="F2152" s="1">
        <f ca="1">IFERROR(__xludf.DUMMYFUNCTION("""COMPUTED_VALUE"""),43140)</f>
        <v>43140</v>
      </c>
      <c r="G2152" s="1" t="str">
        <f ca="1">IFERROR(__xludf.DUMMYFUNCTION("""COMPUTED_VALUE"""),"12.9000/77.5600")</f>
        <v>12.9000/77.5600</v>
      </c>
      <c r="H2152" s="1" t="str">
        <f ca="1">IFERROR(__xludf.DUMMYFUNCTION("""COMPUTED_VALUE"""),"ISRO Layout")</f>
        <v>ISRO Layout</v>
      </c>
      <c r="I2152" s="1"/>
      <c r="J2152" s="1" t="str">
        <f ca="1">IFERROR(__xludf.DUMMYFUNCTION("""COMPUTED_VALUE"""),"0d 00h 00m")</f>
        <v>0d 00h 00m</v>
      </c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13.2">
      <c r="A2153" s="1">
        <f ca="1">IFERROR(__xludf.DUMMYFUNCTION("""COMPUTED_VALUE"""),69)</f>
        <v>69</v>
      </c>
      <c r="B2153" s="1" t="str">
        <f ca="1">IFERROR(__xludf.DUMMYFUNCTION("""COMPUTED_VALUE"""),"SW5_KA03C5043_TANKER")</f>
        <v>SW5_KA03C5043_TANKER</v>
      </c>
      <c r="C2153" s="1" t="str">
        <f ca="1">IFERROR(__xludf.DUMMYFUNCTION("""COMPUTED_VALUE"""),"sw5_ka03c5043_tanker")</f>
        <v>sw5_ka03c5043_tanker</v>
      </c>
      <c r="D2153" s="2">
        <f ca="1">IFERROR(__xludf.DUMMYFUNCTION("""COMPUTED_VALUE"""),41640)</f>
        <v>41640</v>
      </c>
      <c r="E2153" s="3">
        <f ca="1">IFERROR(__xludf.DUMMYFUNCTION("""COMPUTED_VALUE"""),0.594328703704377)</f>
        <v>0.59432870370437696</v>
      </c>
      <c r="F2153" s="1">
        <f ca="1">IFERROR(__xludf.DUMMYFUNCTION("""COMPUTED_VALUE"""),43140)</f>
        <v>43140</v>
      </c>
      <c r="G2153" s="1" t="str">
        <f ca="1">IFERROR(__xludf.DUMMYFUNCTION("""COMPUTED_VALUE"""),"12.9000/77.5600")</f>
        <v>12.9000/77.5600</v>
      </c>
      <c r="H2153" s="1" t="str">
        <f ca="1">IFERROR(__xludf.DUMMYFUNCTION("""COMPUTED_VALUE"""),"ISRO Layout")</f>
        <v>ISRO Layout</v>
      </c>
      <c r="I2153" s="1"/>
      <c r="J2153" s="1" t="str">
        <f ca="1">IFERROR(__xludf.DUMMYFUNCTION("""COMPUTED_VALUE"""),"0d 00h 00m")</f>
        <v>0d 00h 00m</v>
      </c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13.2">
      <c r="A2154" s="1">
        <f ca="1">IFERROR(__xludf.DUMMYFUNCTION("""COMPUTED_VALUE"""),69)</f>
        <v>69</v>
      </c>
      <c r="B2154" s="1" t="str">
        <f ca="1">IFERROR(__xludf.DUMMYFUNCTION("""COMPUTED_VALUE"""),"SW5_KA03C5043_TANKER")</f>
        <v>SW5_KA03C5043_TANKER</v>
      </c>
      <c r="C2154" s="1" t="str">
        <f ca="1">IFERROR(__xludf.DUMMYFUNCTION("""COMPUTED_VALUE"""),"sw5_ka03c5043_tanker")</f>
        <v>sw5_ka03c5043_tanker</v>
      </c>
      <c r="D2154" s="2">
        <f ca="1">IFERROR(__xludf.DUMMYFUNCTION("""COMPUTED_VALUE"""),41640)</f>
        <v>41640</v>
      </c>
      <c r="E2154" s="3">
        <f ca="1">IFERROR(__xludf.DUMMYFUNCTION("""COMPUTED_VALUE"""),0.594328703704377)</f>
        <v>0.59432870370437696</v>
      </c>
      <c r="F2154" s="1">
        <f ca="1">IFERROR(__xludf.DUMMYFUNCTION("""COMPUTED_VALUE"""),43140)</f>
        <v>43140</v>
      </c>
      <c r="G2154" s="1" t="str">
        <f ca="1">IFERROR(__xludf.DUMMYFUNCTION("""COMPUTED_VALUE"""),"12.9000/77.5600")</f>
        <v>12.9000/77.5600</v>
      </c>
      <c r="H2154" s="1" t="str">
        <f ca="1">IFERROR(__xludf.DUMMYFUNCTION("""COMPUTED_VALUE"""),"ISRO Layout")</f>
        <v>ISRO Layout</v>
      </c>
      <c r="I2154" s="1"/>
      <c r="J2154" s="1" t="str">
        <f ca="1">IFERROR(__xludf.DUMMYFUNCTION("""COMPUTED_VALUE"""),"0d 00h 00m")</f>
        <v>0d 00h 00m</v>
      </c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13.2">
      <c r="A2155" s="1">
        <f ca="1">IFERROR(__xludf.DUMMYFUNCTION("""COMPUTED_VALUE"""),69)</f>
        <v>69</v>
      </c>
      <c r="B2155" s="1" t="str">
        <f ca="1">IFERROR(__xludf.DUMMYFUNCTION("""COMPUTED_VALUE"""),"SW5_KA03C5043_TANKER")</f>
        <v>SW5_KA03C5043_TANKER</v>
      </c>
      <c r="C2155" s="1" t="str">
        <f ca="1">IFERROR(__xludf.DUMMYFUNCTION("""COMPUTED_VALUE"""),"sw5_ka03c5043_tanker")</f>
        <v>sw5_ka03c5043_tanker</v>
      </c>
      <c r="D2155" s="2">
        <f ca="1">IFERROR(__xludf.DUMMYFUNCTION("""COMPUTED_VALUE"""),41640)</f>
        <v>41640</v>
      </c>
      <c r="E2155" s="3">
        <f ca="1">IFERROR(__xludf.DUMMYFUNCTION("""COMPUTED_VALUE"""),0.594328703704377)</f>
        <v>0.59432870370437696</v>
      </c>
      <c r="F2155" s="1">
        <f ca="1">IFERROR(__xludf.DUMMYFUNCTION("""COMPUTED_VALUE"""),43140)</f>
        <v>43140</v>
      </c>
      <c r="G2155" s="1" t="str">
        <f ca="1">IFERROR(__xludf.DUMMYFUNCTION("""COMPUTED_VALUE"""),"12.9000/77.5600")</f>
        <v>12.9000/77.5600</v>
      </c>
      <c r="H2155" s="1" t="str">
        <f ca="1">IFERROR(__xludf.DUMMYFUNCTION("""COMPUTED_VALUE"""),"ISRO Layout")</f>
        <v>ISRO Layout</v>
      </c>
      <c r="I2155" s="1"/>
      <c r="J2155" s="1" t="str">
        <f ca="1">IFERROR(__xludf.DUMMYFUNCTION("""COMPUTED_VALUE"""),"0d 00h 00m")</f>
        <v>0d 00h 00m</v>
      </c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13.2">
      <c r="A2156" s="1">
        <f ca="1">IFERROR(__xludf.DUMMYFUNCTION("""COMPUTED_VALUE"""),69)</f>
        <v>69</v>
      </c>
      <c r="B2156" s="1" t="str">
        <f ca="1">IFERROR(__xludf.DUMMYFUNCTION("""COMPUTED_VALUE"""),"SW5_KA03C5043_TANKER")</f>
        <v>SW5_KA03C5043_TANKER</v>
      </c>
      <c r="C2156" s="1" t="str">
        <f ca="1">IFERROR(__xludf.DUMMYFUNCTION("""COMPUTED_VALUE"""),"sw5_ka03c5043_tanker")</f>
        <v>sw5_ka03c5043_tanker</v>
      </c>
      <c r="D2156" s="2">
        <f ca="1">IFERROR(__xludf.DUMMYFUNCTION("""COMPUTED_VALUE"""),41640)</f>
        <v>41640</v>
      </c>
      <c r="E2156" s="3">
        <f ca="1">IFERROR(__xludf.DUMMYFUNCTION("""COMPUTED_VALUE"""),0.594328703704377)</f>
        <v>0.59432870370437696</v>
      </c>
      <c r="F2156" s="1">
        <f ca="1">IFERROR(__xludf.DUMMYFUNCTION("""COMPUTED_VALUE"""),43140)</f>
        <v>43140</v>
      </c>
      <c r="G2156" s="1" t="str">
        <f ca="1">IFERROR(__xludf.DUMMYFUNCTION("""COMPUTED_VALUE"""),"12.9000/77.5600")</f>
        <v>12.9000/77.5600</v>
      </c>
      <c r="H2156" s="1" t="str">
        <f ca="1">IFERROR(__xludf.DUMMYFUNCTION("""COMPUTED_VALUE"""),"ISRO Layout")</f>
        <v>ISRO Layout</v>
      </c>
      <c r="I2156" s="1"/>
      <c r="J2156" s="1" t="str">
        <f ca="1">IFERROR(__xludf.DUMMYFUNCTION("""COMPUTED_VALUE"""),"0d 00h 00m")</f>
        <v>0d 00h 00m</v>
      </c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13.2">
      <c r="A2157" s="1">
        <f ca="1">IFERROR(__xludf.DUMMYFUNCTION("""COMPUTED_VALUE"""),69)</f>
        <v>69</v>
      </c>
      <c r="B2157" s="1" t="str">
        <f ca="1">IFERROR(__xludf.DUMMYFUNCTION("""COMPUTED_VALUE"""),"SW5_KA03C5043_TANKER")</f>
        <v>SW5_KA03C5043_TANKER</v>
      </c>
      <c r="C2157" s="1" t="str">
        <f ca="1">IFERROR(__xludf.DUMMYFUNCTION("""COMPUTED_VALUE"""),"sw5_ka03c5043_tanker")</f>
        <v>sw5_ka03c5043_tanker</v>
      </c>
      <c r="D2157" s="2">
        <f ca="1">IFERROR(__xludf.DUMMYFUNCTION("""COMPUTED_VALUE"""),41640)</f>
        <v>41640</v>
      </c>
      <c r="E2157" s="3">
        <f ca="1">IFERROR(__xludf.DUMMYFUNCTION("""COMPUTED_VALUE"""),0.594328703704377)</f>
        <v>0.59432870370437696</v>
      </c>
      <c r="F2157" s="1">
        <f ca="1">IFERROR(__xludf.DUMMYFUNCTION("""COMPUTED_VALUE"""),43140)</f>
        <v>43140</v>
      </c>
      <c r="G2157" s="1" t="str">
        <f ca="1">IFERROR(__xludf.DUMMYFUNCTION("""COMPUTED_VALUE"""),"12.9000/77.5600")</f>
        <v>12.9000/77.5600</v>
      </c>
      <c r="H2157" s="1" t="str">
        <f ca="1">IFERROR(__xludf.DUMMYFUNCTION("""COMPUTED_VALUE"""),"ISRO Layout")</f>
        <v>ISRO Layout</v>
      </c>
      <c r="I2157" s="1"/>
      <c r="J2157" s="1" t="str">
        <f ca="1">IFERROR(__xludf.DUMMYFUNCTION("""COMPUTED_VALUE"""),"0d 00h 00m")</f>
        <v>0d 00h 00m</v>
      </c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13.2">
      <c r="A2158" s="1">
        <f ca="1">IFERROR(__xludf.DUMMYFUNCTION("""COMPUTED_VALUE"""),135)</f>
        <v>135</v>
      </c>
      <c r="B2158" s="1" t="str">
        <f ca="1">IFERROR(__xludf.DUMMYFUNCTION("""COMPUTED_VALUE"""),"SW5_KA04C5144_JETTING")</f>
        <v>SW5_KA04C5144_JETTING</v>
      </c>
      <c r="C2158" s="1" t="str">
        <f ca="1">IFERROR(__xludf.DUMMYFUNCTION("""COMPUTED_VALUE"""),"sw5_ka04c5144_jetting")</f>
        <v>sw5_ka04c5144_jetting</v>
      </c>
      <c r="D2158" s="2">
        <f ca="1">IFERROR(__xludf.DUMMYFUNCTION("""COMPUTED_VALUE"""),45085)</f>
        <v>45085</v>
      </c>
      <c r="E2158" s="3">
        <f ca="1">IFERROR(__xludf.DUMMYFUNCTION("""COMPUTED_VALUE"""),0.51023148148306)</f>
        <v>0.51023148148305997</v>
      </c>
      <c r="F2158" s="1">
        <f ca="1">IFERROR(__xludf.DUMMYFUNCTION("""COMPUTED_VALUE"""),41066)</f>
        <v>41066</v>
      </c>
      <c r="G2158" s="1" t="str">
        <f ca="1">IFERROR(__xludf.DUMMYFUNCTION("""COMPUTED_VALUE"""),"12.8953/77.5418")</f>
        <v>12.8953/77.5418</v>
      </c>
      <c r="H2158" s="1" t="str">
        <f ca="1">IFERROR(__xludf.DUMMYFUNCTION("""COMPUTED_VALUE"""),"Vasantpura")</f>
        <v>Vasantpura</v>
      </c>
      <c r="I2158" s="1"/>
      <c r="J2158" s="1" t="str">
        <f ca="1">IFERROR(__xludf.DUMMYFUNCTION("""COMPUTED_VALUE"""),"285d 23h 15m")</f>
        <v>285d 23h 15m</v>
      </c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13.2">
      <c r="A2159" s="1">
        <f ca="1">IFERROR(__xludf.DUMMYFUNCTION("""COMPUTED_VALUE"""),131)</f>
        <v>131</v>
      </c>
      <c r="B2159" s="1" t="str">
        <f ca="1">IFERROR(__xludf.DUMMYFUNCTION("""COMPUTED_VALUE"""),"SW5_KA04C5144_JETTING")</f>
        <v>SW5_KA04C5144_JETTING</v>
      </c>
      <c r="C2159" s="1" t="str">
        <f ca="1">IFERROR(__xludf.DUMMYFUNCTION("""COMPUTED_VALUE"""),"sw5_ka04c5144_jetting")</f>
        <v>sw5_ka04c5144_jetting</v>
      </c>
      <c r="D2159" s="2">
        <f ca="1">IFERROR(__xludf.DUMMYFUNCTION("""COMPUTED_VALUE"""),45085)</f>
        <v>45085</v>
      </c>
      <c r="E2159" s="3">
        <f ca="1">IFERROR(__xludf.DUMMYFUNCTION("""COMPUTED_VALUE"""),0.51023148148306)</f>
        <v>0.51023148148305997</v>
      </c>
      <c r="F2159" s="1">
        <f ca="1">IFERROR(__xludf.DUMMYFUNCTION("""COMPUTED_VALUE"""),41066)</f>
        <v>41066</v>
      </c>
      <c r="G2159" s="1" t="str">
        <f ca="1">IFERROR(__xludf.DUMMYFUNCTION("""COMPUTED_VALUE"""),"12.8953/77.5418")</f>
        <v>12.8953/77.5418</v>
      </c>
      <c r="H2159" s="1" t="str">
        <f ca="1">IFERROR(__xludf.DUMMYFUNCTION("""COMPUTED_VALUE"""),"Vasantpura")</f>
        <v>Vasantpura</v>
      </c>
      <c r="I2159" s="1"/>
      <c r="J2159" s="1" t="str">
        <f ca="1">IFERROR(__xludf.DUMMYFUNCTION("""COMPUTED_VALUE"""),"285d 23h 16m")</f>
        <v>285d 23h 16m</v>
      </c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13.2">
      <c r="A2160" s="1">
        <f ca="1">IFERROR(__xludf.DUMMYFUNCTION("""COMPUTED_VALUE"""),131)</f>
        <v>131</v>
      </c>
      <c r="B2160" s="1" t="str">
        <f ca="1">IFERROR(__xludf.DUMMYFUNCTION("""COMPUTED_VALUE"""),"SW5_KA04C5144_JETTING")</f>
        <v>SW5_KA04C5144_JETTING</v>
      </c>
      <c r="C2160" s="1" t="str">
        <f ca="1">IFERROR(__xludf.DUMMYFUNCTION("""COMPUTED_VALUE"""),"sw5_ka04c5144_jetting")</f>
        <v>sw5_ka04c5144_jetting</v>
      </c>
      <c r="D2160" s="2">
        <f ca="1">IFERROR(__xludf.DUMMYFUNCTION("""COMPUTED_VALUE"""),45085)</f>
        <v>45085</v>
      </c>
      <c r="E2160" s="3">
        <f ca="1">IFERROR(__xludf.DUMMYFUNCTION("""COMPUTED_VALUE"""),0.51023148148306)</f>
        <v>0.51023148148305997</v>
      </c>
      <c r="F2160" s="1">
        <f ca="1">IFERROR(__xludf.DUMMYFUNCTION("""COMPUTED_VALUE"""),41066)</f>
        <v>41066</v>
      </c>
      <c r="G2160" s="1" t="str">
        <f ca="1">IFERROR(__xludf.DUMMYFUNCTION("""COMPUTED_VALUE"""),"12.8953/77.5418")</f>
        <v>12.8953/77.5418</v>
      </c>
      <c r="H2160" s="1" t="str">
        <f ca="1">IFERROR(__xludf.DUMMYFUNCTION("""COMPUTED_VALUE"""),"Vasantpura")</f>
        <v>Vasantpura</v>
      </c>
      <c r="I2160" s="1"/>
      <c r="J2160" s="1" t="str">
        <f ca="1">IFERROR(__xludf.DUMMYFUNCTION("""COMPUTED_VALUE"""),"285d 23h 18m")</f>
        <v>285d 23h 18m</v>
      </c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13.2">
      <c r="A2161" s="1">
        <f ca="1">IFERROR(__xludf.DUMMYFUNCTION("""COMPUTED_VALUE"""),94)</f>
        <v>94</v>
      </c>
      <c r="B2161" s="1" t="str">
        <f ca="1">IFERROR(__xludf.DUMMYFUNCTION("""COMPUTED_VALUE"""),"SW5_KA04D4270_JETTING")</f>
        <v>SW5_KA04D4270_JETTING</v>
      </c>
      <c r="C2161" s="1" t="str">
        <f ca="1">IFERROR(__xludf.DUMMYFUNCTION("""COMPUTED_VALUE"""),"sw5_ka04d4270_jetting")</f>
        <v>sw5_ka04d4270_jetting</v>
      </c>
      <c r="D2161" s="2">
        <f ca="1">IFERROR(__xludf.DUMMYFUNCTION("""COMPUTED_VALUE"""),41640)</f>
        <v>41640</v>
      </c>
      <c r="E2161" s="3">
        <f ca="1">IFERROR(__xludf.DUMMYFUNCTION("""COMPUTED_VALUE"""),0.71414351851854)</f>
        <v>0.71414351851853997</v>
      </c>
      <c r="F2161" s="1">
        <f ca="1">IFERROR(__xludf.DUMMYFUNCTION("""COMPUTED_VALUE"""),48381)</f>
        <v>48381</v>
      </c>
      <c r="G2161" s="1" t="str">
        <f ca="1">IFERROR(__xludf.DUMMYFUNCTION("""COMPUTED_VALUE"""),"12.9063/77.5610")</f>
        <v>12.9063/77.5610</v>
      </c>
      <c r="H2161" s="1" t="str">
        <f ca="1">IFERROR(__xludf.DUMMYFUNCTION("""COMPUTED_VALUE"""),"Kumaraswamy Layout")</f>
        <v>Kumaraswamy Layout</v>
      </c>
      <c r="I2161" s="1"/>
      <c r="J2161" s="1" t="str">
        <f ca="1">IFERROR(__xludf.DUMMYFUNCTION("""COMPUTED_VALUE"""),"0d 00h 00m")</f>
        <v>0d 00h 00m</v>
      </c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13.2">
      <c r="A2162" s="1">
        <f ca="1">IFERROR(__xludf.DUMMYFUNCTION("""COMPUTED_VALUE"""),94)</f>
        <v>94</v>
      </c>
      <c r="B2162" s="1" t="str">
        <f ca="1">IFERROR(__xludf.DUMMYFUNCTION("""COMPUTED_VALUE"""),"SW5_KA04D4270_JETTING")</f>
        <v>SW5_KA04D4270_JETTING</v>
      </c>
      <c r="C2162" s="1" t="str">
        <f ca="1">IFERROR(__xludf.DUMMYFUNCTION("""COMPUTED_VALUE"""),"sw5_ka04d4270_jetting")</f>
        <v>sw5_ka04d4270_jetting</v>
      </c>
      <c r="D2162" s="2">
        <f ca="1">IFERROR(__xludf.DUMMYFUNCTION("""COMPUTED_VALUE"""),41640)</f>
        <v>41640</v>
      </c>
      <c r="E2162" s="3">
        <f ca="1">IFERROR(__xludf.DUMMYFUNCTION("""COMPUTED_VALUE"""),0.71414351851854)</f>
        <v>0.71414351851853997</v>
      </c>
      <c r="F2162" s="1">
        <f ca="1">IFERROR(__xludf.DUMMYFUNCTION("""COMPUTED_VALUE"""),48381)</f>
        <v>48381</v>
      </c>
      <c r="G2162" s="1" t="str">
        <f ca="1">IFERROR(__xludf.DUMMYFUNCTION("""COMPUTED_VALUE"""),"12.9063/77.5610")</f>
        <v>12.9063/77.5610</v>
      </c>
      <c r="H2162" s="1" t="str">
        <f ca="1">IFERROR(__xludf.DUMMYFUNCTION("""COMPUTED_VALUE"""),"Kumaraswamy Layout")</f>
        <v>Kumaraswamy Layout</v>
      </c>
      <c r="I2162" s="1"/>
      <c r="J2162" s="1" t="str">
        <f ca="1">IFERROR(__xludf.DUMMYFUNCTION("""COMPUTED_VALUE"""),"0d 00h 00m")</f>
        <v>0d 00h 00m</v>
      </c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13.2">
      <c r="A2163" s="1">
        <f ca="1">IFERROR(__xludf.DUMMYFUNCTION("""COMPUTED_VALUE"""),91)</f>
        <v>91</v>
      </c>
      <c r="B2163" s="1" t="str">
        <f ca="1">IFERROR(__xludf.DUMMYFUNCTION("""COMPUTED_VALUE"""),"SW5_KA04D4270_JETTING")</f>
        <v>SW5_KA04D4270_JETTING</v>
      </c>
      <c r="C2163" s="1" t="str">
        <f ca="1">IFERROR(__xludf.DUMMYFUNCTION("""COMPUTED_VALUE"""),"sw5_ka04d4270_jetting")</f>
        <v>sw5_ka04d4270_jetting</v>
      </c>
      <c r="D2163" s="2">
        <f ca="1">IFERROR(__xludf.DUMMYFUNCTION("""COMPUTED_VALUE"""),41640)</f>
        <v>41640</v>
      </c>
      <c r="E2163" s="3">
        <f ca="1">IFERROR(__xludf.DUMMYFUNCTION("""COMPUTED_VALUE"""),0.71414351851854)</f>
        <v>0.71414351851853997</v>
      </c>
      <c r="F2163" s="1">
        <f ca="1">IFERROR(__xludf.DUMMYFUNCTION("""COMPUTED_VALUE"""),48381)</f>
        <v>48381</v>
      </c>
      <c r="G2163" s="1" t="str">
        <f ca="1">IFERROR(__xludf.DUMMYFUNCTION("""COMPUTED_VALUE"""),"12.9063/77.5610")</f>
        <v>12.9063/77.5610</v>
      </c>
      <c r="H2163" s="1" t="str">
        <f ca="1">IFERROR(__xludf.DUMMYFUNCTION("""COMPUTED_VALUE"""),"Kumaraswamy Layout")</f>
        <v>Kumaraswamy Layout</v>
      </c>
      <c r="I2163" s="1"/>
      <c r="J2163" s="1" t="str">
        <f ca="1">IFERROR(__xludf.DUMMYFUNCTION("""COMPUTED_VALUE"""),"0d 00h 00m")</f>
        <v>0d 00h 00m</v>
      </c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13.2">
      <c r="A2164" s="1">
        <f ca="1">IFERROR(__xludf.DUMMYFUNCTION("""COMPUTED_VALUE"""),91)</f>
        <v>91</v>
      </c>
      <c r="B2164" s="1" t="str">
        <f ca="1">IFERROR(__xludf.DUMMYFUNCTION("""COMPUTED_VALUE"""),"SW5_KA04D4270_JETTING")</f>
        <v>SW5_KA04D4270_JETTING</v>
      </c>
      <c r="C2164" s="1" t="str">
        <f ca="1">IFERROR(__xludf.DUMMYFUNCTION("""COMPUTED_VALUE"""),"sw5_ka04d4270_jetting")</f>
        <v>sw5_ka04d4270_jetting</v>
      </c>
      <c r="D2164" s="2">
        <f ca="1">IFERROR(__xludf.DUMMYFUNCTION("""COMPUTED_VALUE"""),41640)</f>
        <v>41640</v>
      </c>
      <c r="E2164" s="3">
        <f ca="1">IFERROR(__xludf.DUMMYFUNCTION("""COMPUTED_VALUE"""),0.71414351851854)</f>
        <v>0.71414351851853997</v>
      </c>
      <c r="F2164" s="1">
        <f ca="1">IFERROR(__xludf.DUMMYFUNCTION("""COMPUTED_VALUE"""),48381)</f>
        <v>48381</v>
      </c>
      <c r="G2164" s="1" t="str">
        <f ca="1">IFERROR(__xludf.DUMMYFUNCTION("""COMPUTED_VALUE"""),"12.9063/77.5610")</f>
        <v>12.9063/77.5610</v>
      </c>
      <c r="H2164" s="1" t="str">
        <f ca="1">IFERROR(__xludf.DUMMYFUNCTION("""COMPUTED_VALUE"""),"Kumaraswamy Layout")</f>
        <v>Kumaraswamy Layout</v>
      </c>
      <c r="I2164" s="1"/>
      <c r="J2164" s="1" t="str">
        <f ca="1">IFERROR(__xludf.DUMMYFUNCTION("""COMPUTED_VALUE"""),"0d 00h 00m")</f>
        <v>0d 00h 00m</v>
      </c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13.2">
      <c r="A2165" s="1">
        <f ca="1">IFERROR(__xludf.DUMMYFUNCTION("""COMPUTED_VALUE"""),91)</f>
        <v>91</v>
      </c>
      <c r="B2165" s="1" t="str">
        <f ca="1">IFERROR(__xludf.DUMMYFUNCTION("""COMPUTED_VALUE"""),"SW5_KA04D4270_JETTING")</f>
        <v>SW5_KA04D4270_JETTING</v>
      </c>
      <c r="C2165" s="1" t="str">
        <f ca="1">IFERROR(__xludf.DUMMYFUNCTION("""COMPUTED_VALUE"""),"sw5_ka04d4270_jetting")</f>
        <v>sw5_ka04d4270_jetting</v>
      </c>
      <c r="D2165" s="2">
        <f ca="1">IFERROR(__xludf.DUMMYFUNCTION("""COMPUTED_VALUE"""),41640)</f>
        <v>41640</v>
      </c>
      <c r="E2165" s="3">
        <f ca="1">IFERROR(__xludf.DUMMYFUNCTION("""COMPUTED_VALUE"""),0.71414351851854)</f>
        <v>0.71414351851853997</v>
      </c>
      <c r="F2165" s="1">
        <f ca="1">IFERROR(__xludf.DUMMYFUNCTION("""COMPUTED_VALUE"""),48381)</f>
        <v>48381</v>
      </c>
      <c r="G2165" s="1" t="str">
        <f ca="1">IFERROR(__xludf.DUMMYFUNCTION("""COMPUTED_VALUE"""),"12.9063/77.5610")</f>
        <v>12.9063/77.5610</v>
      </c>
      <c r="H2165" s="1" t="str">
        <f ca="1">IFERROR(__xludf.DUMMYFUNCTION("""COMPUTED_VALUE"""),"Kumaraswamy Layout")</f>
        <v>Kumaraswamy Layout</v>
      </c>
      <c r="I2165" s="1"/>
      <c r="J2165" s="1" t="str">
        <f ca="1">IFERROR(__xludf.DUMMYFUNCTION("""COMPUTED_VALUE"""),"0d 00h 00m")</f>
        <v>0d 00h 00m</v>
      </c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13.2">
      <c r="A2166" s="1">
        <f ca="1">IFERROR(__xludf.DUMMYFUNCTION("""COMPUTED_VALUE"""),91)</f>
        <v>91</v>
      </c>
      <c r="B2166" s="1" t="str">
        <f ca="1">IFERROR(__xludf.DUMMYFUNCTION("""COMPUTED_VALUE"""),"SW5_KA04D4270_JETTING")</f>
        <v>SW5_KA04D4270_JETTING</v>
      </c>
      <c r="C2166" s="1" t="str">
        <f ca="1">IFERROR(__xludf.DUMMYFUNCTION("""COMPUTED_VALUE"""),"sw5_ka04d4270_jetting")</f>
        <v>sw5_ka04d4270_jetting</v>
      </c>
      <c r="D2166" s="2">
        <f ca="1">IFERROR(__xludf.DUMMYFUNCTION("""COMPUTED_VALUE"""),41640)</f>
        <v>41640</v>
      </c>
      <c r="E2166" s="3">
        <f ca="1">IFERROR(__xludf.DUMMYFUNCTION("""COMPUTED_VALUE"""),0.71414351851854)</f>
        <v>0.71414351851853997</v>
      </c>
      <c r="F2166" s="1">
        <f ca="1">IFERROR(__xludf.DUMMYFUNCTION("""COMPUTED_VALUE"""),48381)</f>
        <v>48381</v>
      </c>
      <c r="G2166" s="1" t="str">
        <f ca="1">IFERROR(__xludf.DUMMYFUNCTION("""COMPUTED_VALUE"""),"12.9063/77.5610")</f>
        <v>12.9063/77.5610</v>
      </c>
      <c r="H2166" s="1" t="str">
        <f ca="1">IFERROR(__xludf.DUMMYFUNCTION("""COMPUTED_VALUE"""),"Kumaraswamy Layout")</f>
        <v>Kumaraswamy Layout</v>
      </c>
      <c r="I2166" s="1"/>
      <c r="J2166" s="1" t="str">
        <f ca="1">IFERROR(__xludf.DUMMYFUNCTION("""COMPUTED_VALUE"""),"0d 00h 00m")</f>
        <v>0d 00h 00m</v>
      </c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13.2">
      <c r="A2167" s="1">
        <f ca="1">IFERROR(__xludf.DUMMYFUNCTION("""COMPUTED_VALUE"""),91)</f>
        <v>91</v>
      </c>
      <c r="B2167" s="1" t="str">
        <f ca="1">IFERROR(__xludf.DUMMYFUNCTION("""COMPUTED_VALUE"""),"SW5_KA04D4270_JETTING")</f>
        <v>SW5_KA04D4270_JETTING</v>
      </c>
      <c r="C2167" s="1" t="str">
        <f ca="1">IFERROR(__xludf.DUMMYFUNCTION("""COMPUTED_VALUE"""),"sw5_ka04d4270_jetting")</f>
        <v>sw5_ka04d4270_jetting</v>
      </c>
      <c r="D2167" s="2">
        <f ca="1">IFERROR(__xludf.DUMMYFUNCTION("""COMPUTED_VALUE"""),41640)</f>
        <v>41640</v>
      </c>
      <c r="E2167" s="3">
        <f ca="1">IFERROR(__xludf.DUMMYFUNCTION("""COMPUTED_VALUE"""),0.71414351851854)</f>
        <v>0.71414351851853997</v>
      </c>
      <c r="F2167" s="1">
        <f ca="1">IFERROR(__xludf.DUMMYFUNCTION("""COMPUTED_VALUE"""),48381)</f>
        <v>48381</v>
      </c>
      <c r="G2167" s="1" t="str">
        <f ca="1">IFERROR(__xludf.DUMMYFUNCTION("""COMPUTED_VALUE"""),"12.9063/77.5610")</f>
        <v>12.9063/77.5610</v>
      </c>
      <c r="H2167" s="1" t="str">
        <f ca="1">IFERROR(__xludf.DUMMYFUNCTION("""COMPUTED_VALUE"""),"Kumaraswamy Layout")</f>
        <v>Kumaraswamy Layout</v>
      </c>
      <c r="I2167" s="1"/>
      <c r="J2167" s="1" t="str">
        <f ca="1">IFERROR(__xludf.DUMMYFUNCTION("""COMPUTED_VALUE"""),"0d 00h 00m")</f>
        <v>0d 00h 00m</v>
      </c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13.2">
      <c r="A2168" s="1">
        <f ca="1">IFERROR(__xludf.DUMMYFUNCTION("""COMPUTED_VALUE"""),141)</f>
        <v>141</v>
      </c>
      <c r="B2168" s="1" t="str">
        <f ca="1">IFERROR(__xludf.DUMMYFUNCTION("""COMPUTED_VALUE"""),"SW5_KA05B6541_JETTING")</f>
        <v>SW5_KA05B6541_JETTING</v>
      </c>
      <c r="C2168" s="1" t="str">
        <f ca="1">IFERROR(__xludf.DUMMYFUNCTION("""COMPUTED_VALUE"""),"sw5_ka05b6541_jetting")</f>
        <v>sw5_ka05b6541_jetting</v>
      </c>
      <c r="D2168" s="2">
        <f ca="1">IFERROR(__xludf.DUMMYFUNCTION("""COMPUTED_VALUE"""),45235)</f>
        <v>45235</v>
      </c>
      <c r="E2168" s="3">
        <f ca="1">IFERROR(__xludf.DUMMYFUNCTION("""COMPUTED_VALUE"""),0.22827546296321)</f>
        <v>0.22827546296321</v>
      </c>
      <c r="F2168" s="1">
        <f ca="1">IFERROR(__xludf.DUMMYFUNCTION("""COMPUTED_VALUE"""),180278)</f>
        <v>180278</v>
      </c>
      <c r="G2168" s="1" t="str">
        <f ca="1">IFERROR(__xludf.DUMMYFUNCTION("""COMPUTED_VALUE"""),"12.9092/77.5624")</f>
        <v>12.9092/77.5624</v>
      </c>
      <c r="H2168" s="1" t="str">
        <f ca="1">IFERROR(__xludf.DUMMYFUNCTION("""COMPUTED_VALUE"""),"Bendre")</f>
        <v>Bendre</v>
      </c>
      <c r="I2168" s="1"/>
      <c r="J2168" s="1" t="str">
        <f ca="1">IFERROR(__xludf.DUMMYFUNCTION("""COMPUTED_VALUE"""),"131d 00h 30m")</f>
        <v>131d 00h 30m</v>
      </c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13.2">
      <c r="A2169" s="1">
        <f ca="1">IFERROR(__xludf.DUMMYFUNCTION("""COMPUTED_VALUE"""),143)</f>
        <v>143</v>
      </c>
      <c r="B2169" s="1" t="str">
        <f ca="1">IFERROR(__xludf.DUMMYFUNCTION("""COMPUTED_VALUE"""),"SW6_KA04C5129_JETTING")</f>
        <v>SW6_KA04C5129_JETTING</v>
      </c>
      <c r="C2169" s="1" t="str">
        <f ca="1">IFERROR(__xludf.DUMMYFUNCTION("""COMPUTED_VALUE"""),"sw6_ka04c5129_jetting")</f>
        <v>sw6_ka04c5129_jetting</v>
      </c>
      <c r="D2169" s="2">
        <f ca="1">IFERROR(__xludf.DUMMYFUNCTION("""COMPUTED_VALUE"""),44769)</f>
        <v>44769</v>
      </c>
      <c r="E2169" s="3">
        <f ca="1">IFERROR(__xludf.DUMMYFUNCTION("""COMPUTED_VALUE"""),0.530740740741748)</f>
        <v>0.53074074074174804</v>
      </c>
      <c r="F2169" s="1">
        <f ca="1">IFERROR(__xludf.DUMMYFUNCTION("""COMPUTED_VALUE"""),26916)</f>
        <v>26916</v>
      </c>
      <c r="G2169" s="1" t="str">
        <f ca="1">IFERROR(__xludf.DUMMYFUNCTION("""COMPUTED_VALUE"""),"12.8745/77.5182")</f>
        <v>12.8745/77.5182</v>
      </c>
      <c r="H2169" s="1" t="str">
        <f ca="1">IFERROR(__xludf.DUMMYFUNCTION("""COMPUTED_VALUE"""),"Poornapragana Layout")</f>
        <v>Poornapragana Layout</v>
      </c>
      <c r="I2169" s="1"/>
      <c r="J2169" s="1" t="str">
        <f ca="1">IFERROR(__xludf.DUMMYFUNCTION("""COMPUTED_VALUE"""),"601d 22h 40m")</f>
        <v>601d 22h 40m</v>
      </c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13.2">
      <c r="A2170" s="1">
        <f ca="1">IFERROR(__xludf.DUMMYFUNCTION("""COMPUTED_VALUE"""),129)</f>
        <v>129</v>
      </c>
      <c r="B2170" s="1" t="str">
        <f ca="1">IFERROR(__xludf.DUMMYFUNCTION("""COMPUTED_VALUE"""),"SW6_KA04C5129_JETTING")</f>
        <v>SW6_KA04C5129_JETTING</v>
      </c>
      <c r="C2170" s="1" t="str">
        <f ca="1">IFERROR(__xludf.DUMMYFUNCTION("""COMPUTED_VALUE"""),"sw6_ka04c5129_jetting")</f>
        <v>sw6_ka04c5129_jetting</v>
      </c>
      <c r="D2170" s="2">
        <f ca="1">IFERROR(__xludf.DUMMYFUNCTION("""COMPUTED_VALUE"""),44769)</f>
        <v>44769</v>
      </c>
      <c r="E2170" s="3">
        <f ca="1">IFERROR(__xludf.DUMMYFUNCTION("""COMPUTED_VALUE"""),0.530740740741748)</f>
        <v>0.53074074074174804</v>
      </c>
      <c r="F2170" s="1">
        <f ca="1">IFERROR(__xludf.DUMMYFUNCTION("""COMPUTED_VALUE"""),26916)</f>
        <v>26916</v>
      </c>
      <c r="G2170" s="1" t="str">
        <f ca="1">IFERROR(__xludf.DUMMYFUNCTION("""COMPUTED_VALUE"""),"12.8745/77.5182")</f>
        <v>12.8745/77.5182</v>
      </c>
      <c r="H2170" s="1" t="str">
        <f ca="1">IFERROR(__xludf.DUMMYFUNCTION("""COMPUTED_VALUE"""),"Poornapragana Layout")</f>
        <v>Poornapragana Layout</v>
      </c>
      <c r="I2170" s="1"/>
      <c r="J2170" s="1" t="str">
        <f ca="1">IFERROR(__xludf.DUMMYFUNCTION("""COMPUTED_VALUE"""),"601d 22h 41m")</f>
        <v>601d 22h 41m</v>
      </c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13.2">
      <c r="A2171" s="1">
        <f ca="1">IFERROR(__xludf.DUMMYFUNCTION("""COMPUTED_VALUE"""),124)</f>
        <v>124</v>
      </c>
      <c r="B2171" s="1" t="str">
        <f ca="1">IFERROR(__xludf.DUMMYFUNCTION("""COMPUTED_VALUE"""),"SW6_KA04C5129_JETTING")</f>
        <v>SW6_KA04C5129_JETTING</v>
      </c>
      <c r="C2171" s="1" t="str">
        <f ca="1">IFERROR(__xludf.DUMMYFUNCTION("""COMPUTED_VALUE"""),"sw6_ka04c5129_jetting")</f>
        <v>sw6_ka04c5129_jetting</v>
      </c>
      <c r="D2171" s="2">
        <f ca="1">IFERROR(__xludf.DUMMYFUNCTION("""COMPUTED_VALUE"""),44769)</f>
        <v>44769</v>
      </c>
      <c r="E2171" s="3">
        <f ca="1">IFERROR(__xludf.DUMMYFUNCTION("""COMPUTED_VALUE"""),0.530740740741748)</f>
        <v>0.53074074074174804</v>
      </c>
      <c r="F2171" s="1">
        <f ca="1">IFERROR(__xludf.DUMMYFUNCTION("""COMPUTED_VALUE"""),26916)</f>
        <v>26916</v>
      </c>
      <c r="G2171" s="1" t="str">
        <f ca="1">IFERROR(__xludf.DUMMYFUNCTION("""COMPUTED_VALUE"""),"12.8745/77.5182")</f>
        <v>12.8745/77.5182</v>
      </c>
      <c r="H2171" s="1" t="str">
        <f ca="1">IFERROR(__xludf.DUMMYFUNCTION("""COMPUTED_VALUE"""),"Poornapragana Layout")</f>
        <v>Poornapragana Layout</v>
      </c>
      <c r="I2171" s="1"/>
      <c r="J2171" s="1" t="str">
        <f ca="1">IFERROR(__xludf.DUMMYFUNCTION("""COMPUTED_VALUE"""),"601d 22h 44m")</f>
        <v>601d 22h 44m</v>
      </c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13.2">
      <c r="A2172" s="1">
        <f ca="1">IFERROR(__xludf.DUMMYFUNCTION("""COMPUTED_VALUE"""),124)</f>
        <v>124</v>
      </c>
      <c r="B2172" s="1" t="str">
        <f ca="1">IFERROR(__xludf.DUMMYFUNCTION("""COMPUTED_VALUE"""),"SW6_KA04C5129_JETTING")</f>
        <v>SW6_KA04C5129_JETTING</v>
      </c>
      <c r="C2172" s="1" t="str">
        <f ca="1">IFERROR(__xludf.DUMMYFUNCTION("""COMPUTED_VALUE"""),"sw6_ka04c5129_jetting")</f>
        <v>sw6_ka04c5129_jetting</v>
      </c>
      <c r="D2172" s="2">
        <f ca="1">IFERROR(__xludf.DUMMYFUNCTION("""COMPUTED_VALUE"""),44769)</f>
        <v>44769</v>
      </c>
      <c r="E2172" s="3">
        <f ca="1">IFERROR(__xludf.DUMMYFUNCTION("""COMPUTED_VALUE"""),0.530740740741748)</f>
        <v>0.53074074074174804</v>
      </c>
      <c r="F2172" s="1">
        <f ca="1">IFERROR(__xludf.DUMMYFUNCTION("""COMPUTED_VALUE"""),26916)</f>
        <v>26916</v>
      </c>
      <c r="G2172" s="1" t="str">
        <f ca="1">IFERROR(__xludf.DUMMYFUNCTION("""COMPUTED_VALUE"""),"12.8745/77.5182")</f>
        <v>12.8745/77.5182</v>
      </c>
      <c r="H2172" s="1" t="str">
        <f ca="1">IFERROR(__xludf.DUMMYFUNCTION("""COMPUTED_VALUE"""),"Poornapragana Layout")</f>
        <v>Poornapragana Layout</v>
      </c>
      <c r="I2172" s="1"/>
      <c r="J2172" s="1" t="str">
        <f ca="1">IFERROR(__xludf.DUMMYFUNCTION("""COMPUTED_VALUE"""),"601d 22h 45m")</f>
        <v>601d 22h 45m</v>
      </c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13.2">
      <c r="A2173" s="1">
        <f ca="1">IFERROR(__xludf.DUMMYFUNCTION("""COMPUTED_VALUE"""),122)</f>
        <v>122</v>
      </c>
      <c r="B2173" s="1" t="str">
        <f ca="1">IFERROR(__xludf.DUMMYFUNCTION("""COMPUTED_VALUE"""),"SW6_KA04C5129_JETTING")</f>
        <v>SW6_KA04C5129_JETTING</v>
      </c>
      <c r="C2173" s="1" t="str">
        <f ca="1">IFERROR(__xludf.DUMMYFUNCTION("""COMPUTED_VALUE"""),"sw6_ka04c5129_jetting")</f>
        <v>sw6_ka04c5129_jetting</v>
      </c>
      <c r="D2173" s="2">
        <f ca="1">IFERROR(__xludf.DUMMYFUNCTION("""COMPUTED_VALUE"""),44769)</f>
        <v>44769</v>
      </c>
      <c r="E2173" s="3">
        <f ca="1">IFERROR(__xludf.DUMMYFUNCTION("""COMPUTED_VALUE"""),0.530740740741748)</f>
        <v>0.53074074074174804</v>
      </c>
      <c r="F2173" s="1">
        <f ca="1">IFERROR(__xludf.DUMMYFUNCTION("""COMPUTED_VALUE"""),26916)</f>
        <v>26916</v>
      </c>
      <c r="G2173" s="1" t="str">
        <f ca="1">IFERROR(__xludf.DUMMYFUNCTION("""COMPUTED_VALUE"""),"12.8745/77.5182")</f>
        <v>12.8745/77.5182</v>
      </c>
      <c r="H2173" s="1" t="str">
        <f ca="1">IFERROR(__xludf.DUMMYFUNCTION("""COMPUTED_VALUE"""),"Poornapragana Layout")</f>
        <v>Poornapragana Layout</v>
      </c>
      <c r="I2173" s="1"/>
      <c r="J2173" s="1" t="str">
        <f ca="1">IFERROR(__xludf.DUMMYFUNCTION("""COMPUTED_VALUE"""),"601d 22h 46m")</f>
        <v>601d 22h 46m</v>
      </c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13.2">
      <c r="A2174" s="1">
        <f ca="1">IFERROR(__xludf.DUMMYFUNCTION("""COMPUTED_VALUE"""),122)</f>
        <v>122</v>
      </c>
      <c r="B2174" s="1" t="str">
        <f ca="1">IFERROR(__xludf.DUMMYFUNCTION("""COMPUTED_VALUE"""),"SW6_KA04C5129_JETTING")</f>
        <v>SW6_KA04C5129_JETTING</v>
      </c>
      <c r="C2174" s="1" t="str">
        <f ca="1">IFERROR(__xludf.DUMMYFUNCTION("""COMPUTED_VALUE"""),"sw6_ka04c5129_jetting")</f>
        <v>sw6_ka04c5129_jetting</v>
      </c>
      <c r="D2174" s="2">
        <f ca="1">IFERROR(__xludf.DUMMYFUNCTION("""COMPUTED_VALUE"""),44769)</f>
        <v>44769</v>
      </c>
      <c r="E2174" s="3">
        <f ca="1">IFERROR(__xludf.DUMMYFUNCTION("""COMPUTED_VALUE"""),0.530740740741748)</f>
        <v>0.53074074074174804</v>
      </c>
      <c r="F2174" s="1">
        <f ca="1">IFERROR(__xludf.DUMMYFUNCTION("""COMPUTED_VALUE"""),26916)</f>
        <v>26916</v>
      </c>
      <c r="G2174" s="1" t="str">
        <f ca="1">IFERROR(__xludf.DUMMYFUNCTION("""COMPUTED_VALUE"""),"12.8745/77.5182")</f>
        <v>12.8745/77.5182</v>
      </c>
      <c r="H2174" s="1" t="str">
        <f ca="1">IFERROR(__xludf.DUMMYFUNCTION("""COMPUTED_VALUE"""),"Poornapragana Layout")</f>
        <v>Poornapragana Layout</v>
      </c>
      <c r="I2174" s="1"/>
      <c r="J2174" s="1" t="str">
        <f ca="1">IFERROR(__xludf.DUMMYFUNCTION("""COMPUTED_VALUE"""),"601d 22h 47m")</f>
        <v>601d 22h 47m</v>
      </c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13.2">
      <c r="A2175" s="1">
        <f ca="1">IFERROR(__xludf.DUMMYFUNCTION("""COMPUTED_VALUE"""),122)</f>
        <v>122</v>
      </c>
      <c r="B2175" s="1" t="str">
        <f ca="1">IFERROR(__xludf.DUMMYFUNCTION("""COMPUTED_VALUE"""),"SW6_KA04C5129_JETTING")</f>
        <v>SW6_KA04C5129_JETTING</v>
      </c>
      <c r="C2175" s="1" t="str">
        <f ca="1">IFERROR(__xludf.DUMMYFUNCTION("""COMPUTED_VALUE"""),"sw6_ka04c5129_jetting")</f>
        <v>sw6_ka04c5129_jetting</v>
      </c>
      <c r="D2175" s="2">
        <f ca="1">IFERROR(__xludf.DUMMYFUNCTION("""COMPUTED_VALUE"""),44769)</f>
        <v>44769</v>
      </c>
      <c r="E2175" s="3">
        <f ca="1">IFERROR(__xludf.DUMMYFUNCTION("""COMPUTED_VALUE"""),0.530740740741748)</f>
        <v>0.53074074074174804</v>
      </c>
      <c r="F2175" s="1">
        <f ca="1">IFERROR(__xludf.DUMMYFUNCTION("""COMPUTED_VALUE"""),26916)</f>
        <v>26916</v>
      </c>
      <c r="G2175" s="1" t="str">
        <f ca="1">IFERROR(__xludf.DUMMYFUNCTION("""COMPUTED_VALUE"""),"12.8745/77.5182")</f>
        <v>12.8745/77.5182</v>
      </c>
      <c r="H2175" s="1" t="str">
        <f ca="1">IFERROR(__xludf.DUMMYFUNCTION("""COMPUTED_VALUE"""),"Poornapragana Layout")</f>
        <v>Poornapragana Layout</v>
      </c>
      <c r="I2175" s="1"/>
      <c r="J2175" s="1" t="str">
        <f ca="1">IFERROR(__xludf.DUMMYFUNCTION("""COMPUTED_VALUE"""),"601d 22h 48m")</f>
        <v>601d 22h 48m</v>
      </c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13.2">
      <c r="A2176" s="1">
        <f ca="1">IFERROR(__xludf.DUMMYFUNCTION("""COMPUTED_VALUE"""),51)</f>
        <v>51</v>
      </c>
      <c r="B2176" s="1" t="str">
        <f ca="1">IFERROR(__xludf.DUMMYFUNCTION("""COMPUTED_VALUE"""),"SW6_KA04D5233_TANKER")</f>
        <v>SW6_KA04D5233_TANKER</v>
      </c>
      <c r="C2176" s="1" t="str">
        <f ca="1">IFERROR(__xludf.DUMMYFUNCTION("""COMPUTED_VALUE"""),"sw6_ka04d5233_tanker")</f>
        <v>sw6_ka04d5233_tanker</v>
      </c>
      <c r="D2176" s="2">
        <f ca="1">IFERROR(__xludf.DUMMYFUNCTION("""COMPUTED_VALUE"""),41640)</f>
        <v>41640</v>
      </c>
      <c r="E2176" s="3">
        <f ca="1">IFERROR(__xludf.DUMMYFUNCTION("""COMPUTED_VALUE"""),0.368819444443943)</f>
        <v>0.36881944444394299</v>
      </c>
      <c r="F2176" s="1">
        <f ca="1">IFERROR(__xludf.DUMMYFUNCTION("""COMPUTED_VALUE"""),85338)</f>
        <v>85338</v>
      </c>
      <c r="G2176" s="1" t="str">
        <f ca="1">IFERROR(__xludf.DUMMYFUNCTION("""COMPUTED_VALUE"""),"12.8747/77.5180")</f>
        <v>12.8747/77.5180</v>
      </c>
      <c r="H2176" s="1" t="str">
        <f ca="1">IFERROR(__xludf.DUMMYFUNCTION("""COMPUTED_VALUE"""),"Poornapragana Layout")</f>
        <v>Poornapragana Layout</v>
      </c>
      <c r="I2176" s="1"/>
      <c r="J2176" s="1" t="str">
        <f ca="1">IFERROR(__xludf.DUMMYFUNCTION("""COMPUTED_VALUE"""),"0d 00h 00m")</f>
        <v>0d 00h 00m</v>
      </c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13.2">
      <c r="A2177" s="1">
        <f ca="1">IFERROR(__xludf.DUMMYFUNCTION("""COMPUTED_VALUE"""),51)</f>
        <v>51</v>
      </c>
      <c r="B2177" s="1" t="str">
        <f ca="1">IFERROR(__xludf.DUMMYFUNCTION("""COMPUTED_VALUE"""),"SW6_KA04D5233_TANKER")</f>
        <v>SW6_KA04D5233_TANKER</v>
      </c>
      <c r="C2177" s="1" t="str">
        <f ca="1">IFERROR(__xludf.DUMMYFUNCTION("""COMPUTED_VALUE"""),"sw6_ka04d5233_tanker")</f>
        <v>sw6_ka04d5233_tanker</v>
      </c>
      <c r="D2177" s="2">
        <f ca="1">IFERROR(__xludf.DUMMYFUNCTION("""COMPUTED_VALUE"""),41640)</f>
        <v>41640</v>
      </c>
      <c r="E2177" s="3">
        <f ca="1">IFERROR(__xludf.DUMMYFUNCTION("""COMPUTED_VALUE"""),0.368819444443943)</f>
        <v>0.36881944444394299</v>
      </c>
      <c r="F2177" s="1">
        <f ca="1">IFERROR(__xludf.DUMMYFUNCTION("""COMPUTED_VALUE"""),85338)</f>
        <v>85338</v>
      </c>
      <c r="G2177" s="1" t="str">
        <f ca="1">IFERROR(__xludf.DUMMYFUNCTION("""COMPUTED_VALUE"""),"12.8747/77.5180")</f>
        <v>12.8747/77.5180</v>
      </c>
      <c r="H2177" s="1" t="str">
        <f ca="1">IFERROR(__xludf.DUMMYFUNCTION("""COMPUTED_VALUE"""),"Poornapragana Layout")</f>
        <v>Poornapragana Layout</v>
      </c>
      <c r="I2177" s="1"/>
      <c r="J2177" s="1" t="str">
        <f ca="1">IFERROR(__xludf.DUMMYFUNCTION("""COMPUTED_VALUE"""),"0d 00h 00m")</f>
        <v>0d 00h 00m</v>
      </c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13.2">
      <c r="A2178" s="1">
        <f ca="1">IFERROR(__xludf.DUMMYFUNCTION("""COMPUTED_VALUE"""),51)</f>
        <v>51</v>
      </c>
      <c r="B2178" s="1" t="str">
        <f ca="1">IFERROR(__xludf.DUMMYFUNCTION("""COMPUTED_VALUE"""),"SW6_KA04D5233_TANKER")</f>
        <v>SW6_KA04D5233_TANKER</v>
      </c>
      <c r="C2178" s="1" t="str">
        <f ca="1">IFERROR(__xludf.DUMMYFUNCTION("""COMPUTED_VALUE"""),"sw6_ka04d5233_tanker")</f>
        <v>sw6_ka04d5233_tanker</v>
      </c>
      <c r="D2178" s="2">
        <f ca="1">IFERROR(__xludf.DUMMYFUNCTION("""COMPUTED_VALUE"""),41640)</f>
        <v>41640</v>
      </c>
      <c r="E2178" s="3">
        <f ca="1">IFERROR(__xludf.DUMMYFUNCTION("""COMPUTED_VALUE"""),0.368819444443943)</f>
        <v>0.36881944444394299</v>
      </c>
      <c r="F2178" s="1">
        <f ca="1">IFERROR(__xludf.DUMMYFUNCTION("""COMPUTED_VALUE"""),85338)</f>
        <v>85338</v>
      </c>
      <c r="G2178" s="1" t="str">
        <f ca="1">IFERROR(__xludf.DUMMYFUNCTION("""COMPUTED_VALUE"""),"12.8747/77.5180")</f>
        <v>12.8747/77.5180</v>
      </c>
      <c r="H2178" s="1" t="str">
        <f ca="1">IFERROR(__xludf.DUMMYFUNCTION("""COMPUTED_VALUE"""),"Poornapragana Layout")</f>
        <v>Poornapragana Layout</v>
      </c>
      <c r="I2178" s="1"/>
      <c r="J2178" s="1" t="str">
        <f ca="1">IFERROR(__xludf.DUMMYFUNCTION("""COMPUTED_VALUE"""),"0d 00h 00m")</f>
        <v>0d 00h 00m</v>
      </c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13.2">
      <c r="A2179" s="1">
        <f ca="1">IFERROR(__xludf.DUMMYFUNCTION("""COMPUTED_VALUE"""),51)</f>
        <v>51</v>
      </c>
      <c r="B2179" s="1" t="str">
        <f ca="1">IFERROR(__xludf.DUMMYFUNCTION("""COMPUTED_VALUE"""),"SW6_KA04D5233_TANKER")</f>
        <v>SW6_KA04D5233_TANKER</v>
      </c>
      <c r="C2179" s="1" t="str">
        <f ca="1">IFERROR(__xludf.DUMMYFUNCTION("""COMPUTED_VALUE"""),"sw6_ka04d5233_tanker")</f>
        <v>sw6_ka04d5233_tanker</v>
      </c>
      <c r="D2179" s="2">
        <f ca="1">IFERROR(__xludf.DUMMYFUNCTION("""COMPUTED_VALUE"""),41640)</f>
        <v>41640</v>
      </c>
      <c r="E2179" s="3">
        <f ca="1">IFERROR(__xludf.DUMMYFUNCTION("""COMPUTED_VALUE"""),0.368819444443943)</f>
        <v>0.36881944444394299</v>
      </c>
      <c r="F2179" s="1">
        <f ca="1">IFERROR(__xludf.DUMMYFUNCTION("""COMPUTED_VALUE"""),85338)</f>
        <v>85338</v>
      </c>
      <c r="G2179" s="1" t="str">
        <f ca="1">IFERROR(__xludf.DUMMYFUNCTION("""COMPUTED_VALUE"""),"12.8747/77.5180")</f>
        <v>12.8747/77.5180</v>
      </c>
      <c r="H2179" s="1" t="str">
        <f ca="1">IFERROR(__xludf.DUMMYFUNCTION("""COMPUTED_VALUE"""),"Poornapragana Layout")</f>
        <v>Poornapragana Layout</v>
      </c>
      <c r="I2179" s="1"/>
      <c r="J2179" s="1" t="str">
        <f ca="1">IFERROR(__xludf.DUMMYFUNCTION("""COMPUTED_VALUE"""),"0d 00h 00m")</f>
        <v>0d 00h 00m</v>
      </c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13.2">
      <c r="A2180" s="1">
        <f ca="1">IFERROR(__xludf.DUMMYFUNCTION("""COMPUTED_VALUE"""),51)</f>
        <v>51</v>
      </c>
      <c r="B2180" s="1" t="str">
        <f ca="1">IFERROR(__xludf.DUMMYFUNCTION("""COMPUTED_VALUE"""),"SW6_KA04D5233_TANKER")</f>
        <v>SW6_KA04D5233_TANKER</v>
      </c>
      <c r="C2180" s="1" t="str">
        <f ca="1">IFERROR(__xludf.DUMMYFUNCTION("""COMPUTED_VALUE"""),"sw6_ka04d5233_tanker")</f>
        <v>sw6_ka04d5233_tanker</v>
      </c>
      <c r="D2180" s="2">
        <f ca="1">IFERROR(__xludf.DUMMYFUNCTION("""COMPUTED_VALUE"""),41640)</f>
        <v>41640</v>
      </c>
      <c r="E2180" s="3">
        <f ca="1">IFERROR(__xludf.DUMMYFUNCTION("""COMPUTED_VALUE"""),0.368819444443943)</f>
        <v>0.36881944444394299</v>
      </c>
      <c r="F2180" s="1">
        <f ca="1">IFERROR(__xludf.DUMMYFUNCTION("""COMPUTED_VALUE"""),85338)</f>
        <v>85338</v>
      </c>
      <c r="G2180" s="1" t="str">
        <f ca="1">IFERROR(__xludf.DUMMYFUNCTION("""COMPUTED_VALUE"""),"12.8747/77.5180")</f>
        <v>12.8747/77.5180</v>
      </c>
      <c r="H2180" s="1" t="str">
        <f ca="1">IFERROR(__xludf.DUMMYFUNCTION("""COMPUTED_VALUE"""),"Poornapragana Layout")</f>
        <v>Poornapragana Layout</v>
      </c>
      <c r="I2180" s="1"/>
      <c r="J2180" s="1" t="str">
        <f ca="1">IFERROR(__xludf.DUMMYFUNCTION("""COMPUTED_VALUE"""),"0d 00h 00m")</f>
        <v>0d 00h 00m</v>
      </c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13.2">
      <c r="A2181" s="1">
        <f ca="1">IFERROR(__xludf.DUMMYFUNCTION("""COMPUTED_VALUE"""),51)</f>
        <v>51</v>
      </c>
      <c r="B2181" s="1" t="str">
        <f ca="1">IFERROR(__xludf.DUMMYFUNCTION("""COMPUTED_VALUE"""),"SW6_KA04D5233_TANKER")</f>
        <v>SW6_KA04D5233_TANKER</v>
      </c>
      <c r="C2181" s="1" t="str">
        <f ca="1">IFERROR(__xludf.DUMMYFUNCTION("""COMPUTED_VALUE"""),"sw6_ka04d5233_tanker")</f>
        <v>sw6_ka04d5233_tanker</v>
      </c>
      <c r="D2181" s="2">
        <f ca="1">IFERROR(__xludf.DUMMYFUNCTION("""COMPUTED_VALUE"""),41640)</f>
        <v>41640</v>
      </c>
      <c r="E2181" s="3">
        <f ca="1">IFERROR(__xludf.DUMMYFUNCTION("""COMPUTED_VALUE"""),0.368819444443943)</f>
        <v>0.36881944444394299</v>
      </c>
      <c r="F2181" s="1">
        <f ca="1">IFERROR(__xludf.DUMMYFUNCTION("""COMPUTED_VALUE"""),85338)</f>
        <v>85338</v>
      </c>
      <c r="G2181" s="1" t="str">
        <f ca="1">IFERROR(__xludf.DUMMYFUNCTION("""COMPUTED_VALUE"""),"12.8747/77.5180")</f>
        <v>12.8747/77.5180</v>
      </c>
      <c r="H2181" s="1" t="str">
        <f ca="1">IFERROR(__xludf.DUMMYFUNCTION("""COMPUTED_VALUE"""),"Poornapragana Layout")</f>
        <v>Poornapragana Layout</v>
      </c>
      <c r="I2181" s="1"/>
      <c r="J2181" s="1" t="str">
        <f ca="1">IFERROR(__xludf.DUMMYFUNCTION("""COMPUTED_VALUE"""),"0d 00h 00m")</f>
        <v>0d 00h 00m</v>
      </c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13.2" collapsed="1">
      <c r="A2182" s="1">
        <f ca="1">IFERROR(__xludf.DUMMYFUNCTION("""COMPUTED_VALUE"""),51)</f>
        <v>51</v>
      </c>
      <c r="B2182" s="1" t="str">
        <f ca="1">IFERROR(__xludf.DUMMYFUNCTION("""COMPUTED_VALUE"""),"SW6_KA04D5233_TANKER")</f>
        <v>SW6_KA04D5233_TANKER</v>
      </c>
      <c r="C2182" s="1" t="str">
        <f ca="1">IFERROR(__xludf.DUMMYFUNCTION("""COMPUTED_VALUE"""),"sw6_ka04d5233_tanker")</f>
        <v>sw6_ka04d5233_tanker</v>
      </c>
      <c r="D2182" s="2">
        <f ca="1">IFERROR(__xludf.DUMMYFUNCTION("""COMPUTED_VALUE"""),41640)</f>
        <v>41640</v>
      </c>
      <c r="E2182" s="3">
        <f ca="1">IFERROR(__xludf.DUMMYFUNCTION("""COMPUTED_VALUE"""),0.368819444443943)</f>
        <v>0.36881944444394299</v>
      </c>
      <c r="F2182" s="1">
        <f ca="1">IFERROR(__xludf.DUMMYFUNCTION("""COMPUTED_VALUE"""),85338)</f>
        <v>85338</v>
      </c>
      <c r="G2182" s="1" t="str">
        <f ca="1">IFERROR(__xludf.DUMMYFUNCTION("""COMPUTED_VALUE"""),"12.8747/77.5180")</f>
        <v>12.8747/77.5180</v>
      </c>
      <c r="H2182" s="1" t="str">
        <f ca="1">IFERROR(__xludf.DUMMYFUNCTION("""COMPUTED_VALUE"""),"Poornapragana Layout")</f>
        <v>Poornapragana Layout</v>
      </c>
      <c r="I2182" s="1"/>
      <c r="J2182" s="1" t="str">
        <f ca="1">IFERROR(__xludf.DUMMYFUNCTION("""COMPUTED_VALUE"""),"0d 00h 00m")</f>
        <v>0d 00h 00m</v>
      </c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13.2" hidden="1" outlineLevel="1">
      <c r="A2183" s="1"/>
      <c r="B2183" s="1" t="str">
        <f ca="1">IFERROR(__xludf.DUMMYFUNCTION("""COMPUTED_VALUE"""),"Vehicle Description")</f>
        <v>Vehicle Description</v>
      </c>
      <c r="C2183" s="1" t="str">
        <f ca="1">IFERROR(__xludf.DUMMYFUNCTION("""COMPUTED_VALUE""")," Device-ID ")</f>
        <v xml:space="preserve"> Device-ID </v>
      </c>
      <c r="D2183" s="2"/>
      <c r="E2183" s="3"/>
      <c r="F2183" s="1"/>
      <c r="G2183" s="1" t="str">
        <f ca="1">IFERROR(__xludf.DUMMYFUNCTION("""COMPUTED_VALUE"""),"Lat/Lon ")</f>
        <v xml:space="preserve">Lat/Lon </v>
      </c>
      <c r="H2183" s="1" t="str">
        <f ca="1">IFERROR(__xludf.DUMMYFUNCTION("""COMPUTED_VALUE"""),"Address ")</f>
        <v xml:space="preserve">Address </v>
      </c>
      <c r="I2183" s="1" t="str">
        <f ca="1">IFERROR(__xludf.DUMMYFUNCTION("""COMPUTED_VALUE"""),"Latest Batt %")</f>
        <v>Latest Batt %</v>
      </c>
      <c r="J2183" s="1" t="str">
        <f ca="1">IFERROR(__xludf.DUMMYFUNCTION("""COMPUTED_VALUE"""),"Since Last Check-In")</f>
        <v>Since Last Check-In</v>
      </c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13.2" hidden="1" outlineLevel="1">
      <c r="A2184" s="1"/>
      <c r="B2184" s="1" t="str">
        <f ca="1">IFERROR(__xludf.DUMMYFUNCTION("""COMPUTED_VALUE"""),"Vehicle Description")</f>
        <v>Vehicle Description</v>
      </c>
      <c r="C2184" s="1" t="str">
        <f ca="1">IFERROR(__xludf.DUMMYFUNCTION("""COMPUTED_VALUE"""),"Device-ID")</f>
        <v>Device-ID</v>
      </c>
      <c r="D2184" s="2"/>
      <c r="E2184" s="3"/>
      <c r="F2184" s="1"/>
      <c r="G2184" s="1" t="str">
        <f ca="1">IFERROR(__xludf.DUMMYFUNCTION("""COMPUTED_VALUE"""),"Lat/Lon")</f>
        <v>Lat/Lon</v>
      </c>
      <c r="H2184" s="1" t="str">
        <f ca="1">IFERROR(__xludf.DUMMYFUNCTION("""COMPUTED_VALUE"""),"Address")</f>
        <v>Address</v>
      </c>
      <c r="I2184" s="1" t="str">
        <f ca="1">IFERROR(__xludf.DUMMYFUNCTION("""COMPUTED_VALUE"""),"Latest Batt %")</f>
        <v>Latest Batt %</v>
      </c>
      <c r="J2184" s="1" t="str">
        <f ca="1">IFERROR(__xludf.DUMMYFUNCTION("""COMPUTED_VALUE"""),"Since Last Check-in")</f>
        <v>Since Last Check-in</v>
      </c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13.2" hidden="1" outlineLevel="1">
      <c r="A2185" s="1"/>
      <c r="B2185" s="1" t="str">
        <f ca="1">IFERROR(__xludf.DUMMYFUNCTION("""COMPUTED_VALUE"""),"Vehicle Description")</f>
        <v>Vehicle Description</v>
      </c>
      <c r="C2185" s="1" t="str">
        <f ca="1">IFERROR(__xludf.DUMMYFUNCTION("""COMPUTED_VALUE"""),"Device-ID")</f>
        <v>Device-ID</v>
      </c>
      <c r="D2185" s="2"/>
      <c r="E2185" s="3"/>
      <c r="F2185" s="1"/>
      <c r="G2185" s="1" t="str">
        <f ca="1">IFERROR(__xludf.DUMMYFUNCTION("""COMPUTED_VALUE"""),"Lat/Lon")</f>
        <v>Lat/Lon</v>
      </c>
      <c r="H2185" s="1" t="str">
        <f ca="1">IFERROR(__xludf.DUMMYFUNCTION("""COMPUTED_VALUE"""),"Address")</f>
        <v>Address</v>
      </c>
      <c r="I2185" s="1" t="str">
        <f ca="1">IFERROR(__xludf.DUMMYFUNCTION("""COMPUTED_VALUE"""),"Latest Batt %")</f>
        <v>Latest Batt %</v>
      </c>
      <c r="J2185" s="1" t="str">
        <f ca="1">IFERROR(__xludf.DUMMYFUNCTION("""COMPUTED_VALUE"""),"Since Last Check-in")</f>
        <v>Since Last Check-in</v>
      </c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13.2" hidden="1" outlineLevel="1">
      <c r="A2186" s="1"/>
      <c r="B2186" s="1" t="str">
        <f ca="1">IFERROR(__xludf.DUMMYFUNCTION("""COMPUTED_VALUE"""),"Vehicle Description")</f>
        <v>Vehicle Description</v>
      </c>
      <c r="C2186" s="1" t="str">
        <f ca="1">IFERROR(__xludf.DUMMYFUNCTION("""COMPUTED_VALUE"""),"Device-ID")</f>
        <v>Device-ID</v>
      </c>
      <c r="D2186" s="2"/>
      <c r="E2186" s="3"/>
      <c r="F2186" s="1"/>
      <c r="G2186" s="1" t="str">
        <f ca="1">IFERROR(__xludf.DUMMYFUNCTION("""COMPUTED_VALUE"""),"Lat/Lon")</f>
        <v>Lat/Lon</v>
      </c>
      <c r="H2186" s="1" t="str">
        <f ca="1">IFERROR(__xludf.DUMMYFUNCTION("""COMPUTED_VALUE"""),"Address")</f>
        <v>Address</v>
      </c>
      <c r="I2186" s="1" t="str">
        <f ca="1">IFERROR(__xludf.DUMMYFUNCTION("""COMPUTED_VALUE"""),"Latest Batt %")</f>
        <v>Latest Batt %</v>
      </c>
      <c r="J2186" s="1" t="str">
        <f ca="1">IFERROR(__xludf.DUMMYFUNCTION("""COMPUTED_VALUE"""),"Since Last Check-in")</f>
        <v>Since Last Check-in</v>
      </c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13.2" hidden="1" outlineLevel="1">
      <c r="A2187" s="1"/>
      <c r="B2187" s="1" t="str">
        <f ca="1">IFERROR(__xludf.DUMMYFUNCTION("""COMPUTED_VALUE"""),"Vehicle Description")</f>
        <v>Vehicle Description</v>
      </c>
      <c r="C2187" s="1" t="str">
        <f ca="1">IFERROR(__xludf.DUMMYFUNCTION("""COMPUTED_VALUE"""),"Device-ID")</f>
        <v>Device-ID</v>
      </c>
      <c r="D2187" s="2"/>
      <c r="E2187" s="3"/>
      <c r="F2187" s="1"/>
      <c r="G2187" s="1" t="str">
        <f ca="1">IFERROR(__xludf.DUMMYFUNCTION("""COMPUTED_VALUE"""),"Lat/Lon")</f>
        <v>Lat/Lon</v>
      </c>
      <c r="H2187" s="1" t="str">
        <f ca="1">IFERROR(__xludf.DUMMYFUNCTION("""COMPUTED_VALUE"""),"Address")</f>
        <v>Address</v>
      </c>
      <c r="I2187" s="1" t="str">
        <f ca="1">IFERROR(__xludf.DUMMYFUNCTION("""COMPUTED_VALUE"""),"Latest Batt %")</f>
        <v>Latest Batt %</v>
      </c>
      <c r="J2187" s="1" t="str">
        <f ca="1">IFERROR(__xludf.DUMMYFUNCTION("""COMPUTED_VALUE"""),"Since Last Check-in")</f>
        <v>Since Last Check-in</v>
      </c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13.2" hidden="1" outlineLevel="1">
      <c r="A2188" s="1"/>
      <c r="B2188" s="1" t="str">
        <f ca="1">IFERROR(__xludf.DUMMYFUNCTION("""COMPUTED_VALUE"""),"Vehicle Description")</f>
        <v>Vehicle Description</v>
      </c>
      <c r="C2188" s="1" t="str">
        <f ca="1">IFERROR(__xludf.DUMMYFUNCTION("""COMPUTED_VALUE"""),"Device-ID")</f>
        <v>Device-ID</v>
      </c>
      <c r="D2188" s="2"/>
      <c r="E2188" s="3"/>
      <c r="F2188" s="1"/>
      <c r="G2188" s="1" t="str">
        <f ca="1">IFERROR(__xludf.DUMMYFUNCTION("""COMPUTED_VALUE"""),"Lat/Lon")</f>
        <v>Lat/Lon</v>
      </c>
      <c r="H2188" s="1" t="str">
        <f ca="1">IFERROR(__xludf.DUMMYFUNCTION("""COMPUTED_VALUE"""),"Address")</f>
        <v>Address</v>
      </c>
      <c r="I2188" s="1" t="str">
        <f ca="1">IFERROR(__xludf.DUMMYFUNCTION("""COMPUTED_VALUE"""),"Latest Batt %")</f>
        <v>Latest Batt %</v>
      </c>
      <c r="J2188" s="1" t="str">
        <f ca="1">IFERROR(__xludf.DUMMYFUNCTION("""COMPUTED_VALUE"""),"Since Last Check-in")</f>
        <v>Since Last Check-in</v>
      </c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13.2" hidden="1" outlineLevel="1">
      <c r="A2189" s="1"/>
      <c r="B2189" s="1" t="str">
        <f ca="1">IFERROR(__xludf.DUMMYFUNCTION("""COMPUTED_VALUE"""),"Vehicle Description")</f>
        <v>Vehicle Description</v>
      </c>
      <c r="C2189" s="1" t="str">
        <f ca="1">IFERROR(__xludf.DUMMYFUNCTION("""COMPUTED_VALUE"""),"Device-ID")</f>
        <v>Device-ID</v>
      </c>
      <c r="D2189" s="2"/>
      <c r="E2189" s="3"/>
      <c r="F2189" s="1"/>
      <c r="G2189" s="1" t="str">
        <f ca="1">IFERROR(__xludf.DUMMYFUNCTION("""COMPUTED_VALUE"""),"Lat/Lon")</f>
        <v>Lat/Lon</v>
      </c>
      <c r="H2189" s="1" t="str">
        <f ca="1">IFERROR(__xludf.DUMMYFUNCTION("""COMPUTED_VALUE"""),"Address")</f>
        <v>Address</v>
      </c>
      <c r="I2189" s="1" t="str">
        <f ca="1">IFERROR(__xludf.DUMMYFUNCTION("""COMPUTED_VALUE"""),"Latest Batt %")</f>
        <v>Latest Batt %</v>
      </c>
      <c r="J2189" s="1" t="str">
        <f ca="1">IFERROR(__xludf.DUMMYFUNCTION("""COMPUTED_VALUE"""),"Since Last Check-in")</f>
        <v>Since Last Check-in</v>
      </c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13.2" hidden="1" outlineLevel="1">
      <c r="A2190" s="1"/>
      <c r="B2190" s="1" t="str">
        <f ca="1">IFERROR(__xludf.DUMMYFUNCTION("""COMPUTED_VALUE"""),"Vehicle Description")</f>
        <v>Vehicle Description</v>
      </c>
      <c r="C2190" s="1" t="str">
        <f ca="1">IFERROR(__xludf.DUMMYFUNCTION("""COMPUTED_VALUE"""),"Device-ID")</f>
        <v>Device-ID</v>
      </c>
      <c r="D2190" s="2"/>
      <c r="E2190" s="3"/>
      <c r="F2190" s="1"/>
      <c r="G2190" s="1" t="str">
        <f ca="1">IFERROR(__xludf.DUMMYFUNCTION("""COMPUTED_VALUE"""),"Lat/Lon")</f>
        <v>Lat/Lon</v>
      </c>
      <c r="H2190" s="1" t="str">
        <f ca="1">IFERROR(__xludf.DUMMYFUNCTION("""COMPUTED_VALUE"""),"Address")</f>
        <v>Address</v>
      </c>
      <c r="I2190" s="1" t="str">
        <f ca="1">IFERROR(__xludf.DUMMYFUNCTION("""COMPUTED_VALUE"""),"Latest Batt %")</f>
        <v>Latest Batt %</v>
      </c>
      <c r="J2190" s="1" t="str">
        <f ca="1">IFERROR(__xludf.DUMMYFUNCTION("""COMPUTED_VALUE"""),"Since Last Check-in")</f>
        <v>Since Last Check-in</v>
      </c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13.2" hidden="1" outlineLevel="1">
      <c r="A2191" s="1"/>
      <c r="B2191" s="1" t="str">
        <f ca="1">IFERROR(__xludf.DUMMYFUNCTION("""COMPUTED_VALUE"""),"Vehicle Description")</f>
        <v>Vehicle Description</v>
      </c>
      <c r="C2191" s="1" t="str">
        <f ca="1">IFERROR(__xludf.DUMMYFUNCTION("""COMPUTED_VALUE"""),"Device-ID")</f>
        <v>Device-ID</v>
      </c>
      <c r="D2191" s="2"/>
      <c r="E2191" s="3"/>
      <c r="F2191" s="1"/>
      <c r="G2191" s="1" t="str">
        <f ca="1">IFERROR(__xludf.DUMMYFUNCTION("""COMPUTED_VALUE"""),"Lat/Lon")</f>
        <v>Lat/Lon</v>
      </c>
      <c r="H2191" s="1" t="str">
        <f ca="1">IFERROR(__xludf.DUMMYFUNCTION("""COMPUTED_VALUE"""),"Address")</f>
        <v>Address</v>
      </c>
      <c r="I2191" s="1" t="str">
        <f ca="1">IFERROR(__xludf.DUMMYFUNCTION("""COMPUTED_VALUE"""),"Latest Batt %")</f>
        <v>Latest Batt %</v>
      </c>
      <c r="J2191" s="1" t="str">
        <f ca="1">IFERROR(__xludf.DUMMYFUNCTION("""COMPUTED_VALUE"""),"Since Last Check-in")</f>
        <v>Since Last Check-in</v>
      </c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13.2" hidden="1" outlineLevel="1">
      <c r="A2192" s="1"/>
      <c r="B2192" s="1" t="str">
        <f ca="1">IFERROR(__xludf.DUMMYFUNCTION("""COMPUTED_VALUE"""),"Vehicle Description")</f>
        <v>Vehicle Description</v>
      </c>
      <c r="C2192" s="1" t="str">
        <f ca="1">IFERROR(__xludf.DUMMYFUNCTION("""COMPUTED_VALUE"""),"Device-ID")</f>
        <v>Device-ID</v>
      </c>
      <c r="D2192" s="2"/>
      <c r="E2192" s="3"/>
      <c r="F2192" s="1"/>
      <c r="G2192" s="1" t="str">
        <f ca="1">IFERROR(__xludf.DUMMYFUNCTION("""COMPUTED_VALUE"""),"Lat/Lon")</f>
        <v>Lat/Lon</v>
      </c>
      <c r="H2192" s="1" t="str">
        <f ca="1">IFERROR(__xludf.DUMMYFUNCTION("""COMPUTED_VALUE"""),"Address")</f>
        <v>Address</v>
      </c>
      <c r="I2192" s="1" t="str">
        <f ca="1">IFERROR(__xludf.DUMMYFUNCTION("""COMPUTED_VALUE"""),"Latest Batt %")</f>
        <v>Latest Batt %</v>
      </c>
      <c r="J2192" s="1" t="str">
        <f ca="1">IFERROR(__xludf.DUMMYFUNCTION("""COMPUTED_VALUE"""),"Since Last Check-in")</f>
        <v>Since Last Check-in</v>
      </c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13.2" hidden="1" outlineLevel="1">
      <c r="A2193" s="1"/>
      <c r="B2193" s="1" t="str">
        <f ca="1">IFERROR(__xludf.DUMMYFUNCTION("""COMPUTED_VALUE"""),"Vehicle Description")</f>
        <v>Vehicle Description</v>
      </c>
      <c r="C2193" s="1" t="str">
        <f ca="1">IFERROR(__xludf.DUMMYFUNCTION("""COMPUTED_VALUE"""),"Device-ID")</f>
        <v>Device-ID</v>
      </c>
      <c r="D2193" s="2"/>
      <c r="E2193" s="3"/>
      <c r="F2193" s="1"/>
      <c r="G2193" s="1" t="str">
        <f ca="1">IFERROR(__xludf.DUMMYFUNCTION("""COMPUTED_VALUE"""),"Lat/Lon")</f>
        <v>Lat/Lon</v>
      </c>
      <c r="H2193" s="1" t="str">
        <f ca="1">IFERROR(__xludf.DUMMYFUNCTION("""COMPUTED_VALUE"""),"Address")</f>
        <v>Address</v>
      </c>
      <c r="I2193" s="1" t="str">
        <f ca="1">IFERROR(__xludf.DUMMYFUNCTION("""COMPUTED_VALUE"""),"Latest Batt %")</f>
        <v>Latest Batt %</v>
      </c>
      <c r="J2193" s="1" t="str">
        <f ca="1">IFERROR(__xludf.DUMMYFUNCTION("""COMPUTED_VALUE"""),"Since Last Check-in")</f>
        <v>Since Last Check-in</v>
      </c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13.2" hidden="1" outlineLevel="1">
      <c r="A2194" s="1"/>
      <c r="B2194" s="1" t="str">
        <f ca="1">IFERROR(__xludf.DUMMYFUNCTION("""COMPUTED_VALUE"""),"Vehicle Description")</f>
        <v>Vehicle Description</v>
      </c>
      <c r="C2194" s="1" t="str">
        <f ca="1">IFERROR(__xludf.DUMMYFUNCTION("""COMPUTED_VALUE"""),"Device-ID")</f>
        <v>Device-ID</v>
      </c>
      <c r="D2194" s="2"/>
      <c r="E2194" s="3"/>
      <c r="F2194" s="1"/>
      <c r="G2194" s="1" t="str">
        <f ca="1">IFERROR(__xludf.DUMMYFUNCTION("""COMPUTED_VALUE"""),"Lat/Lon")</f>
        <v>Lat/Lon</v>
      </c>
      <c r="H2194" s="1" t="str">
        <f ca="1">IFERROR(__xludf.DUMMYFUNCTION("""COMPUTED_VALUE"""),"Address")</f>
        <v>Address</v>
      </c>
      <c r="I2194" s="1" t="str">
        <f ca="1">IFERROR(__xludf.DUMMYFUNCTION("""COMPUTED_VALUE"""),"Latest Batt %")</f>
        <v>Latest Batt %</v>
      </c>
      <c r="J2194" s="1" t="str">
        <f ca="1">IFERROR(__xludf.DUMMYFUNCTION("""COMPUTED_VALUE"""),"Since Last Check-in")</f>
        <v>Since Last Check-in</v>
      </c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13.2" hidden="1" outlineLevel="1">
      <c r="A2195" s="1"/>
      <c r="B2195" s="1" t="str">
        <f ca="1">IFERROR(__xludf.DUMMYFUNCTION("""COMPUTED_VALUE"""),"Vehicle Description")</f>
        <v>Vehicle Description</v>
      </c>
      <c r="C2195" s="1" t="str">
        <f ca="1">IFERROR(__xludf.DUMMYFUNCTION("""COMPUTED_VALUE"""),"Device-ID")</f>
        <v>Device-ID</v>
      </c>
      <c r="D2195" s="2"/>
      <c r="E2195" s="3"/>
      <c r="F2195" s="1"/>
      <c r="G2195" s="1" t="str">
        <f ca="1">IFERROR(__xludf.DUMMYFUNCTION("""COMPUTED_VALUE"""),"Lat/Lon")</f>
        <v>Lat/Lon</v>
      </c>
      <c r="H2195" s="1" t="str">
        <f ca="1">IFERROR(__xludf.DUMMYFUNCTION("""COMPUTED_VALUE"""),"Address")</f>
        <v>Address</v>
      </c>
      <c r="I2195" s="1" t="str">
        <f ca="1">IFERROR(__xludf.DUMMYFUNCTION("""COMPUTED_VALUE"""),"Latest Batt %")</f>
        <v>Latest Batt %</v>
      </c>
      <c r="J2195" s="1" t="str">
        <f ca="1">IFERROR(__xludf.DUMMYFUNCTION("""COMPUTED_VALUE"""),"Since Last Check-in")</f>
        <v>Since Last Check-in</v>
      </c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13.2">
      <c r="A2196" s="1">
        <f ca="1">IFERROR(__xludf.DUMMYFUNCTION("""COMPUTED_VALUE"""),164)</f>
        <v>164</v>
      </c>
      <c r="B2196" s="1" t="str">
        <f ca="1">IFERROR(__xludf.DUMMYFUNCTION("""COMPUTED_VALUE"""),"W1_KA02B6769_Jetting")</f>
        <v>W1_KA02B6769_Jetting</v>
      </c>
      <c r="C2196" s="1" t="str">
        <f ca="1">IFERROR(__xludf.DUMMYFUNCTION("""COMPUTED_VALUE"""),"w1_ka02b6769_jetting")</f>
        <v>w1_ka02b6769_jetting</v>
      </c>
      <c r="D2196" s="2">
        <f ca="1">IFERROR(__xludf.DUMMYFUNCTION("""COMPUTED_VALUE"""),44707)</f>
        <v>44707</v>
      </c>
      <c r="E2196" s="3">
        <f ca="1">IFERROR(__xludf.DUMMYFUNCTION("""COMPUTED_VALUE"""),0.99900462962978)</f>
        <v>0.99900462962977998</v>
      </c>
      <c r="F2196" s="1">
        <f ca="1">IFERROR(__xludf.DUMMYFUNCTION("""COMPUTED_VALUE"""),24173)</f>
        <v>24173</v>
      </c>
      <c r="G2196" s="1" t="str">
        <f ca="1">IFERROR(__xludf.DUMMYFUNCTION("""COMPUTED_VALUE"""),"12.9755/77.5618")</f>
        <v>12.9755/77.5618</v>
      </c>
      <c r="H2196" s="1" t="str">
        <f ca="1">IFERROR(__xludf.DUMMYFUNCTION("""COMPUTED_VALUE"""),"Bangalore City Railway Station")</f>
        <v>Bangalore City Railway Station</v>
      </c>
      <c r="I2196" s="1"/>
      <c r="J2196" s="1" t="str">
        <f ca="1">IFERROR(__xludf.DUMMYFUNCTION("""COMPUTED_VALUE"""),"0d 00h 00m")</f>
        <v>0d 00h 00m</v>
      </c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13.2">
      <c r="A2197" s="1">
        <f ca="1">IFERROR(__xludf.DUMMYFUNCTION("""COMPUTED_VALUE"""),76)</f>
        <v>76</v>
      </c>
      <c r="B2197" s="1" t="str">
        <f ca="1">IFERROR(__xludf.DUMMYFUNCTION("""COMPUTED_VALUE"""),"W1_KA02B6769_Jetting")</f>
        <v>W1_KA02B6769_Jetting</v>
      </c>
      <c r="C2197" s="1" t="str">
        <f ca="1">IFERROR(__xludf.DUMMYFUNCTION("""COMPUTED_VALUE"""),"w1_ka02b6769_jetting")</f>
        <v>w1_ka02b6769_jetting</v>
      </c>
      <c r="D2197" s="2">
        <f ca="1">IFERROR(__xludf.DUMMYFUNCTION("""COMPUTED_VALUE"""),44722)</f>
        <v>44722</v>
      </c>
      <c r="E2197" s="3">
        <f ca="1">IFERROR(__xludf.DUMMYFUNCTION("""COMPUTED_VALUE"""),0.450497685185837)</f>
        <v>0.45049768518583699</v>
      </c>
      <c r="F2197" s="1">
        <f ca="1">IFERROR(__xludf.DUMMYFUNCTION("""COMPUTED_VALUE"""),24315)</f>
        <v>24315</v>
      </c>
      <c r="G2197" s="1" t="str">
        <f ca="1">IFERROR(__xludf.DUMMYFUNCTION("""COMPUTED_VALUE"""),"12.9700/77.5508")</f>
        <v>12.9700/77.5508</v>
      </c>
      <c r="H2197" s="1" t="str">
        <f ca="1">IFERROR(__xludf.DUMMYFUNCTION("""COMPUTED_VALUE"""),"Goripalya")</f>
        <v>Goripalya</v>
      </c>
      <c r="I2197" s="1"/>
      <c r="J2197" s="1" t="str">
        <f ca="1">IFERROR(__xludf.DUMMYFUNCTION("""COMPUTED_VALUE"""),"0d 00h 00m")</f>
        <v>0d 00h 00m</v>
      </c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13.2">
      <c r="A2198" s="1">
        <f ca="1">IFERROR(__xludf.DUMMYFUNCTION("""COMPUTED_VALUE"""),80)</f>
        <v>80</v>
      </c>
      <c r="B2198" s="1" t="str">
        <f ca="1">IFERROR(__xludf.DUMMYFUNCTION("""COMPUTED_VALUE"""),"W1_KA02B6769_Jetting")</f>
        <v>W1_KA02B6769_Jetting</v>
      </c>
      <c r="C2198" s="1" t="str">
        <f ca="1">IFERROR(__xludf.DUMMYFUNCTION("""COMPUTED_VALUE"""),"w1_ka02b6769_jetting")</f>
        <v>w1_ka02b6769_jetting</v>
      </c>
      <c r="D2198" s="2">
        <f ca="1">IFERROR(__xludf.DUMMYFUNCTION("""COMPUTED_VALUE"""),44748)</f>
        <v>44748</v>
      </c>
      <c r="E2198" s="3">
        <f ca="1">IFERROR(__xludf.DUMMYFUNCTION("""COMPUTED_VALUE"""),0.48458333333474)</f>
        <v>0.48458333333474002</v>
      </c>
      <c r="F2198" s="1">
        <f ca="1">IFERROR(__xludf.DUMMYFUNCTION("""COMPUTED_VALUE"""),24323)</f>
        <v>24323</v>
      </c>
      <c r="G2198" s="1" t="str">
        <f ca="1">IFERROR(__xludf.DUMMYFUNCTION("""COMPUTED_VALUE"""),"12.9714/77.5514")</f>
        <v>12.9714/77.5514</v>
      </c>
      <c r="H2198" s="1" t="str">
        <f ca="1">IFERROR(__xludf.DUMMYFUNCTION("""COMPUTED_VALUE"""),"Magadi Road Tolgate")</f>
        <v>Magadi Road Tolgate</v>
      </c>
      <c r="I2198" s="1"/>
      <c r="J2198" s="1" t="str">
        <f ca="1">IFERROR(__xludf.DUMMYFUNCTION("""COMPUTED_VALUE"""),"0d 00h 00m")</f>
        <v>0d 00h 00m</v>
      </c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13.2">
      <c r="A2199" s="1">
        <f ca="1">IFERROR(__xludf.DUMMYFUNCTION("""COMPUTED_VALUE"""),68)</f>
        <v>68</v>
      </c>
      <c r="B2199" s="1" t="str">
        <f ca="1">IFERROR(__xludf.DUMMYFUNCTION("""COMPUTED_VALUE"""),"W1_KA02B6769_Jetting")</f>
        <v>W1_KA02B6769_Jetting</v>
      </c>
      <c r="C2199" s="1" t="str">
        <f ca="1">IFERROR(__xludf.DUMMYFUNCTION("""COMPUTED_VALUE"""),"w1_ka02b6769_jetting")</f>
        <v>w1_ka02b6769_jetting</v>
      </c>
      <c r="D2199" s="2">
        <f ca="1">IFERROR(__xludf.DUMMYFUNCTION("""COMPUTED_VALUE"""),44748)</f>
        <v>44748</v>
      </c>
      <c r="E2199" s="3">
        <f ca="1">IFERROR(__xludf.DUMMYFUNCTION("""COMPUTED_VALUE"""),0.48458333333474)</f>
        <v>0.48458333333474002</v>
      </c>
      <c r="F2199" s="1">
        <f ca="1">IFERROR(__xludf.DUMMYFUNCTION("""COMPUTED_VALUE"""),24323)</f>
        <v>24323</v>
      </c>
      <c r="G2199" s="1" t="str">
        <f ca="1">IFERROR(__xludf.DUMMYFUNCTION("""COMPUTED_VALUE"""),"12.9714/77.5514")</f>
        <v>12.9714/77.5514</v>
      </c>
      <c r="H2199" s="1" t="str">
        <f ca="1">IFERROR(__xludf.DUMMYFUNCTION("""COMPUTED_VALUE"""),"Magadi Road Tolgate")</f>
        <v>Magadi Road Tolgate</v>
      </c>
      <c r="I2199" s="1"/>
      <c r="J2199" s="1" t="str">
        <f ca="1">IFERROR(__xludf.DUMMYFUNCTION("""COMPUTED_VALUE"""),"0d 00h 00m")</f>
        <v>0d 00h 00m</v>
      </c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13.2">
      <c r="A2200" s="1">
        <f ca="1">IFERROR(__xludf.DUMMYFUNCTION("""COMPUTED_VALUE"""),177)</f>
        <v>177</v>
      </c>
      <c r="B2200" s="1" t="str">
        <f ca="1">IFERROR(__xludf.DUMMYFUNCTION("""COMPUTED_VALUE"""),"W1_KA02B6769_Jetting")</f>
        <v>W1_KA02B6769_Jetting</v>
      </c>
      <c r="C2200" s="1" t="str">
        <f ca="1">IFERROR(__xludf.DUMMYFUNCTION("""COMPUTED_VALUE"""),"w1_ka02b6769_jetting")</f>
        <v>w1_ka02b6769_jetting</v>
      </c>
      <c r="D2200" s="2">
        <f ca="1">IFERROR(__xludf.DUMMYFUNCTION("""COMPUTED_VALUE"""),44830)</f>
        <v>44830</v>
      </c>
      <c r="E2200" s="3">
        <f ca="1">IFERROR(__xludf.DUMMYFUNCTION("""COMPUTED_VALUE"""),0.999050925925985)</f>
        <v>0.99905092592598499</v>
      </c>
      <c r="F2200" s="1">
        <f ca="1">IFERROR(__xludf.DUMMYFUNCTION("""COMPUTED_VALUE"""),24428)</f>
        <v>24428</v>
      </c>
      <c r="G2200" s="1" t="str">
        <f ca="1">IFERROR(__xludf.DUMMYFUNCTION("""COMPUTED_VALUE"""),"12.9755/77.5618")</f>
        <v>12.9755/77.5618</v>
      </c>
      <c r="H2200" s="1" t="str">
        <f ca="1">IFERROR(__xludf.DUMMYFUNCTION("""COMPUTED_VALUE"""),"Bangalore City Railway Station")</f>
        <v>Bangalore City Railway Station</v>
      </c>
      <c r="I2200" s="1"/>
      <c r="J2200" s="1" t="str">
        <f ca="1">IFERROR(__xludf.DUMMYFUNCTION("""COMPUTED_VALUE"""),"0d 00h 00m")</f>
        <v>0d 00h 00m</v>
      </c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13.2">
      <c r="A2201" s="1">
        <f ca="1">IFERROR(__xludf.DUMMYFUNCTION("""COMPUTED_VALUE"""),172)</f>
        <v>172</v>
      </c>
      <c r="B2201" s="1" t="str">
        <f ca="1">IFERROR(__xludf.DUMMYFUNCTION("""COMPUTED_VALUE"""),"W1_KA02B6769_Jetting")</f>
        <v>W1_KA02B6769_Jetting</v>
      </c>
      <c r="C2201" s="1" t="str">
        <f ca="1">IFERROR(__xludf.DUMMYFUNCTION("""COMPUTED_VALUE"""),"w1_ka02b6769_jetting")</f>
        <v>w1_ka02b6769_jetting</v>
      </c>
      <c r="D2201" s="2">
        <f ca="1">IFERROR(__xludf.DUMMYFUNCTION("""COMPUTED_VALUE"""),44860)</f>
        <v>44860</v>
      </c>
      <c r="E2201" s="3">
        <f ca="1">IFERROR(__xludf.DUMMYFUNCTION("""COMPUTED_VALUE"""),0.999027777776063)</f>
        <v>0.999027777776063</v>
      </c>
      <c r="F2201" s="1">
        <f ca="1">IFERROR(__xludf.DUMMYFUNCTION("""COMPUTED_VALUE"""),24601)</f>
        <v>24601</v>
      </c>
      <c r="G2201" s="1" t="str">
        <f ca="1">IFERROR(__xludf.DUMMYFUNCTION("""COMPUTED_VALUE"""),"12.9755/77.5617")</f>
        <v>12.9755/77.5617</v>
      </c>
      <c r="H2201" s="1" t="str">
        <f ca="1">IFERROR(__xludf.DUMMYFUNCTION("""COMPUTED_VALUE"""),"Bangalore City Railway Station")</f>
        <v>Bangalore City Railway Station</v>
      </c>
      <c r="I2201" s="1"/>
      <c r="J2201" s="1" t="str">
        <f ca="1">IFERROR(__xludf.DUMMYFUNCTION("""COMPUTED_VALUE"""),"0d 00h 00m")</f>
        <v>0d 00h 00m</v>
      </c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13.2">
      <c r="A2202" s="1">
        <f ca="1">IFERROR(__xludf.DUMMYFUNCTION("""COMPUTED_VALUE"""),193)</f>
        <v>193</v>
      </c>
      <c r="B2202" s="1" t="str">
        <f ca="1">IFERROR(__xludf.DUMMYFUNCTION("""COMPUTED_VALUE"""),"W1_KA02D3148_Tanker")</f>
        <v>W1_KA02D3148_Tanker</v>
      </c>
      <c r="C2202" s="1" t="str">
        <f ca="1">IFERROR(__xludf.DUMMYFUNCTION("""COMPUTED_VALUE"""),"w1_ka02d3148_tanker")</f>
        <v>w1_ka02d3148_tanker</v>
      </c>
      <c r="D2202" s="2">
        <f ca="1">IFERROR(__xludf.DUMMYFUNCTION("""COMPUTED_VALUE"""),44707)</f>
        <v>44707</v>
      </c>
      <c r="E2202" s="3">
        <f ca="1">IFERROR(__xludf.DUMMYFUNCTION("""COMPUTED_VALUE"""),0.999166666668315)</f>
        <v>0.999166666668315</v>
      </c>
      <c r="F2202" s="1">
        <f ca="1">IFERROR(__xludf.DUMMYFUNCTION("""COMPUTED_VALUE"""),15916)</f>
        <v>15916</v>
      </c>
      <c r="G2202" s="1" t="str">
        <f ca="1">IFERROR(__xludf.DUMMYFUNCTION("""COMPUTED_VALUE"""),"12.9569/77.5481")</f>
        <v>12.9569/77.5481</v>
      </c>
      <c r="H2202" s="1" t="str">
        <f ca="1">IFERROR(__xludf.DUMMYFUNCTION("""COMPUTED_VALUE"""),"Timer yard Layout")</f>
        <v>Timer yard Layout</v>
      </c>
      <c r="I2202" s="1"/>
      <c r="J2202" s="1" t="str">
        <f ca="1">IFERROR(__xludf.DUMMYFUNCTION("""COMPUTED_VALUE"""),"0d 00h 00m")</f>
        <v>0d 00h 00m</v>
      </c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13.2">
      <c r="A2203" s="1">
        <f ca="1">IFERROR(__xludf.DUMMYFUNCTION("""COMPUTED_VALUE"""),87)</f>
        <v>87</v>
      </c>
      <c r="B2203" s="1" t="str">
        <f ca="1">IFERROR(__xludf.DUMMYFUNCTION("""COMPUTED_VALUE"""),"W1_KA02D3148_Tanker")</f>
        <v>W1_KA02D3148_Tanker</v>
      </c>
      <c r="C2203" s="1" t="str">
        <f ca="1">IFERROR(__xludf.DUMMYFUNCTION("""COMPUTED_VALUE"""),"w1_ka02d3148_tanker")</f>
        <v>w1_ka02d3148_tanker</v>
      </c>
      <c r="D2203" s="2">
        <f ca="1">IFERROR(__xludf.DUMMYFUNCTION("""COMPUTED_VALUE"""),44729)</f>
        <v>44729</v>
      </c>
      <c r="E2203" s="3">
        <f ca="1">IFERROR(__xludf.DUMMYFUNCTION("""COMPUTED_VALUE"""),0.593831018519267)</f>
        <v>0.59383101851926701</v>
      </c>
      <c r="F2203" s="1">
        <f ca="1">IFERROR(__xludf.DUMMYFUNCTION("""COMPUTED_VALUE"""),16093)</f>
        <v>16093</v>
      </c>
      <c r="G2203" s="1" t="str">
        <f ca="1">IFERROR(__xludf.DUMMYFUNCTION("""COMPUTED_VALUE"""),"12.9568/77.5480")</f>
        <v>12.9568/77.5480</v>
      </c>
      <c r="H2203" s="1" t="str">
        <f ca="1">IFERROR(__xludf.DUMMYFUNCTION("""COMPUTED_VALUE"""),"Timer yard Layout")</f>
        <v>Timer yard Layout</v>
      </c>
      <c r="I2203" s="1"/>
      <c r="J2203" s="1" t="str">
        <f ca="1">IFERROR(__xludf.DUMMYFUNCTION("""COMPUTED_VALUE"""),"0d 00h 00m")</f>
        <v>0d 00h 00m</v>
      </c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13.2">
      <c r="A2204" s="1">
        <f ca="1">IFERROR(__xludf.DUMMYFUNCTION("""COMPUTED_VALUE"""),85)</f>
        <v>85</v>
      </c>
      <c r="B2204" s="1" t="str">
        <f ca="1">IFERROR(__xludf.DUMMYFUNCTION("""COMPUTED_VALUE"""),"W1_KA02D3148_Tanker")</f>
        <v>W1_KA02D3148_Tanker</v>
      </c>
      <c r="C2204" s="1" t="str">
        <f ca="1">IFERROR(__xludf.DUMMYFUNCTION("""COMPUTED_VALUE"""),"w1_ka02d3148_tanker")</f>
        <v>w1_ka02d3148_tanker</v>
      </c>
      <c r="D2204" s="2">
        <f ca="1">IFERROR(__xludf.DUMMYFUNCTION("""COMPUTED_VALUE"""),44751)</f>
        <v>44751</v>
      </c>
      <c r="E2204" s="3">
        <f ca="1">IFERROR(__xludf.DUMMYFUNCTION("""COMPUTED_VALUE"""),0.0655902777762094)</f>
        <v>6.5590277776209405E-2</v>
      </c>
      <c r="F2204" s="1">
        <f ca="1">IFERROR(__xludf.DUMMYFUNCTION("""COMPUTED_VALUE"""),16119)</f>
        <v>16119</v>
      </c>
      <c r="G2204" s="1" t="str">
        <f ca="1">IFERROR(__xludf.DUMMYFUNCTION("""COMPUTED_VALUE"""),"12.9568/77.5481")</f>
        <v>12.9568/77.5481</v>
      </c>
      <c r="H2204" s="1" t="str">
        <f ca="1">IFERROR(__xludf.DUMMYFUNCTION("""COMPUTED_VALUE"""),"Timer yard Layout")</f>
        <v>Timer yard Layout</v>
      </c>
      <c r="I2204" s="1"/>
      <c r="J2204" s="1" t="str">
        <f ca="1">IFERROR(__xludf.DUMMYFUNCTION("""COMPUTED_VALUE"""),"0d 00h 00m")</f>
        <v>0d 00h 00m</v>
      </c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13.2">
      <c r="A2205" s="1">
        <f ca="1">IFERROR(__xludf.DUMMYFUNCTION("""COMPUTED_VALUE"""),71)</f>
        <v>71</v>
      </c>
      <c r="B2205" s="1" t="str">
        <f ca="1">IFERROR(__xludf.DUMMYFUNCTION("""COMPUTED_VALUE"""),"W1_KA02D3148_Tanker")</f>
        <v>W1_KA02D3148_Tanker</v>
      </c>
      <c r="C2205" s="1" t="str">
        <f ca="1">IFERROR(__xludf.DUMMYFUNCTION("""COMPUTED_VALUE"""),"w1_ka02d3148_tanker")</f>
        <v>w1_ka02d3148_tanker</v>
      </c>
      <c r="D2205" s="2">
        <f ca="1">IFERROR(__xludf.DUMMYFUNCTION("""COMPUTED_VALUE"""),44751)</f>
        <v>44751</v>
      </c>
      <c r="E2205" s="3">
        <f ca="1">IFERROR(__xludf.DUMMYFUNCTION("""COMPUTED_VALUE"""),0.0655902777762094)</f>
        <v>6.5590277776209405E-2</v>
      </c>
      <c r="F2205" s="1">
        <f ca="1">IFERROR(__xludf.DUMMYFUNCTION("""COMPUTED_VALUE"""),16119)</f>
        <v>16119</v>
      </c>
      <c r="G2205" s="1" t="str">
        <f ca="1">IFERROR(__xludf.DUMMYFUNCTION("""COMPUTED_VALUE"""),"12.9568/77.5481")</f>
        <v>12.9568/77.5481</v>
      </c>
      <c r="H2205" s="1" t="str">
        <f ca="1">IFERROR(__xludf.DUMMYFUNCTION("""COMPUTED_VALUE"""),"Timer yard Layout")</f>
        <v>Timer yard Layout</v>
      </c>
      <c r="I2205" s="1"/>
      <c r="J2205" s="1" t="str">
        <f ca="1">IFERROR(__xludf.DUMMYFUNCTION("""COMPUTED_VALUE"""),"0d 00h 00m")</f>
        <v>0d 00h 00m</v>
      </c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13.2">
      <c r="A2206" s="1">
        <f ca="1">IFERROR(__xludf.DUMMYFUNCTION("""COMPUTED_VALUE"""),173)</f>
        <v>173</v>
      </c>
      <c r="B2206" s="1" t="str">
        <f ca="1">IFERROR(__xludf.DUMMYFUNCTION("""COMPUTED_VALUE"""),"W1_KA02D3148_Tanker")</f>
        <v>W1_KA02D3148_Tanker</v>
      </c>
      <c r="C2206" s="1" t="str">
        <f ca="1">IFERROR(__xludf.DUMMYFUNCTION("""COMPUTED_VALUE"""),"w1_ka02d3148_tanker")</f>
        <v>w1_ka02d3148_tanker</v>
      </c>
      <c r="D2206" s="2">
        <f ca="1">IFERROR(__xludf.DUMMYFUNCTION("""COMPUTED_VALUE"""),44830)</f>
        <v>44830</v>
      </c>
      <c r="E2206" s="3">
        <f ca="1">IFERROR(__xludf.DUMMYFUNCTION("""COMPUTED_VALUE"""),0.999027777776063)</f>
        <v>0.999027777776063</v>
      </c>
      <c r="F2206" s="1">
        <f ca="1">IFERROR(__xludf.DUMMYFUNCTION("""COMPUTED_VALUE"""),16243)</f>
        <v>16243</v>
      </c>
      <c r="G2206" s="1" t="str">
        <f ca="1">IFERROR(__xludf.DUMMYFUNCTION("""COMPUTED_VALUE"""),"12.9569/77.5479")</f>
        <v>12.9569/77.5479</v>
      </c>
      <c r="H2206" s="1" t="str">
        <f ca="1">IFERROR(__xludf.DUMMYFUNCTION("""COMPUTED_VALUE"""),"Timer yard Layout")</f>
        <v>Timer yard Layout</v>
      </c>
      <c r="I2206" s="1"/>
      <c r="J2206" s="1" t="str">
        <f ca="1">IFERROR(__xludf.DUMMYFUNCTION("""COMPUTED_VALUE"""),"0d 00h 00m")</f>
        <v>0d 00h 00m</v>
      </c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13.2">
      <c r="A2207" s="1">
        <f ca="1">IFERROR(__xludf.DUMMYFUNCTION("""COMPUTED_VALUE"""),73)</f>
        <v>73</v>
      </c>
      <c r="B2207" s="1" t="str">
        <f ca="1">IFERROR(__xludf.DUMMYFUNCTION("""COMPUTED_VALUE"""),"W1_KA02D3148_Tanker")</f>
        <v>W1_KA02D3148_Tanker</v>
      </c>
      <c r="C2207" s="1" t="str">
        <f ca="1">IFERROR(__xludf.DUMMYFUNCTION("""COMPUTED_VALUE"""),"w1_ka02d3148_tanker")</f>
        <v>w1_ka02d3148_tanker</v>
      </c>
      <c r="D2207" s="2">
        <f ca="1">IFERROR(__xludf.DUMMYFUNCTION("""COMPUTED_VALUE"""),44831)</f>
        <v>44831</v>
      </c>
      <c r="E2207" s="3">
        <f ca="1">IFERROR(__xludf.DUMMYFUNCTION("""COMPUTED_VALUE"""),0.782129629627888)</f>
        <v>0.78212962962788801</v>
      </c>
      <c r="F2207" s="1">
        <f ca="1">IFERROR(__xludf.DUMMYFUNCTION("""COMPUTED_VALUE"""),16255)</f>
        <v>16255</v>
      </c>
      <c r="G2207" s="1" t="str">
        <f ca="1">IFERROR(__xludf.DUMMYFUNCTION("""COMPUTED_VALUE"""),"12.9568/77.5480")</f>
        <v>12.9568/77.5480</v>
      </c>
      <c r="H2207" s="1" t="str">
        <f ca="1">IFERROR(__xludf.DUMMYFUNCTION("""COMPUTED_VALUE"""),"Timer yard Layout")</f>
        <v>Timer yard Layout</v>
      </c>
      <c r="I2207" s="1"/>
      <c r="J2207" s="1" t="str">
        <f ca="1">IFERROR(__xludf.DUMMYFUNCTION("""COMPUTED_VALUE"""),"0d 00h 00m")</f>
        <v>0d 00h 00m</v>
      </c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13.2">
      <c r="A2208" s="1">
        <f ca="1">IFERROR(__xludf.DUMMYFUNCTION("""COMPUTED_VALUE"""),9)</f>
        <v>9</v>
      </c>
      <c r="B2208" s="1" t="str">
        <f ca="1">IFERROR(__xludf.DUMMYFUNCTION("""COMPUTED_VALUE"""),"W1_KA04A3047_Jetting")</f>
        <v>W1_KA04A3047_Jetting</v>
      </c>
      <c r="C2208" s="1" t="str">
        <f ca="1">IFERROR(__xludf.DUMMYFUNCTION("""COMPUTED_VALUE"""),"W1_KA04A3047_Jetting")</f>
        <v>W1_KA04A3047_Jetting</v>
      </c>
      <c r="D2208" s="2">
        <f ca="1">IFERROR(__xludf.DUMMYFUNCTION("""COMPUTED_VALUE"""),43745)</f>
        <v>43745</v>
      </c>
      <c r="E2208" s="3">
        <f ca="1">IFERROR(__xludf.DUMMYFUNCTION("""COMPUTED_VALUE"""),0.431539351851824)</f>
        <v>0.43153935185182402</v>
      </c>
      <c r="F2208" s="1">
        <f ca="1">IFERROR(__xludf.DUMMYFUNCTION("""COMPUTED_VALUE"""),479)</f>
        <v>479</v>
      </c>
      <c r="G2208" s="1" t="str">
        <f ca="1">IFERROR(__xludf.DUMMYFUNCTION("""COMPUTED_VALUE"""),"12.9467/77.5301")</f>
        <v>12.9467/77.5301</v>
      </c>
      <c r="H2208" s="1" t="str">
        <f ca="1">IFERROR(__xludf.DUMMYFUNCTION("""COMPUTED_VALUE"""),"Banagiri Nagar")</f>
        <v>Banagiri Nagar</v>
      </c>
      <c r="I2208" s="1"/>
      <c r="J2208" s="1" t="str">
        <f ca="1">IFERROR(__xludf.DUMMYFUNCTION("""COMPUTED_VALUE"""),"1172d 00h 09m")</f>
        <v>1172d 00h 09m</v>
      </c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13.2">
      <c r="A2209" s="1">
        <f ca="1">IFERROR(__xludf.DUMMYFUNCTION("""COMPUTED_VALUE"""),9)</f>
        <v>9</v>
      </c>
      <c r="B2209" s="1" t="str">
        <f ca="1">IFERROR(__xludf.DUMMYFUNCTION("""COMPUTED_VALUE"""),"W1_KA04A3047_Jetting")</f>
        <v>W1_KA04A3047_Jetting</v>
      </c>
      <c r="C2209" s="1" t="str">
        <f ca="1">IFERROR(__xludf.DUMMYFUNCTION("""COMPUTED_VALUE"""),"W1_KA04A3047_Jetting")</f>
        <v>W1_KA04A3047_Jetting</v>
      </c>
      <c r="D2209" s="2">
        <f ca="1">IFERROR(__xludf.DUMMYFUNCTION("""COMPUTED_VALUE"""),43745)</f>
        <v>43745</v>
      </c>
      <c r="E2209" s="3">
        <f ca="1">IFERROR(__xludf.DUMMYFUNCTION("""COMPUTED_VALUE"""),0.431539351851824)</f>
        <v>0.43153935185182402</v>
      </c>
      <c r="F2209" s="1">
        <f ca="1">IFERROR(__xludf.DUMMYFUNCTION("""COMPUTED_VALUE"""),479)</f>
        <v>479</v>
      </c>
      <c r="G2209" s="1" t="str">
        <f ca="1">IFERROR(__xludf.DUMMYFUNCTION("""COMPUTED_VALUE"""),"12.9467/77.5301")</f>
        <v>12.9467/77.5301</v>
      </c>
      <c r="H2209" s="1" t="str">
        <f ca="1">IFERROR(__xludf.DUMMYFUNCTION("""COMPUTED_VALUE"""),"Banagiri Nagar")</f>
        <v>Banagiri Nagar</v>
      </c>
      <c r="I2209" s="1"/>
      <c r="J2209" s="1" t="str">
        <f ca="1">IFERROR(__xludf.DUMMYFUNCTION("""COMPUTED_VALUE"""),"1172d 00h 10m")</f>
        <v>1172d 00h 10m</v>
      </c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13.2">
      <c r="A2210" s="1">
        <f ca="1">IFERROR(__xludf.DUMMYFUNCTION("""COMPUTED_VALUE"""),9)</f>
        <v>9</v>
      </c>
      <c r="B2210" s="1" t="str">
        <f ca="1">IFERROR(__xludf.DUMMYFUNCTION("""COMPUTED_VALUE"""),"W1_KA04A3047_Jetting")</f>
        <v>W1_KA04A3047_Jetting</v>
      </c>
      <c r="C2210" s="1" t="str">
        <f ca="1">IFERROR(__xludf.DUMMYFUNCTION("""COMPUTED_VALUE"""),"W1_KA04A3047_Jetting")</f>
        <v>W1_KA04A3047_Jetting</v>
      </c>
      <c r="D2210" s="2">
        <f ca="1">IFERROR(__xludf.DUMMYFUNCTION("""COMPUTED_VALUE"""),43745)</f>
        <v>43745</v>
      </c>
      <c r="E2210" s="3">
        <f ca="1">IFERROR(__xludf.DUMMYFUNCTION("""COMPUTED_VALUE"""),0.431539351851824)</f>
        <v>0.43153935185182402</v>
      </c>
      <c r="F2210" s="1">
        <f ca="1">IFERROR(__xludf.DUMMYFUNCTION("""COMPUTED_VALUE"""),479)</f>
        <v>479</v>
      </c>
      <c r="G2210" s="1" t="str">
        <f ca="1">IFERROR(__xludf.DUMMYFUNCTION("""COMPUTED_VALUE"""),"12.9467/77.5301")</f>
        <v>12.9467/77.5301</v>
      </c>
      <c r="H2210" s="1" t="str">
        <f ca="1">IFERROR(__xludf.DUMMYFUNCTION("""COMPUTED_VALUE"""),"Banagiri Nagar")</f>
        <v>Banagiri Nagar</v>
      </c>
      <c r="I2210" s="1"/>
      <c r="J2210" s="1" t="str">
        <f ca="1">IFERROR(__xludf.DUMMYFUNCTION("""COMPUTED_VALUE"""),"1172d 00h 11m")</f>
        <v>1172d 00h 11m</v>
      </c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13.2">
      <c r="A2211" s="1">
        <f ca="1">IFERROR(__xludf.DUMMYFUNCTION("""COMPUTED_VALUE"""),9)</f>
        <v>9</v>
      </c>
      <c r="B2211" s="1" t="str">
        <f ca="1">IFERROR(__xludf.DUMMYFUNCTION("""COMPUTED_VALUE"""),"W1_KA04A3047_Jetting")</f>
        <v>W1_KA04A3047_Jetting</v>
      </c>
      <c r="C2211" s="1" t="str">
        <f ca="1">IFERROR(__xludf.DUMMYFUNCTION("""COMPUTED_VALUE"""),"W1_KA04A3047_Jetting")</f>
        <v>W1_KA04A3047_Jetting</v>
      </c>
      <c r="D2211" s="2">
        <f ca="1">IFERROR(__xludf.DUMMYFUNCTION("""COMPUTED_VALUE"""),43745)</f>
        <v>43745</v>
      </c>
      <c r="E2211" s="3">
        <f ca="1">IFERROR(__xludf.DUMMYFUNCTION("""COMPUTED_VALUE"""),0.431539351851824)</f>
        <v>0.43153935185182402</v>
      </c>
      <c r="F2211" s="1">
        <f ca="1">IFERROR(__xludf.DUMMYFUNCTION("""COMPUTED_VALUE"""),479)</f>
        <v>479</v>
      </c>
      <c r="G2211" s="1" t="str">
        <f ca="1">IFERROR(__xludf.DUMMYFUNCTION("""COMPUTED_VALUE"""),"12.9467/77.5301")</f>
        <v>12.9467/77.5301</v>
      </c>
      <c r="H2211" s="1" t="str">
        <f ca="1">IFERROR(__xludf.DUMMYFUNCTION("""COMPUTED_VALUE"""),"Banagiri Nagar")</f>
        <v>Banagiri Nagar</v>
      </c>
      <c r="I2211" s="1"/>
      <c r="J2211" s="1" t="str">
        <f ca="1">IFERROR(__xludf.DUMMYFUNCTION("""COMPUTED_VALUE"""),"1172d 00h 12m")</f>
        <v>1172d 00h 12m</v>
      </c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13.2">
      <c r="A2212" s="1">
        <f ca="1">IFERROR(__xludf.DUMMYFUNCTION("""COMPUTED_VALUE"""),9)</f>
        <v>9</v>
      </c>
      <c r="B2212" s="1" t="str">
        <f ca="1">IFERROR(__xludf.DUMMYFUNCTION("""COMPUTED_VALUE"""),"W1_KA04A3047_Jetting")</f>
        <v>W1_KA04A3047_Jetting</v>
      </c>
      <c r="C2212" s="1" t="str">
        <f ca="1">IFERROR(__xludf.DUMMYFUNCTION("""COMPUTED_VALUE"""),"W1_KA04A3047_Jetting")</f>
        <v>W1_KA04A3047_Jetting</v>
      </c>
      <c r="D2212" s="2">
        <f ca="1">IFERROR(__xludf.DUMMYFUNCTION("""COMPUTED_VALUE"""),43745)</f>
        <v>43745</v>
      </c>
      <c r="E2212" s="3">
        <f ca="1">IFERROR(__xludf.DUMMYFUNCTION("""COMPUTED_VALUE"""),0.431539351851824)</f>
        <v>0.43153935185182402</v>
      </c>
      <c r="F2212" s="1">
        <f ca="1">IFERROR(__xludf.DUMMYFUNCTION("""COMPUTED_VALUE"""),479)</f>
        <v>479</v>
      </c>
      <c r="G2212" s="1" t="str">
        <f ca="1">IFERROR(__xludf.DUMMYFUNCTION("""COMPUTED_VALUE"""),"12.9467/77.5301")</f>
        <v>12.9467/77.5301</v>
      </c>
      <c r="H2212" s="1" t="str">
        <f ca="1">IFERROR(__xludf.DUMMYFUNCTION("""COMPUTED_VALUE"""),"Banagiri Nagar")</f>
        <v>Banagiri Nagar</v>
      </c>
      <c r="I2212" s="1"/>
      <c r="J2212" s="1" t="str">
        <f ca="1">IFERROR(__xludf.DUMMYFUNCTION("""COMPUTED_VALUE"""),"1172d 00h 13m")</f>
        <v>1172d 00h 13m</v>
      </c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13.2">
      <c r="A2213" s="1">
        <f ca="1">IFERROR(__xludf.DUMMYFUNCTION("""COMPUTED_VALUE"""),9)</f>
        <v>9</v>
      </c>
      <c r="B2213" s="1" t="str">
        <f ca="1">IFERROR(__xludf.DUMMYFUNCTION("""COMPUTED_VALUE"""),"W1_KA04A3047_Jetting")</f>
        <v>W1_KA04A3047_Jetting</v>
      </c>
      <c r="C2213" s="1" t="str">
        <f ca="1">IFERROR(__xludf.DUMMYFUNCTION("""COMPUTED_VALUE"""),"W1_KA04A3047_Jetting")</f>
        <v>W1_KA04A3047_Jetting</v>
      </c>
      <c r="D2213" s="2">
        <f ca="1">IFERROR(__xludf.DUMMYFUNCTION("""COMPUTED_VALUE"""),43745)</f>
        <v>43745</v>
      </c>
      <c r="E2213" s="3">
        <f ca="1">IFERROR(__xludf.DUMMYFUNCTION("""COMPUTED_VALUE"""),0.431539351851824)</f>
        <v>0.43153935185182402</v>
      </c>
      <c r="F2213" s="1">
        <f ca="1">IFERROR(__xludf.DUMMYFUNCTION("""COMPUTED_VALUE"""),479)</f>
        <v>479</v>
      </c>
      <c r="G2213" s="1" t="str">
        <f ca="1">IFERROR(__xludf.DUMMYFUNCTION("""COMPUTED_VALUE"""),"12.9467/77.5301")</f>
        <v>12.9467/77.5301</v>
      </c>
      <c r="H2213" s="1" t="str">
        <f ca="1">IFERROR(__xludf.DUMMYFUNCTION("""COMPUTED_VALUE"""),"Banagiri Nagar")</f>
        <v>Banagiri Nagar</v>
      </c>
      <c r="I2213" s="1"/>
      <c r="J2213" s="1" t="str">
        <f ca="1">IFERROR(__xludf.DUMMYFUNCTION("""COMPUTED_VALUE"""),"1172d 00h 14m")</f>
        <v>1172d 00h 14m</v>
      </c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13.2">
      <c r="A2214" s="1">
        <f ca="1">IFERROR(__xludf.DUMMYFUNCTION("""COMPUTED_VALUE"""),174)</f>
        <v>174</v>
      </c>
      <c r="B2214" s="1" t="str">
        <f ca="1">IFERROR(__xludf.DUMMYFUNCTION("""COMPUTED_VALUE"""),"W1_KA04C9408_Jetting")</f>
        <v>W1_KA04C9408_Jetting</v>
      </c>
      <c r="C2214" s="1" t="str">
        <f ca="1">IFERROR(__xludf.DUMMYFUNCTION("""COMPUTED_VALUE"""),"w1_ka04c9408_jetting")</f>
        <v>w1_ka04c9408_jetting</v>
      </c>
      <c r="D2214" s="2">
        <f ca="1">IFERROR(__xludf.DUMMYFUNCTION("""COMPUTED_VALUE"""),44707)</f>
        <v>44707</v>
      </c>
      <c r="E2214" s="3">
        <f ca="1">IFERROR(__xludf.DUMMYFUNCTION("""COMPUTED_VALUE"""),0.999062499999126)</f>
        <v>0.999062499999126</v>
      </c>
      <c r="F2214" s="1">
        <f ca="1">IFERROR(__xludf.DUMMYFUNCTION("""COMPUTED_VALUE"""),1609344)</f>
        <v>1609344</v>
      </c>
      <c r="G2214" s="1" t="str">
        <f ca="1">IFERROR(__xludf.DUMMYFUNCTION("""COMPUTED_VALUE"""),"12.9746/77.5482")</f>
        <v>12.9746/77.5482</v>
      </c>
      <c r="H2214" s="1" t="str">
        <f ca="1">IFERROR(__xludf.DUMMYFUNCTION("""COMPUTED_VALUE"""),"Chord Road")</f>
        <v>Chord Road</v>
      </c>
      <c r="I2214" s="1"/>
      <c r="J2214" s="1" t="str">
        <f ca="1">IFERROR(__xludf.DUMMYFUNCTION("""COMPUTED_VALUE"""),"0d 00h 00m")</f>
        <v>0d 00h 00m</v>
      </c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13.2">
      <c r="A2215" s="1">
        <f ca="1">IFERROR(__xludf.DUMMYFUNCTION("""COMPUTED_VALUE"""),184)</f>
        <v>184</v>
      </c>
      <c r="B2215" s="1" t="str">
        <f ca="1">IFERROR(__xludf.DUMMYFUNCTION("""COMPUTED_VALUE"""),"W1_KA04C9408_Jetting")</f>
        <v>W1_KA04C9408_Jetting</v>
      </c>
      <c r="C2215" s="1" t="str">
        <f ca="1">IFERROR(__xludf.DUMMYFUNCTION("""COMPUTED_VALUE"""),"w1_ka04c9408_jetting")</f>
        <v>w1_ka04c9408_jetting</v>
      </c>
      <c r="D2215" s="2">
        <f ca="1">IFERROR(__xludf.DUMMYFUNCTION("""COMPUTED_VALUE"""),44738)</f>
        <v>44738</v>
      </c>
      <c r="E2215" s="3">
        <f ca="1">IFERROR(__xludf.DUMMYFUNCTION("""COMPUTED_VALUE"""),0.999097222222189)</f>
        <v>0.999097222222189</v>
      </c>
      <c r="F2215" s="1">
        <f ca="1">IFERROR(__xludf.DUMMYFUNCTION("""COMPUTED_VALUE"""),1609344)</f>
        <v>1609344</v>
      </c>
      <c r="G2215" s="1" t="str">
        <f ca="1">IFERROR(__xludf.DUMMYFUNCTION("""COMPUTED_VALUE"""),"12.9745/77.5482")</f>
        <v>12.9745/77.5482</v>
      </c>
      <c r="H2215" s="1" t="str">
        <f ca="1">IFERROR(__xludf.DUMMYFUNCTION("""COMPUTED_VALUE"""),"Chord Road")</f>
        <v>Chord Road</v>
      </c>
      <c r="I2215" s="1"/>
      <c r="J2215" s="1" t="str">
        <f ca="1">IFERROR(__xludf.DUMMYFUNCTION("""COMPUTED_VALUE"""),"0d 00h 00m")</f>
        <v>0d 00h 00m</v>
      </c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13.2">
      <c r="A2216" s="1">
        <f ca="1">IFERROR(__xludf.DUMMYFUNCTION("""COMPUTED_VALUE"""),168)</f>
        <v>168</v>
      </c>
      <c r="B2216" s="1" t="str">
        <f ca="1">IFERROR(__xludf.DUMMYFUNCTION("""COMPUTED_VALUE"""),"W1_KA04C9408_Jetting")</f>
        <v>W1_KA04C9408_Jetting</v>
      </c>
      <c r="C2216" s="1" t="str">
        <f ca="1">IFERROR(__xludf.DUMMYFUNCTION("""COMPUTED_VALUE"""),"w1_ka04c9408_jetting")</f>
        <v>w1_ka04c9408_jetting</v>
      </c>
      <c r="D2216" s="2">
        <f ca="1">IFERROR(__xludf.DUMMYFUNCTION("""COMPUTED_VALUE"""),44768)</f>
        <v>44768</v>
      </c>
      <c r="E2216" s="3">
        <f ca="1">IFERROR(__xludf.DUMMYFUNCTION("""COMPUTED_VALUE"""),0.998981481479859)</f>
        <v>0.99898148147985899</v>
      </c>
      <c r="F2216" s="1">
        <f ca="1">IFERROR(__xludf.DUMMYFUNCTION("""COMPUTED_VALUE"""),1609344)</f>
        <v>1609344</v>
      </c>
      <c r="G2216" s="1" t="str">
        <f ca="1">IFERROR(__xludf.DUMMYFUNCTION("""COMPUTED_VALUE"""),"12.9746/77.5482")</f>
        <v>12.9746/77.5482</v>
      </c>
      <c r="H2216" s="1" t="str">
        <f ca="1">IFERROR(__xludf.DUMMYFUNCTION("""COMPUTED_VALUE"""),"Chord Road")</f>
        <v>Chord Road</v>
      </c>
      <c r="I2216" s="1"/>
      <c r="J2216" s="1" t="str">
        <f ca="1">IFERROR(__xludf.DUMMYFUNCTION("""COMPUTED_VALUE"""),"0d 00h 00m")</f>
        <v>0d 00h 00m</v>
      </c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13.2">
      <c r="A2217" s="1">
        <f ca="1">IFERROR(__xludf.DUMMYFUNCTION("""COMPUTED_VALUE"""),206)</f>
        <v>206</v>
      </c>
      <c r="B2217" s="1" t="str">
        <f ca="1">IFERROR(__xludf.DUMMYFUNCTION("""COMPUTED_VALUE"""),"W1_KA04C9408_Jetting")</f>
        <v>W1_KA04C9408_Jetting</v>
      </c>
      <c r="C2217" s="1" t="str">
        <f ca="1">IFERROR(__xludf.DUMMYFUNCTION("""COMPUTED_VALUE"""),"w1_ka04c9408_jetting")</f>
        <v>w1_ka04c9408_jetting</v>
      </c>
      <c r="D2217" s="2">
        <f ca="1">IFERROR(__xludf.DUMMYFUNCTION("""COMPUTED_VALUE"""),44799)</f>
        <v>44799</v>
      </c>
      <c r="E2217" s="3">
        <f ca="1">IFERROR(__xludf.DUMMYFUNCTION("""COMPUTED_VALUE"""),0.999131944445252)</f>
        <v>0.999131944445252</v>
      </c>
      <c r="F2217" s="1">
        <f ca="1">IFERROR(__xludf.DUMMYFUNCTION("""COMPUTED_VALUE"""),1609344)</f>
        <v>1609344</v>
      </c>
      <c r="G2217" s="1" t="str">
        <f ca="1">IFERROR(__xludf.DUMMYFUNCTION("""COMPUTED_VALUE"""),"12.9747/77.5484")</f>
        <v>12.9747/77.5484</v>
      </c>
      <c r="H2217" s="1" t="str">
        <f ca="1">IFERROR(__xludf.DUMMYFUNCTION("""COMPUTED_VALUE"""),"Chord Road")</f>
        <v>Chord Road</v>
      </c>
      <c r="I2217" s="1"/>
      <c r="J2217" s="1" t="str">
        <f ca="1">IFERROR(__xludf.DUMMYFUNCTION("""COMPUTED_VALUE"""),"0d 00h 00m")</f>
        <v>0d 00h 00m</v>
      </c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13.2">
      <c r="A2218" s="1">
        <f ca="1">IFERROR(__xludf.DUMMYFUNCTION("""COMPUTED_VALUE"""),174)</f>
        <v>174</v>
      </c>
      <c r="B2218" s="1" t="str">
        <f ca="1">IFERROR(__xludf.DUMMYFUNCTION("""COMPUTED_VALUE"""),"W1_KA04C9408_Jetting")</f>
        <v>W1_KA04C9408_Jetting</v>
      </c>
      <c r="C2218" s="1" t="str">
        <f ca="1">IFERROR(__xludf.DUMMYFUNCTION("""COMPUTED_VALUE"""),"w1_ka04c9408_jetting")</f>
        <v>w1_ka04c9408_jetting</v>
      </c>
      <c r="D2218" s="2">
        <f ca="1">IFERROR(__xludf.DUMMYFUNCTION("""COMPUTED_VALUE"""),44830)</f>
        <v>44830</v>
      </c>
      <c r="E2218" s="3">
        <f ca="1">IFERROR(__xludf.DUMMYFUNCTION("""COMPUTED_VALUE"""),0.999039351852843)</f>
        <v>0.99903935185284298</v>
      </c>
      <c r="F2218" s="1">
        <f ca="1">IFERROR(__xludf.DUMMYFUNCTION("""COMPUTED_VALUE"""),1609344)</f>
        <v>1609344</v>
      </c>
      <c r="G2218" s="1" t="str">
        <f ca="1">IFERROR(__xludf.DUMMYFUNCTION("""COMPUTED_VALUE"""),"12.9745/77.5484")</f>
        <v>12.9745/77.5484</v>
      </c>
      <c r="H2218" s="1" t="str">
        <f ca="1">IFERROR(__xludf.DUMMYFUNCTION("""COMPUTED_VALUE"""),"Chord Road")</f>
        <v>Chord Road</v>
      </c>
      <c r="I2218" s="1"/>
      <c r="J2218" s="1" t="str">
        <f ca="1">IFERROR(__xludf.DUMMYFUNCTION("""COMPUTED_VALUE"""),"0d 00h 00m")</f>
        <v>0d 00h 00m</v>
      </c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13.2">
      <c r="A2219" s="1">
        <f ca="1">IFERROR(__xludf.DUMMYFUNCTION("""COMPUTED_VALUE"""),168)</f>
        <v>168</v>
      </c>
      <c r="B2219" s="1" t="str">
        <f ca="1">IFERROR(__xludf.DUMMYFUNCTION("""COMPUTED_VALUE"""),"W1_KA04C9408_Jetting")</f>
        <v>W1_KA04C9408_Jetting</v>
      </c>
      <c r="C2219" s="1" t="str">
        <f ca="1">IFERROR(__xludf.DUMMYFUNCTION("""COMPUTED_VALUE"""),"w1_ka04c9408_jetting")</f>
        <v>w1_ka04c9408_jetting</v>
      </c>
      <c r="D2219" s="2">
        <f ca="1">IFERROR(__xludf.DUMMYFUNCTION("""COMPUTED_VALUE"""),44860)</f>
        <v>44860</v>
      </c>
      <c r="E2219" s="3">
        <f ca="1">IFERROR(__xludf.DUMMYFUNCTION("""COMPUTED_VALUE"""),0.999016203702922)</f>
        <v>0.99901620370292199</v>
      </c>
      <c r="F2219" s="1">
        <f ca="1">IFERROR(__xludf.DUMMYFUNCTION("""COMPUTED_VALUE"""),1609344)</f>
        <v>1609344</v>
      </c>
      <c r="G2219" s="1" t="str">
        <f ca="1">IFERROR(__xludf.DUMMYFUNCTION("""COMPUTED_VALUE"""),"12.9744/77.5483")</f>
        <v>12.9744/77.5483</v>
      </c>
      <c r="H2219" s="1" t="str">
        <f ca="1">IFERROR(__xludf.DUMMYFUNCTION("""COMPUTED_VALUE"""),"Chord Road")</f>
        <v>Chord Road</v>
      </c>
      <c r="I2219" s="1"/>
      <c r="J2219" s="1" t="str">
        <f ca="1">IFERROR(__xludf.DUMMYFUNCTION("""COMPUTED_VALUE"""),"0d 00h 00m")</f>
        <v>0d 00h 00m</v>
      </c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13.2">
      <c r="A2220" s="1">
        <f ca="1">IFERROR(__xludf.DUMMYFUNCTION("""COMPUTED_VALUE"""),236)</f>
        <v>236</v>
      </c>
      <c r="B2220" s="1" t="str">
        <f ca="1">IFERROR(__xludf.DUMMYFUNCTION("""COMPUTED_VALUE"""),"W1_KA04D6653_Jetting")</f>
        <v>W1_KA04D6653_Jetting</v>
      </c>
      <c r="C2220" s="1" t="str">
        <f ca="1">IFERROR(__xludf.DUMMYFUNCTION("""COMPUTED_VALUE"""),"w1_ka04d6653_jetting")</f>
        <v>w1_ka04d6653_jetting</v>
      </c>
      <c r="D2220" s="2">
        <f ca="1">IFERROR(__xludf.DUMMYFUNCTION("""COMPUTED_VALUE"""),44707)</f>
        <v>44707</v>
      </c>
      <c r="E2220" s="3">
        <f ca="1">IFERROR(__xludf.DUMMYFUNCTION("""COMPUTED_VALUE"""),0.999317129630071)</f>
        <v>0.99931712963007102</v>
      </c>
      <c r="F2220" s="1">
        <f ca="1">IFERROR(__xludf.DUMMYFUNCTION("""COMPUTED_VALUE"""),11810)</f>
        <v>11810</v>
      </c>
      <c r="G2220" s="1" t="str">
        <f ca="1">IFERROR(__xludf.DUMMYFUNCTION("""COMPUTED_VALUE"""),"13.0100/77.5667")</f>
        <v>13.0100/77.5667</v>
      </c>
      <c r="H2220" s="1" t="str">
        <f ca="1">IFERROR(__xludf.DUMMYFUNCTION("""COMPUTED_VALUE"""),"Malleshwaram")</f>
        <v>Malleshwaram</v>
      </c>
      <c r="I2220" s="1"/>
      <c r="J2220" s="1" t="str">
        <f ca="1">IFERROR(__xludf.DUMMYFUNCTION("""COMPUTED_VALUE"""),"0d 00h 00m")</f>
        <v>0d 00h 00m</v>
      </c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13.2">
      <c r="A2221" s="1">
        <f ca="1">IFERROR(__xludf.DUMMYFUNCTION("""COMPUTED_VALUE"""),150)</f>
        <v>150</v>
      </c>
      <c r="B2221" s="1" t="str">
        <f ca="1">IFERROR(__xludf.DUMMYFUNCTION("""COMPUTED_VALUE"""),"W1_KA04D6653_Jetting")</f>
        <v>W1_KA04D6653_Jetting</v>
      </c>
      <c r="C2221" s="1" t="str">
        <f ca="1">IFERROR(__xludf.DUMMYFUNCTION("""COMPUTED_VALUE"""),"w1_ka04d6653_jetting")</f>
        <v>w1_ka04d6653_jetting</v>
      </c>
      <c r="D2221" s="2">
        <f ca="1">IFERROR(__xludf.DUMMYFUNCTION("""COMPUTED_VALUE"""),44738)</f>
        <v>44738</v>
      </c>
      <c r="E2221" s="3">
        <f ca="1">IFERROR(__xludf.DUMMYFUNCTION("""COMPUTED_VALUE"""),0.878437499999563)</f>
        <v>0.878437499999563</v>
      </c>
      <c r="F2221" s="1">
        <f ca="1">IFERROR(__xludf.DUMMYFUNCTION("""COMPUTED_VALUE"""),12014)</f>
        <v>12014</v>
      </c>
      <c r="G2221" s="1" t="str">
        <f ca="1">IFERROR(__xludf.DUMMYFUNCTION("""COMPUTED_VALUE"""),"12.9754/77.5618")</f>
        <v>12.9754/77.5618</v>
      </c>
      <c r="H2221" s="1" t="str">
        <f ca="1">IFERROR(__xludf.DUMMYFUNCTION("""COMPUTED_VALUE"""),"Bangalore City Railway Station")</f>
        <v>Bangalore City Railway Station</v>
      </c>
      <c r="I2221" s="1"/>
      <c r="J2221" s="1" t="str">
        <f ca="1">IFERROR(__xludf.DUMMYFUNCTION("""COMPUTED_VALUE"""),"0d 00h 00m")</f>
        <v>0d 00h 00m</v>
      </c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13.2">
      <c r="A2222" s="1">
        <f ca="1">IFERROR(__xludf.DUMMYFUNCTION("""COMPUTED_VALUE"""),134)</f>
        <v>134</v>
      </c>
      <c r="B2222" s="1" t="str">
        <f ca="1">IFERROR(__xludf.DUMMYFUNCTION("""COMPUTED_VALUE"""),"W1_KA04D6653_Jetting")</f>
        <v>W1_KA04D6653_Jetting</v>
      </c>
      <c r="C2222" s="1" t="str">
        <f ca="1">IFERROR(__xludf.DUMMYFUNCTION("""COMPUTED_VALUE"""),"w1_ka04d6653_jetting")</f>
        <v>w1_ka04d6653_jetting</v>
      </c>
      <c r="D2222" s="2">
        <f ca="1">IFERROR(__xludf.DUMMYFUNCTION("""COMPUTED_VALUE"""),44768)</f>
        <v>44768</v>
      </c>
      <c r="E2222" s="3">
        <f ca="1">IFERROR(__xludf.DUMMYFUNCTION("""COMPUTED_VALUE"""),0.471354166667879)</f>
        <v>0.47135416666787899</v>
      </c>
      <c r="F2222" s="1">
        <f ca="1">IFERROR(__xludf.DUMMYFUNCTION("""COMPUTED_VALUE"""),12028)</f>
        <v>12028</v>
      </c>
      <c r="G2222" s="1" t="str">
        <f ca="1">IFERROR(__xludf.DUMMYFUNCTION("""COMPUTED_VALUE"""),"12.9686/77.5483")</f>
        <v>12.9686/77.5483</v>
      </c>
      <c r="H2222" s="1" t="str">
        <f ca="1">IFERROR(__xludf.DUMMYFUNCTION("""COMPUTED_VALUE"""),"Telecom Layout")</f>
        <v>Telecom Layout</v>
      </c>
      <c r="I2222" s="1"/>
      <c r="J2222" s="1" t="str">
        <f ca="1">IFERROR(__xludf.DUMMYFUNCTION("""COMPUTED_VALUE"""),"0d 00h 00m")</f>
        <v>0d 00h 00m</v>
      </c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13.2">
      <c r="A2223" s="1">
        <f ca="1">IFERROR(__xludf.DUMMYFUNCTION("""COMPUTED_VALUE"""),127)</f>
        <v>127</v>
      </c>
      <c r="B2223" s="1" t="str">
        <f ca="1">IFERROR(__xludf.DUMMYFUNCTION("""COMPUTED_VALUE"""),"W1_KA04D6653_Jetting")</f>
        <v>W1_KA04D6653_Jetting</v>
      </c>
      <c r="C2223" s="1" t="str">
        <f ca="1">IFERROR(__xludf.DUMMYFUNCTION("""COMPUTED_VALUE"""),"w1_ka04d6653_jetting")</f>
        <v>w1_ka04d6653_jetting</v>
      </c>
      <c r="D2223" s="2">
        <f ca="1">IFERROR(__xludf.DUMMYFUNCTION("""COMPUTED_VALUE"""),44794)</f>
        <v>44794</v>
      </c>
      <c r="E2223" s="3">
        <f ca="1">IFERROR(__xludf.DUMMYFUNCTION("""COMPUTED_VALUE"""),0.932349537037225)</f>
        <v>0.93234953703722501</v>
      </c>
      <c r="F2223" s="1">
        <f ca="1">IFERROR(__xludf.DUMMYFUNCTION("""COMPUTED_VALUE"""),12030)</f>
        <v>12030</v>
      </c>
      <c r="G2223" s="1" t="str">
        <f ca="1">IFERROR(__xludf.DUMMYFUNCTION("""COMPUTED_VALUE"""),"12.9754/77.5618")</f>
        <v>12.9754/77.5618</v>
      </c>
      <c r="H2223" s="1" t="str">
        <f ca="1">IFERROR(__xludf.DUMMYFUNCTION("""COMPUTED_VALUE"""),"Bangalore City Railway Station")</f>
        <v>Bangalore City Railway Station</v>
      </c>
      <c r="I2223" s="1"/>
      <c r="J2223" s="1" t="str">
        <f ca="1">IFERROR(__xludf.DUMMYFUNCTION("""COMPUTED_VALUE"""),"0d 00h 00m")</f>
        <v>0d 00h 00m</v>
      </c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13.2">
      <c r="A2224" s="1">
        <f ca="1">IFERROR(__xludf.DUMMYFUNCTION("""COMPUTED_VALUE"""),93)</f>
        <v>93</v>
      </c>
      <c r="B2224" s="1" t="str">
        <f ca="1">IFERROR(__xludf.DUMMYFUNCTION("""COMPUTED_VALUE"""),"W1_KA04D6653_Jetting")</f>
        <v>W1_KA04D6653_Jetting</v>
      </c>
      <c r="C2224" s="1" t="str">
        <f ca="1">IFERROR(__xludf.DUMMYFUNCTION("""COMPUTED_VALUE"""),"w1_ka04d6653_jetting")</f>
        <v>w1_ka04d6653_jetting</v>
      </c>
      <c r="D2224" s="2">
        <f ca="1">IFERROR(__xludf.DUMMYFUNCTION("""COMPUTED_VALUE"""),44816)</f>
        <v>44816</v>
      </c>
      <c r="E2224" s="3">
        <f ca="1">IFERROR(__xludf.DUMMYFUNCTION("""COMPUTED_VALUE"""),0.657743055555329)</f>
        <v>0.65774305555532897</v>
      </c>
      <c r="F2224" s="1">
        <f ca="1">IFERROR(__xludf.DUMMYFUNCTION("""COMPUTED_VALUE"""),12030)</f>
        <v>12030</v>
      </c>
      <c r="G2224" s="1" t="str">
        <f ca="1">IFERROR(__xludf.DUMMYFUNCTION("""COMPUTED_VALUE"""),"12.9754/77.5618")</f>
        <v>12.9754/77.5618</v>
      </c>
      <c r="H2224" s="1" t="str">
        <f ca="1">IFERROR(__xludf.DUMMYFUNCTION("""COMPUTED_VALUE"""),"Bangalore City Railway Station")</f>
        <v>Bangalore City Railway Station</v>
      </c>
      <c r="I2224" s="1"/>
      <c r="J2224" s="1" t="str">
        <f ca="1">IFERROR(__xludf.DUMMYFUNCTION("""COMPUTED_VALUE"""),"0d 00h 00m")</f>
        <v>0d 00h 00m</v>
      </c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13.2">
      <c r="A2225" s="1">
        <f ca="1">IFERROR(__xludf.DUMMYFUNCTION("""COMPUTED_VALUE"""),64)</f>
        <v>64</v>
      </c>
      <c r="B2225" s="1" t="str">
        <f ca="1">IFERROR(__xludf.DUMMYFUNCTION("""COMPUTED_VALUE"""),"W1_KA04D6653_Jetting")</f>
        <v>W1_KA04D6653_Jetting</v>
      </c>
      <c r="C2225" s="1" t="str">
        <f ca="1">IFERROR(__xludf.DUMMYFUNCTION("""COMPUTED_VALUE"""),"w1_ka04d6653_jetting")</f>
        <v>w1_ka04d6653_jetting</v>
      </c>
      <c r="D2225" s="2">
        <f ca="1">IFERROR(__xludf.DUMMYFUNCTION("""COMPUTED_VALUE"""),44816)</f>
        <v>44816</v>
      </c>
      <c r="E2225" s="3">
        <f ca="1">IFERROR(__xludf.DUMMYFUNCTION("""COMPUTED_VALUE"""),0.657743055555329)</f>
        <v>0.65774305555532897</v>
      </c>
      <c r="F2225" s="1">
        <f ca="1">IFERROR(__xludf.DUMMYFUNCTION("""COMPUTED_VALUE"""),12030)</f>
        <v>12030</v>
      </c>
      <c r="G2225" s="1" t="str">
        <f ca="1">IFERROR(__xludf.DUMMYFUNCTION("""COMPUTED_VALUE"""),"12.9754/77.5618")</f>
        <v>12.9754/77.5618</v>
      </c>
      <c r="H2225" s="1" t="str">
        <f ca="1">IFERROR(__xludf.DUMMYFUNCTION("""COMPUTED_VALUE"""),"Bangalore City Railway Station")</f>
        <v>Bangalore City Railway Station</v>
      </c>
      <c r="I2225" s="1"/>
      <c r="J2225" s="1" t="str">
        <f ca="1">IFERROR(__xludf.DUMMYFUNCTION("""COMPUTED_VALUE"""),"0d 00h 00m")</f>
        <v>0d 00h 00m</v>
      </c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13.2">
      <c r="A2226" s="1">
        <f ca="1">IFERROR(__xludf.DUMMYFUNCTION("""COMPUTED_VALUE"""),36)</f>
        <v>36</v>
      </c>
      <c r="B2226" s="1" t="str">
        <f ca="1">IFERROR(__xludf.DUMMYFUNCTION("""COMPUTED_VALUE"""),"W1_KA05AD2945_Desilting")</f>
        <v>W1_KA05AD2945_Desilting</v>
      </c>
      <c r="C2226" s="1" t="str">
        <f ca="1">IFERROR(__xludf.DUMMYFUNCTION("""COMPUTED_VALUE"""),"w1_ka05ad2945_desilting")</f>
        <v>w1_ka05ad2945_desilting</v>
      </c>
      <c r="D2226" s="2">
        <f ca="1">IFERROR(__xludf.DUMMYFUNCTION("""COMPUTED_VALUE"""),44456)</f>
        <v>44456</v>
      </c>
      <c r="E2226" s="3">
        <f ca="1">IFERROR(__xludf.DUMMYFUNCTION("""COMPUTED_VALUE"""),0.468981481481023)</f>
        <v>0.46898148148102298</v>
      </c>
      <c r="F2226" s="1">
        <f ca="1">IFERROR(__xludf.DUMMYFUNCTION("""COMPUTED_VALUE"""),7200)</f>
        <v>7200</v>
      </c>
      <c r="G2226" s="1" t="str">
        <f ca="1">IFERROR(__xludf.DUMMYFUNCTION("""COMPUTED_VALUE"""),"13.0099/77.5679")</f>
        <v>13.0099/77.5679</v>
      </c>
      <c r="H2226" s="1" t="str">
        <f ca="1">IFERROR(__xludf.DUMMYFUNCTION("""COMPUTED_VALUE"""),"Malleshwaram")</f>
        <v>Malleshwaram</v>
      </c>
      <c r="I2226" s="1"/>
      <c r="J2226" s="1" t="str">
        <f ca="1">IFERROR(__xludf.DUMMYFUNCTION("""COMPUTED_VALUE"""),"460d 23h 16m")</f>
        <v>460d 23h 16m</v>
      </c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13.2">
      <c r="A2227" s="1">
        <f ca="1">IFERROR(__xludf.DUMMYFUNCTION("""COMPUTED_VALUE"""),34)</f>
        <v>34</v>
      </c>
      <c r="B2227" s="1" t="str">
        <f ca="1">IFERROR(__xludf.DUMMYFUNCTION("""COMPUTED_VALUE"""),"W1_KA05AD2945_Desilting")</f>
        <v>W1_KA05AD2945_Desilting</v>
      </c>
      <c r="C2227" s="1" t="str">
        <f ca="1">IFERROR(__xludf.DUMMYFUNCTION("""COMPUTED_VALUE"""),"w1_ka05ad2945_desilting")</f>
        <v>w1_ka05ad2945_desilting</v>
      </c>
      <c r="D2227" s="2">
        <f ca="1">IFERROR(__xludf.DUMMYFUNCTION("""COMPUTED_VALUE"""),44456)</f>
        <v>44456</v>
      </c>
      <c r="E2227" s="3">
        <f ca="1">IFERROR(__xludf.DUMMYFUNCTION("""COMPUTED_VALUE"""),0.468981481481023)</f>
        <v>0.46898148148102298</v>
      </c>
      <c r="F2227" s="1">
        <f ca="1">IFERROR(__xludf.DUMMYFUNCTION("""COMPUTED_VALUE"""),7200)</f>
        <v>7200</v>
      </c>
      <c r="G2227" s="1" t="str">
        <f ca="1">IFERROR(__xludf.DUMMYFUNCTION("""COMPUTED_VALUE"""),"13.0099/77.5679")</f>
        <v>13.0099/77.5679</v>
      </c>
      <c r="H2227" s="1" t="str">
        <f ca="1">IFERROR(__xludf.DUMMYFUNCTION("""COMPUTED_VALUE"""),"Malleshwaram")</f>
        <v>Malleshwaram</v>
      </c>
      <c r="I2227" s="1"/>
      <c r="J2227" s="1" t="str">
        <f ca="1">IFERROR(__xludf.DUMMYFUNCTION("""COMPUTED_VALUE"""),"460d 23h 17m")</f>
        <v>460d 23h 17m</v>
      </c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13.2">
      <c r="A2228" s="1">
        <f ca="1">IFERROR(__xludf.DUMMYFUNCTION("""COMPUTED_VALUE"""),34)</f>
        <v>34</v>
      </c>
      <c r="B2228" s="1" t="str">
        <f ca="1">IFERROR(__xludf.DUMMYFUNCTION("""COMPUTED_VALUE"""),"W1_KA05AD2945_Desilting")</f>
        <v>W1_KA05AD2945_Desilting</v>
      </c>
      <c r="C2228" s="1" t="str">
        <f ca="1">IFERROR(__xludf.DUMMYFUNCTION("""COMPUTED_VALUE"""),"w1_ka05ad2945_desilting")</f>
        <v>w1_ka05ad2945_desilting</v>
      </c>
      <c r="D2228" s="2">
        <f ca="1">IFERROR(__xludf.DUMMYFUNCTION("""COMPUTED_VALUE"""),44456)</f>
        <v>44456</v>
      </c>
      <c r="E2228" s="3">
        <f ca="1">IFERROR(__xludf.DUMMYFUNCTION("""COMPUTED_VALUE"""),0.468981481481023)</f>
        <v>0.46898148148102298</v>
      </c>
      <c r="F2228" s="1">
        <f ca="1">IFERROR(__xludf.DUMMYFUNCTION("""COMPUTED_VALUE"""),7200)</f>
        <v>7200</v>
      </c>
      <c r="G2228" s="1" t="str">
        <f ca="1">IFERROR(__xludf.DUMMYFUNCTION("""COMPUTED_VALUE"""),"13.0099/77.5679")</f>
        <v>13.0099/77.5679</v>
      </c>
      <c r="H2228" s="1" t="str">
        <f ca="1">IFERROR(__xludf.DUMMYFUNCTION("""COMPUTED_VALUE"""),"Malleshwaram")</f>
        <v>Malleshwaram</v>
      </c>
      <c r="I2228" s="1"/>
      <c r="J2228" s="1" t="str">
        <f ca="1">IFERROR(__xludf.DUMMYFUNCTION("""COMPUTED_VALUE"""),"460d 23h 17m")</f>
        <v>460d 23h 17m</v>
      </c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13.2">
      <c r="A2229" s="1">
        <f ca="1">IFERROR(__xludf.DUMMYFUNCTION("""COMPUTED_VALUE"""),34)</f>
        <v>34</v>
      </c>
      <c r="B2229" s="1" t="str">
        <f ca="1">IFERROR(__xludf.DUMMYFUNCTION("""COMPUTED_VALUE"""),"W1_KA05AD2945_Desilting")</f>
        <v>W1_KA05AD2945_Desilting</v>
      </c>
      <c r="C2229" s="1" t="str">
        <f ca="1">IFERROR(__xludf.DUMMYFUNCTION("""COMPUTED_VALUE"""),"w1_ka05ad2945_desilting")</f>
        <v>w1_ka05ad2945_desilting</v>
      </c>
      <c r="D2229" s="2">
        <f ca="1">IFERROR(__xludf.DUMMYFUNCTION("""COMPUTED_VALUE"""),44456)</f>
        <v>44456</v>
      </c>
      <c r="E2229" s="3">
        <f ca="1">IFERROR(__xludf.DUMMYFUNCTION("""COMPUTED_VALUE"""),0.468981481481023)</f>
        <v>0.46898148148102298</v>
      </c>
      <c r="F2229" s="1">
        <f ca="1">IFERROR(__xludf.DUMMYFUNCTION("""COMPUTED_VALUE"""),7200)</f>
        <v>7200</v>
      </c>
      <c r="G2229" s="1" t="str">
        <f ca="1">IFERROR(__xludf.DUMMYFUNCTION("""COMPUTED_VALUE"""),"13.0099/77.5679")</f>
        <v>13.0099/77.5679</v>
      </c>
      <c r="H2229" s="1" t="str">
        <f ca="1">IFERROR(__xludf.DUMMYFUNCTION("""COMPUTED_VALUE"""),"Malleshwaram")</f>
        <v>Malleshwaram</v>
      </c>
      <c r="I2229" s="1"/>
      <c r="J2229" s="1" t="str">
        <f ca="1">IFERROR(__xludf.DUMMYFUNCTION("""COMPUTED_VALUE"""),"460d 23h 18m")</f>
        <v>460d 23h 18m</v>
      </c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13.2">
      <c r="A2230" s="1">
        <f ca="1">IFERROR(__xludf.DUMMYFUNCTION("""COMPUTED_VALUE"""),33)</f>
        <v>33</v>
      </c>
      <c r="B2230" s="1" t="str">
        <f ca="1">IFERROR(__xludf.DUMMYFUNCTION("""COMPUTED_VALUE"""),"W1_KA05AD2945_Desilting")</f>
        <v>W1_KA05AD2945_Desilting</v>
      </c>
      <c r="C2230" s="1" t="str">
        <f ca="1">IFERROR(__xludf.DUMMYFUNCTION("""COMPUTED_VALUE"""),"w1_ka05ad2945_desilting")</f>
        <v>w1_ka05ad2945_desilting</v>
      </c>
      <c r="D2230" s="2">
        <f ca="1">IFERROR(__xludf.DUMMYFUNCTION("""COMPUTED_VALUE"""),44456)</f>
        <v>44456</v>
      </c>
      <c r="E2230" s="3">
        <f ca="1">IFERROR(__xludf.DUMMYFUNCTION("""COMPUTED_VALUE"""),0.468981481481023)</f>
        <v>0.46898148148102298</v>
      </c>
      <c r="F2230" s="1">
        <f ca="1">IFERROR(__xludf.DUMMYFUNCTION("""COMPUTED_VALUE"""),7200)</f>
        <v>7200</v>
      </c>
      <c r="G2230" s="1" t="str">
        <f ca="1">IFERROR(__xludf.DUMMYFUNCTION("""COMPUTED_VALUE"""),"13.0099/77.5679")</f>
        <v>13.0099/77.5679</v>
      </c>
      <c r="H2230" s="1" t="str">
        <f ca="1">IFERROR(__xludf.DUMMYFUNCTION("""COMPUTED_VALUE"""),"Malleshwaram")</f>
        <v>Malleshwaram</v>
      </c>
      <c r="I2230" s="1"/>
      <c r="J2230" s="1" t="str">
        <f ca="1">IFERROR(__xludf.DUMMYFUNCTION("""COMPUTED_VALUE"""),"460d 23h 19m")</f>
        <v>460d 23h 19m</v>
      </c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13.2">
      <c r="A2231" s="1">
        <f ca="1">IFERROR(__xludf.DUMMYFUNCTION("""COMPUTED_VALUE"""),33)</f>
        <v>33</v>
      </c>
      <c r="B2231" s="1" t="str">
        <f ca="1">IFERROR(__xludf.DUMMYFUNCTION("""COMPUTED_VALUE"""),"W1_KA05AD2945_Desilting")</f>
        <v>W1_KA05AD2945_Desilting</v>
      </c>
      <c r="C2231" s="1" t="str">
        <f ca="1">IFERROR(__xludf.DUMMYFUNCTION("""COMPUTED_VALUE"""),"w1_ka05ad2945_desilting")</f>
        <v>w1_ka05ad2945_desilting</v>
      </c>
      <c r="D2231" s="2">
        <f ca="1">IFERROR(__xludf.DUMMYFUNCTION("""COMPUTED_VALUE"""),44456)</f>
        <v>44456</v>
      </c>
      <c r="E2231" s="3">
        <f ca="1">IFERROR(__xludf.DUMMYFUNCTION("""COMPUTED_VALUE"""),0.468981481481023)</f>
        <v>0.46898148148102298</v>
      </c>
      <c r="F2231" s="1">
        <f ca="1">IFERROR(__xludf.DUMMYFUNCTION("""COMPUTED_VALUE"""),7200)</f>
        <v>7200</v>
      </c>
      <c r="G2231" s="1" t="str">
        <f ca="1">IFERROR(__xludf.DUMMYFUNCTION("""COMPUTED_VALUE"""),"13.0099/77.5679")</f>
        <v>13.0099/77.5679</v>
      </c>
      <c r="H2231" s="1" t="str">
        <f ca="1">IFERROR(__xludf.DUMMYFUNCTION("""COMPUTED_VALUE"""),"Malleshwaram")</f>
        <v>Malleshwaram</v>
      </c>
      <c r="I2231" s="1"/>
      <c r="J2231" s="1" t="str">
        <f ca="1">IFERROR(__xludf.DUMMYFUNCTION("""COMPUTED_VALUE"""),"460d 23h 20m")</f>
        <v>460d 23h 20m</v>
      </c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13.2">
      <c r="A2232" s="1">
        <f ca="1">IFERROR(__xludf.DUMMYFUNCTION("""COMPUTED_VALUE"""),127)</f>
        <v>127</v>
      </c>
      <c r="B2232" s="1" t="str">
        <f ca="1">IFERROR(__xludf.DUMMYFUNCTION("""COMPUTED_VALUE"""),"W21_KA04A9521_JETTING")</f>
        <v>W21_KA04A9521_JETTING</v>
      </c>
      <c r="C2232" s="1" t="str">
        <f ca="1">IFERROR(__xludf.DUMMYFUNCTION("""COMPUTED_VALUE"""),"w21_ka04a9521_jetting")</f>
        <v>w21_ka04a9521_jetting</v>
      </c>
      <c r="D2232" s="2">
        <f ca="1">IFERROR(__xludf.DUMMYFUNCTION("""COMPUTED_VALUE"""),44880)</f>
        <v>44880</v>
      </c>
      <c r="E2232" s="3">
        <f ca="1">IFERROR(__xludf.DUMMYFUNCTION("""COMPUTED_VALUE"""),0.399305555554747)</f>
        <v>0.399305555554747</v>
      </c>
      <c r="F2232" s="1">
        <f ca="1">IFERROR(__xludf.DUMMYFUNCTION("""COMPUTED_VALUE"""),61537)</f>
        <v>61537</v>
      </c>
      <c r="G2232" s="1" t="str">
        <f ca="1">IFERROR(__xludf.DUMMYFUNCTION("""COMPUTED_VALUE"""),"12.9275/77.5156")</f>
        <v>12.9275/77.5156</v>
      </c>
      <c r="H2232" s="1" t="str">
        <f ca="1">IFERROR(__xludf.DUMMYFUNCTION("""COMPUTED_VALUE"""),"Kenchenahalli")</f>
        <v>Kenchenahalli</v>
      </c>
      <c r="I2232" s="1"/>
      <c r="J2232" s="1" t="str">
        <f ca="1">IFERROR(__xludf.DUMMYFUNCTION("""COMPUTED_VALUE"""),"491d 01h 53m")</f>
        <v>491d 01h 53m</v>
      </c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13.2">
      <c r="A2233" s="1">
        <f ca="1">IFERROR(__xludf.DUMMYFUNCTION("""COMPUTED_VALUE"""),127)</f>
        <v>127</v>
      </c>
      <c r="B2233" s="1" t="str">
        <f ca="1">IFERROR(__xludf.DUMMYFUNCTION("""COMPUTED_VALUE"""),"W21_KA04A9521_JETTING")</f>
        <v>W21_KA04A9521_JETTING</v>
      </c>
      <c r="C2233" s="1" t="str">
        <f ca="1">IFERROR(__xludf.DUMMYFUNCTION("""COMPUTED_VALUE"""),"w21_ka04a9521_jetting")</f>
        <v>w21_ka04a9521_jetting</v>
      </c>
      <c r="D2233" s="2">
        <f ca="1">IFERROR(__xludf.DUMMYFUNCTION("""COMPUTED_VALUE"""),44880)</f>
        <v>44880</v>
      </c>
      <c r="E2233" s="3">
        <f ca="1">IFERROR(__xludf.DUMMYFUNCTION("""COMPUTED_VALUE"""),0.399305555554747)</f>
        <v>0.399305555554747</v>
      </c>
      <c r="F2233" s="1">
        <f ca="1">IFERROR(__xludf.DUMMYFUNCTION("""COMPUTED_VALUE"""),61537)</f>
        <v>61537</v>
      </c>
      <c r="G2233" s="1" t="str">
        <f ca="1">IFERROR(__xludf.DUMMYFUNCTION("""COMPUTED_VALUE"""),"12.9275/77.5156")</f>
        <v>12.9275/77.5156</v>
      </c>
      <c r="H2233" s="1" t="str">
        <f ca="1">IFERROR(__xludf.DUMMYFUNCTION("""COMPUTED_VALUE"""),"Kenchenahalli")</f>
        <v>Kenchenahalli</v>
      </c>
      <c r="I2233" s="1"/>
      <c r="J2233" s="1" t="str">
        <f ca="1">IFERROR(__xludf.DUMMYFUNCTION("""COMPUTED_VALUE"""),"491d 01h 54m")</f>
        <v>491d 01h 54m</v>
      </c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13.2">
      <c r="A2234" s="1">
        <f ca="1">IFERROR(__xludf.DUMMYFUNCTION("""COMPUTED_VALUE"""),125)</f>
        <v>125</v>
      </c>
      <c r="B2234" s="1" t="str">
        <f ca="1">IFERROR(__xludf.DUMMYFUNCTION("""COMPUTED_VALUE"""),"W21_KA04A9521_JETTING")</f>
        <v>W21_KA04A9521_JETTING</v>
      </c>
      <c r="C2234" s="1" t="str">
        <f ca="1">IFERROR(__xludf.DUMMYFUNCTION("""COMPUTED_VALUE"""),"w21_ka04a9521_jetting")</f>
        <v>w21_ka04a9521_jetting</v>
      </c>
      <c r="D2234" s="2">
        <f ca="1">IFERROR(__xludf.DUMMYFUNCTION("""COMPUTED_VALUE"""),44880)</f>
        <v>44880</v>
      </c>
      <c r="E2234" s="3">
        <f ca="1">IFERROR(__xludf.DUMMYFUNCTION("""COMPUTED_VALUE"""),0.399305555554747)</f>
        <v>0.399305555554747</v>
      </c>
      <c r="F2234" s="1">
        <f ca="1">IFERROR(__xludf.DUMMYFUNCTION("""COMPUTED_VALUE"""),61537)</f>
        <v>61537</v>
      </c>
      <c r="G2234" s="1" t="str">
        <f ca="1">IFERROR(__xludf.DUMMYFUNCTION("""COMPUTED_VALUE"""),"12.9275/77.5156")</f>
        <v>12.9275/77.5156</v>
      </c>
      <c r="H2234" s="1" t="str">
        <f ca="1">IFERROR(__xludf.DUMMYFUNCTION("""COMPUTED_VALUE"""),"Kenchenahalli")</f>
        <v>Kenchenahalli</v>
      </c>
      <c r="I2234" s="1"/>
      <c r="J2234" s="1" t="str">
        <f ca="1">IFERROR(__xludf.DUMMYFUNCTION("""COMPUTED_VALUE"""),"491d 01h 55m")</f>
        <v>491d 01h 55m</v>
      </c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13.2">
      <c r="A2235" s="1">
        <f ca="1">IFERROR(__xludf.DUMMYFUNCTION("""COMPUTED_VALUE"""),124)</f>
        <v>124</v>
      </c>
      <c r="B2235" s="1" t="str">
        <f ca="1">IFERROR(__xludf.DUMMYFUNCTION("""COMPUTED_VALUE"""),"W21_KA04A9521_JETTING")</f>
        <v>W21_KA04A9521_JETTING</v>
      </c>
      <c r="C2235" s="1" t="str">
        <f ca="1">IFERROR(__xludf.DUMMYFUNCTION("""COMPUTED_VALUE"""),"w21_ka04a9521_jetting")</f>
        <v>w21_ka04a9521_jetting</v>
      </c>
      <c r="D2235" s="2">
        <f ca="1">IFERROR(__xludf.DUMMYFUNCTION("""COMPUTED_VALUE"""),44880)</f>
        <v>44880</v>
      </c>
      <c r="E2235" s="3">
        <f ca="1">IFERROR(__xludf.DUMMYFUNCTION("""COMPUTED_VALUE"""),0.399305555554747)</f>
        <v>0.399305555554747</v>
      </c>
      <c r="F2235" s="1">
        <f ca="1">IFERROR(__xludf.DUMMYFUNCTION("""COMPUTED_VALUE"""),61537)</f>
        <v>61537</v>
      </c>
      <c r="G2235" s="1" t="str">
        <f ca="1">IFERROR(__xludf.DUMMYFUNCTION("""COMPUTED_VALUE"""),"12.9275/77.5156")</f>
        <v>12.9275/77.5156</v>
      </c>
      <c r="H2235" s="1" t="str">
        <f ca="1">IFERROR(__xludf.DUMMYFUNCTION("""COMPUTED_VALUE"""),"Kenchenahalli")</f>
        <v>Kenchenahalli</v>
      </c>
      <c r="I2235" s="1"/>
      <c r="J2235" s="1" t="str">
        <f ca="1">IFERROR(__xludf.DUMMYFUNCTION("""COMPUTED_VALUE"""),"491d 01h 56m")</f>
        <v>491d 01h 56m</v>
      </c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13.2">
      <c r="A2236" s="1">
        <f ca="1">IFERROR(__xludf.DUMMYFUNCTION("""COMPUTED_VALUE"""),124)</f>
        <v>124</v>
      </c>
      <c r="B2236" s="1" t="str">
        <f ca="1">IFERROR(__xludf.DUMMYFUNCTION("""COMPUTED_VALUE"""),"W21_KA04A9521_JETTING")</f>
        <v>W21_KA04A9521_JETTING</v>
      </c>
      <c r="C2236" s="1" t="str">
        <f ca="1">IFERROR(__xludf.DUMMYFUNCTION("""COMPUTED_VALUE"""),"w21_ka04a9521_jetting")</f>
        <v>w21_ka04a9521_jetting</v>
      </c>
      <c r="D2236" s="2">
        <f ca="1">IFERROR(__xludf.DUMMYFUNCTION("""COMPUTED_VALUE"""),44880)</f>
        <v>44880</v>
      </c>
      <c r="E2236" s="3">
        <f ca="1">IFERROR(__xludf.DUMMYFUNCTION("""COMPUTED_VALUE"""),0.399305555554747)</f>
        <v>0.399305555554747</v>
      </c>
      <c r="F2236" s="1">
        <f ca="1">IFERROR(__xludf.DUMMYFUNCTION("""COMPUTED_VALUE"""),61537)</f>
        <v>61537</v>
      </c>
      <c r="G2236" s="1" t="str">
        <f ca="1">IFERROR(__xludf.DUMMYFUNCTION("""COMPUTED_VALUE"""),"12.9275/77.5156")</f>
        <v>12.9275/77.5156</v>
      </c>
      <c r="H2236" s="1" t="str">
        <f ca="1">IFERROR(__xludf.DUMMYFUNCTION("""COMPUTED_VALUE"""),"Kenchenahalli")</f>
        <v>Kenchenahalli</v>
      </c>
      <c r="I2236" s="1"/>
      <c r="J2236" s="1" t="str">
        <f ca="1">IFERROR(__xludf.DUMMYFUNCTION("""COMPUTED_VALUE"""),"491d 01h 57m")</f>
        <v>491d 01h 57m</v>
      </c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13.2">
      <c r="A2237" s="1">
        <f ca="1">IFERROR(__xludf.DUMMYFUNCTION("""COMPUTED_VALUE"""),10)</f>
        <v>10</v>
      </c>
      <c r="B2237" s="1" t="str">
        <f ca="1">IFERROR(__xludf.DUMMYFUNCTION("""COMPUTED_VALUE"""),"W21_KA04D4156_JETTING")</f>
        <v>W21_KA04D4156_JETTING</v>
      </c>
      <c r="C2237" s="1" t="str">
        <f ca="1">IFERROR(__xludf.DUMMYFUNCTION("""COMPUTED_VALUE"""),"w21_ka04d4156_jetting")</f>
        <v>w21_ka04d4156_jetting</v>
      </c>
      <c r="D2237" s="2">
        <f ca="1">IFERROR(__xludf.DUMMYFUNCTION("""COMPUTED_VALUE"""),41640)</f>
        <v>41640</v>
      </c>
      <c r="E2237" s="3">
        <f ca="1">IFERROR(__xludf.DUMMYFUNCTION("""COMPUTED_VALUE"""),0.229513888887595)</f>
        <v>0.229513888887595</v>
      </c>
      <c r="F2237" s="1">
        <f ca="1">IFERROR(__xludf.DUMMYFUNCTION("""COMPUTED_VALUE"""),26751)</f>
        <v>26751</v>
      </c>
      <c r="G2237" s="1"/>
      <c r="H2237" s="1"/>
      <c r="I2237" s="1"/>
      <c r="J2237" s="1" t="str">
        <f ca="1">IFERROR(__xludf.DUMMYFUNCTION("""COMPUTED_VALUE"""),"0d 00h 00m")</f>
        <v>0d 00h 00m</v>
      </c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13.2">
      <c r="A2238" s="1">
        <f ca="1">IFERROR(__xludf.DUMMYFUNCTION("""COMPUTED_VALUE"""),10)</f>
        <v>10</v>
      </c>
      <c r="B2238" s="1" t="str">
        <f ca="1">IFERROR(__xludf.DUMMYFUNCTION("""COMPUTED_VALUE"""),"W21_KA04D4156_JETTING")</f>
        <v>W21_KA04D4156_JETTING</v>
      </c>
      <c r="C2238" s="1" t="str">
        <f ca="1">IFERROR(__xludf.DUMMYFUNCTION("""COMPUTED_VALUE"""),"w21_ka04d4156_jetting")</f>
        <v>w21_ka04d4156_jetting</v>
      </c>
      <c r="D2238" s="2">
        <f ca="1">IFERROR(__xludf.DUMMYFUNCTION("""COMPUTED_VALUE"""),41640)</f>
        <v>41640</v>
      </c>
      <c r="E2238" s="3">
        <f ca="1">IFERROR(__xludf.DUMMYFUNCTION("""COMPUTED_VALUE"""),0.229513888887595)</f>
        <v>0.229513888887595</v>
      </c>
      <c r="F2238" s="1">
        <f ca="1">IFERROR(__xludf.DUMMYFUNCTION("""COMPUTED_VALUE"""),26751)</f>
        <v>26751</v>
      </c>
      <c r="G2238" s="1"/>
      <c r="H2238" s="1"/>
      <c r="I2238" s="1"/>
      <c r="J2238" s="1" t="str">
        <f ca="1">IFERROR(__xludf.DUMMYFUNCTION("""COMPUTED_VALUE"""),"0d 00h 00m")</f>
        <v>0d 00h 00m</v>
      </c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13.2">
      <c r="A2239" s="1">
        <f ca="1">IFERROR(__xludf.DUMMYFUNCTION("""COMPUTED_VALUE"""),10)</f>
        <v>10</v>
      </c>
      <c r="B2239" s="1" t="str">
        <f ca="1">IFERROR(__xludf.DUMMYFUNCTION("""COMPUTED_VALUE"""),"W21_KA04D4156_JETTING")</f>
        <v>W21_KA04D4156_JETTING</v>
      </c>
      <c r="C2239" s="1" t="str">
        <f ca="1">IFERROR(__xludf.DUMMYFUNCTION("""COMPUTED_VALUE"""),"w21_ka04d4156_jetting")</f>
        <v>w21_ka04d4156_jetting</v>
      </c>
      <c r="D2239" s="2">
        <f ca="1">IFERROR(__xludf.DUMMYFUNCTION("""COMPUTED_VALUE"""),41640)</f>
        <v>41640</v>
      </c>
      <c r="E2239" s="3">
        <f ca="1">IFERROR(__xludf.DUMMYFUNCTION("""COMPUTED_VALUE"""),0.229513888887595)</f>
        <v>0.229513888887595</v>
      </c>
      <c r="F2239" s="1">
        <f ca="1">IFERROR(__xludf.DUMMYFUNCTION("""COMPUTED_VALUE"""),26751)</f>
        <v>26751</v>
      </c>
      <c r="G2239" s="1"/>
      <c r="H2239" s="1"/>
      <c r="I2239" s="1"/>
      <c r="J2239" s="1" t="str">
        <f ca="1">IFERROR(__xludf.DUMMYFUNCTION("""COMPUTED_VALUE"""),"0d 00h 00m")</f>
        <v>0d 00h 00m</v>
      </c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13.2">
      <c r="A2240" s="1">
        <f ca="1">IFERROR(__xludf.DUMMYFUNCTION("""COMPUTED_VALUE"""),10)</f>
        <v>10</v>
      </c>
      <c r="B2240" s="1" t="str">
        <f ca="1">IFERROR(__xludf.DUMMYFUNCTION("""COMPUTED_VALUE"""),"W21_KA04D4156_JETTING")</f>
        <v>W21_KA04D4156_JETTING</v>
      </c>
      <c r="C2240" s="1" t="str">
        <f ca="1">IFERROR(__xludf.DUMMYFUNCTION("""COMPUTED_VALUE"""),"w21_ka04d4156_jetting")</f>
        <v>w21_ka04d4156_jetting</v>
      </c>
      <c r="D2240" s="2">
        <f ca="1">IFERROR(__xludf.DUMMYFUNCTION("""COMPUTED_VALUE"""),41640)</f>
        <v>41640</v>
      </c>
      <c r="E2240" s="3">
        <f ca="1">IFERROR(__xludf.DUMMYFUNCTION("""COMPUTED_VALUE"""),0.229513888887595)</f>
        <v>0.229513888887595</v>
      </c>
      <c r="F2240" s="1">
        <f ca="1">IFERROR(__xludf.DUMMYFUNCTION("""COMPUTED_VALUE"""),26751)</f>
        <v>26751</v>
      </c>
      <c r="G2240" s="1"/>
      <c r="H2240" s="1"/>
      <c r="I2240" s="1"/>
      <c r="J2240" s="1" t="str">
        <f ca="1">IFERROR(__xludf.DUMMYFUNCTION("""COMPUTED_VALUE"""),"0d 00h 00m")</f>
        <v>0d 00h 00m</v>
      </c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13.2">
      <c r="A2241" s="1">
        <f ca="1">IFERROR(__xludf.DUMMYFUNCTION("""COMPUTED_VALUE"""),10)</f>
        <v>10</v>
      </c>
      <c r="B2241" s="1" t="str">
        <f ca="1">IFERROR(__xludf.DUMMYFUNCTION("""COMPUTED_VALUE"""),"W21_KA04D4156_JETTING")</f>
        <v>W21_KA04D4156_JETTING</v>
      </c>
      <c r="C2241" s="1" t="str">
        <f ca="1">IFERROR(__xludf.DUMMYFUNCTION("""COMPUTED_VALUE"""),"w21_ka04d4156_jetting")</f>
        <v>w21_ka04d4156_jetting</v>
      </c>
      <c r="D2241" s="2">
        <f ca="1">IFERROR(__xludf.DUMMYFUNCTION("""COMPUTED_VALUE"""),41640)</f>
        <v>41640</v>
      </c>
      <c r="E2241" s="3">
        <f ca="1">IFERROR(__xludf.DUMMYFUNCTION("""COMPUTED_VALUE"""),0.229513888887595)</f>
        <v>0.229513888887595</v>
      </c>
      <c r="F2241" s="1">
        <f ca="1">IFERROR(__xludf.DUMMYFUNCTION("""COMPUTED_VALUE"""),26751)</f>
        <v>26751</v>
      </c>
      <c r="G2241" s="1"/>
      <c r="H2241" s="1"/>
      <c r="I2241" s="1"/>
      <c r="J2241" s="1" t="str">
        <f ca="1">IFERROR(__xludf.DUMMYFUNCTION("""COMPUTED_VALUE"""),"0d 00h 00m")</f>
        <v>0d 00h 00m</v>
      </c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13.2">
      <c r="A2242" s="1">
        <f ca="1">IFERROR(__xludf.DUMMYFUNCTION("""COMPUTED_VALUE"""),10)</f>
        <v>10</v>
      </c>
      <c r="B2242" s="1" t="str">
        <f ca="1">IFERROR(__xludf.DUMMYFUNCTION("""COMPUTED_VALUE"""),"W21_KA04D4156_JETTING")</f>
        <v>W21_KA04D4156_JETTING</v>
      </c>
      <c r="C2242" s="1" t="str">
        <f ca="1">IFERROR(__xludf.DUMMYFUNCTION("""COMPUTED_VALUE"""),"w21_ka04d4156_jetting")</f>
        <v>w21_ka04d4156_jetting</v>
      </c>
      <c r="D2242" s="2">
        <f ca="1">IFERROR(__xludf.DUMMYFUNCTION("""COMPUTED_VALUE"""),41640)</f>
        <v>41640</v>
      </c>
      <c r="E2242" s="3">
        <f ca="1">IFERROR(__xludf.DUMMYFUNCTION("""COMPUTED_VALUE"""),0.229513888887595)</f>
        <v>0.229513888887595</v>
      </c>
      <c r="F2242" s="1">
        <f ca="1">IFERROR(__xludf.DUMMYFUNCTION("""COMPUTED_VALUE"""),26751)</f>
        <v>26751</v>
      </c>
      <c r="G2242" s="1"/>
      <c r="H2242" s="1"/>
      <c r="I2242" s="1"/>
      <c r="J2242" s="1" t="str">
        <f ca="1">IFERROR(__xludf.DUMMYFUNCTION("""COMPUTED_VALUE"""),"0d 00h 00m")</f>
        <v>0d 00h 00m</v>
      </c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13.2">
      <c r="A2243" s="1">
        <f ca="1">IFERROR(__xludf.DUMMYFUNCTION("""COMPUTED_VALUE"""),10)</f>
        <v>10</v>
      </c>
      <c r="B2243" s="1" t="str">
        <f ca="1">IFERROR(__xludf.DUMMYFUNCTION("""COMPUTED_VALUE"""),"W21_KA04D4156_JETTING")</f>
        <v>W21_KA04D4156_JETTING</v>
      </c>
      <c r="C2243" s="1" t="str">
        <f ca="1">IFERROR(__xludf.DUMMYFUNCTION("""COMPUTED_VALUE"""),"w21_ka04d4156_jetting")</f>
        <v>w21_ka04d4156_jetting</v>
      </c>
      <c r="D2243" s="2">
        <f ca="1">IFERROR(__xludf.DUMMYFUNCTION("""COMPUTED_VALUE"""),41640)</f>
        <v>41640</v>
      </c>
      <c r="E2243" s="3">
        <f ca="1">IFERROR(__xludf.DUMMYFUNCTION("""COMPUTED_VALUE"""),0.229513888887595)</f>
        <v>0.229513888887595</v>
      </c>
      <c r="F2243" s="1">
        <f ca="1">IFERROR(__xludf.DUMMYFUNCTION("""COMPUTED_VALUE"""),26751)</f>
        <v>26751</v>
      </c>
      <c r="G2243" s="1"/>
      <c r="H2243" s="1"/>
      <c r="I2243" s="1"/>
      <c r="J2243" s="1" t="str">
        <f ca="1">IFERROR(__xludf.DUMMYFUNCTION("""COMPUTED_VALUE"""),"0d 00h 00m")</f>
        <v>0d 00h 00m</v>
      </c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13.2">
      <c r="A2244" s="1">
        <f ca="1">IFERROR(__xludf.DUMMYFUNCTION("""COMPUTED_VALUE"""),112)</f>
        <v>112</v>
      </c>
      <c r="B2244" s="1" t="str">
        <f ca="1">IFERROR(__xludf.DUMMYFUNCTION("""COMPUTED_VALUE"""),"W21_KA04D5156_JETTING")</f>
        <v>W21_KA04D5156_JETTING</v>
      </c>
      <c r="C2244" s="1" t="str">
        <f ca="1">IFERROR(__xludf.DUMMYFUNCTION("""COMPUTED_VALUE"""),"w21_ka04d5156_jetting")</f>
        <v>w21_ka04d5156_jetting</v>
      </c>
      <c r="D2244" s="2">
        <f ca="1">IFERROR(__xludf.DUMMYFUNCTION("""COMPUTED_VALUE"""),43867)</f>
        <v>43867</v>
      </c>
      <c r="E2244" s="3">
        <f ca="1">IFERROR(__xludf.DUMMYFUNCTION("""COMPUTED_VALUE"""),0.0156481481499213)</f>
        <v>1.5648148149921302E-2</v>
      </c>
      <c r="F2244" s="1">
        <f ca="1">IFERROR(__xludf.DUMMYFUNCTION("""COMPUTED_VALUE"""),1609344)</f>
        <v>1609344</v>
      </c>
      <c r="G2244" s="1" t="str">
        <f ca="1">IFERROR(__xludf.DUMMYFUNCTION("""COMPUTED_VALUE"""),"12.9194/77.5222")</f>
        <v>12.9194/77.5222</v>
      </c>
      <c r="H2244" s="1" t="str">
        <f ca="1">IFERROR(__xludf.DUMMYFUNCTION("""COMPUTED_VALUE"""),"Kenchenahalli")</f>
        <v>Kenchenahalli</v>
      </c>
      <c r="I2244" s="1"/>
      <c r="J2244" s="1" t="str">
        <f ca="1">IFERROR(__xludf.DUMMYFUNCTION("""COMPUTED_VALUE"""),"0d 00h 00m")</f>
        <v>0d 00h 00m</v>
      </c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13.2">
      <c r="A2245" s="1">
        <f ca="1">IFERROR(__xludf.DUMMYFUNCTION("""COMPUTED_VALUE"""),112)</f>
        <v>112</v>
      </c>
      <c r="B2245" s="1" t="str">
        <f ca="1">IFERROR(__xludf.DUMMYFUNCTION("""COMPUTED_VALUE"""),"W21_KA04D5156_JETTING")</f>
        <v>W21_KA04D5156_JETTING</v>
      </c>
      <c r="C2245" s="1" t="str">
        <f ca="1">IFERROR(__xludf.DUMMYFUNCTION("""COMPUTED_VALUE"""),"w21_ka04d5156_jetting")</f>
        <v>w21_ka04d5156_jetting</v>
      </c>
      <c r="D2245" s="2">
        <f ca="1">IFERROR(__xludf.DUMMYFUNCTION("""COMPUTED_VALUE"""),43867)</f>
        <v>43867</v>
      </c>
      <c r="E2245" s="3">
        <f ca="1">IFERROR(__xludf.DUMMYFUNCTION("""COMPUTED_VALUE"""),0.0156481481499213)</f>
        <v>1.5648148149921302E-2</v>
      </c>
      <c r="F2245" s="1">
        <f ca="1">IFERROR(__xludf.DUMMYFUNCTION("""COMPUTED_VALUE"""),1609344)</f>
        <v>1609344</v>
      </c>
      <c r="G2245" s="1" t="str">
        <f ca="1">IFERROR(__xludf.DUMMYFUNCTION("""COMPUTED_VALUE"""),"12.9194/77.5222")</f>
        <v>12.9194/77.5222</v>
      </c>
      <c r="H2245" s="1" t="str">
        <f ca="1">IFERROR(__xludf.DUMMYFUNCTION("""COMPUTED_VALUE"""),"Kenchenahalli")</f>
        <v>Kenchenahalli</v>
      </c>
      <c r="I2245" s="1"/>
      <c r="J2245" s="1" t="str">
        <f ca="1">IFERROR(__xludf.DUMMYFUNCTION("""COMPUTED_VALUE"""),"0d 00h 00m")</f>
        <v>0d 00h 00m</v>
      </c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13.2">
      <c r="A2246" s="1">
        <f ca="1">IFERROR(__xludf.DUMMYFUNCTION("""COMPUTED_VALUE"""),109)</f>
        <v>109</v>
      </c>
      <c r="B2246" s="1" t="str">
        <f ca="1">IFERROR(__xludf.DUMMYFUNCTION("""COMPUTED_VALUE"""),"W21_KA04D5156_JETTING")</f>
        <v>W21_KA04D5156_JETTING</v>
      </c>
      <c r="C2246" s="1" t="str">
        <f ca="1">IFERROR(__xludf.DUMMYFUNCTION("""COMPUTED_VALUE"""),"w21_ka04d5156_jetting")</f>
        <v>w21_ka04d5156_jetting</v>
      </c>
      <c r="D2246" s="2">
        <f ca="1">IFERROR(__xludf.DUMMYFUNCTION("""COMPUTED_VALUE"""),43867)</f>
        <v>43867</v>
      </c>
      <c r="E2246" s="3">
        <f ca="1">IFERROR(__xludf.DUMMYFUNCTION("""COMPUTED_VALUE"""),0.0156481481499213)</f>
        <v>1.5648148149921302E-2</v>
      </c>
      <c r="F2246" s="1">
        <f ca="1">IFERROR(__xludf.DUMMYFUNCTION("""COMPUTED_VALUE"""),1609344)</f>
        <v>1609344</v>
      </c>
      <c r="G2246" s="1" t="str">
        <f ca="1">IFERROR(__xludf.DUMMYFUNCTION("""COMPUTED_VALUE"""),"12.9194/77.5222")</f>
        <v>12.9194/77.5222</v>
      </c>
      <c r="H2246" s="1" t="str">
        <f ca="1">IFERROR(__xludf.DUMMYFUNCTION("""COMPUTED_VALUE"""),"Kenchenahalli")</f>
        <v>Kenchenahalli</v>
      </c>
      <c r="I2246" s="1"/>
      <c r="J2246" s="1" t="str">
        <f ca="1">IFERROR(__xludf.DUMMYFUNCTION("""COMPUTED_VALUE"""),"0d 00h 00m")</f>
        <v>0d 00h 00m</v>
      </c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13.2">
      <c r="A2247" s="1">
        <f ca="1">IFERROR(__xludf.DUMMYFUNCTION("""COMPUTED_VALUE"""),109)</f>
        <v>109</v>
      </c>
      <c r="B2247" s="1" t="str">
        <f ca="1">IFERROR(__xludf.DUMMYFUNCTION("""COMPUTED_VALUE"""),"W21_KA04D5156_JETTING")</f>
        <v>W21_KA04D5156_JETTING</v>
      </c>
      <c r="C2247" s="1" t="str">
        <f ca="1">IFERROR(__xludf.DUMMYFUNCTION("""COMPUTED_VALUE"""),"w21_ka04d5156_jetting")</f>
        <v>w21_ka04d5156_jetting</v>
      </c>
      <c r="D2247" s="2">
        <f ca="1">IFERROR(__xludf.DUMMYFUNCTION("""COMPUTED_VALUE"""),43867)</f>
        <v>43867</v>
      </c>
      <c r="E2247" s="3">
        <f ca="1">IFERROR(__xludf.DUMMYFUNCTION("""COMPUTED_VALUE"""),0.0156481481499213)</f>
        <v>1.5648148149921302E-2</v>
      </c>
      <c r="F2247" s="1">
        <f ca="1">IFERROR(__xludf.DUMMYFUNCTION("""COMPUTED_VALUE"""),1609344)</f>
        <v>1609344</v>
      </c>
      <c r="G2247" s="1" t="str">
        <f ca="1">IFERROR(__xludf.DUMMYFUNCTION("""COMPUTED_VALUE"""),"12.9194/77.5222")</f>
        <v>12.9194/77.5222</v>
      </c>
      <c r="H2247" s="1" t="str">
        <f ca="1">IFERROR(__xludf.DUMMYFUNCTION("""COMPUTED_VALUE"""),"Kenchenahalli")</f>
        <v>Kenchenahalli</v>
      </c>
      <c r="I2247" s="1"/>
      <c r="J2247" s="1" t="str">
        <f ca="1">IFERROR(__xludf.DUMMYFUNCTION("""COMPUTED_VALUE"""),"0d 00h 00m")</f>
        <v>0d 00h 00m</v>
      </c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13.2">
      <c r="A2248" s="1">
        <f ca="1">IFERROR(__xludf.DUMMYFUNCTION("""COMPUTED_VALUE"""),109)</f>
        <v>109</v>
      </c>
      <c r="B2248" s="1" t="str">
        <f ca="1">IFERROR(__xludf.DUMMYFUNCTION("""COMPUTED_VALUE"""),"W21_KA04D5156_JETTING")</f>
        <v>W21_KA04D5156_JETTING</v>
      </c>
      <c r="C2248" s="1" t="str">
        <f ca="1">IFERROR(__xludf.DUMMYFUNCTION("""COMPUTED_VALUE"""),"w21_ka04d5156_jetting")</f>
        <v>w21_ka04d5156_jetting</v>
      </c>
      <c r="D2248" s="2">
        <f ca="1">IFERROR(__xludf.DUMMYFUNCTION("""COMPUTED_VALUE"""),43867)</f>
        <v>43867</v>
      </c>
      <c r="E2248" s="3">
        <f ca="1">IFERROR(__xludf.DUMMYFUNCTION("""COMPUTED_VALUE"""),0.0156481481499213)</f>
        <v>1.5648148149921302E-2</v>
      </c>
      <c r="F2248" s="1">
        <f ca="1">IFERROR(__xludf.DUMMYFUNCTION("""COMPUTED_VALUE"""),1609344)</f>
        <v>1609344</v>
      </c>
      <c r="G2248" s="1" t="str">
        <f ca="1">IFERROR(__xludf.DUMMYFUNCTION("""COMPUTED_VALUE"""),"12.9194/77.5222")</f>
        <v>12.9194/77.5222</v>
      </c>
      <c r="H2248" s="1" t="str">
        <f ca="1">IFERROR(__xludf.DUMMYFUNCTION("""COMPUTED_VALUE"""),"Kenchenahalli")</f>
        <v>Kenchenahalli</v>
      </c>
      <c r="I2248" s="1"/>
      <c r="J2248" s="1" t="str">
        <f ca="1">IFERROR(__xludf.DUMMYFUNCTION("""COMPUTED_VALUE"""),"0d 00h 00m")</f>
        <v>0d 00h 00m</v>
      </c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13.2">
      <c r="A2249" s="1">
        <f ca="1">IFERROR(__xludf.DUMMYFUNCTION("""COMPUTED_VALUE"""),109)</f>
        <v>109</v>
      </c>
      <c r="B2249" s="1" t="str">
        <f ca="1">IFERROR(__xludf.DUMMYFUNCTION("""COMPUTED_VALUE"""),"W21_KA04D5156_JETTING")</f>
        <v>W21_KA04D5156_JETTING</v>
      </c>
      <c r="C2249" s="1" t="str">
        <f ca="1">IFERROR(__xludf.DUMMYFUNCTION("""COMPUTED_VALUE"""),"w21_ka04d5156_jetting")</f>
        <v>w21_ka04d5156_jetting</v>
      </c>
      <c r="D2249" s="2">
        <f ca="1">IFERROR(__xludf.DUMMYFUNCTION("""COMPUTED_VALUE"""),43867)</f>
        <v>43867</v>
      </c>
      <c r="E2249" s="3">
        <f ca="1">IFERROR(__xludf.DUMMYFUNCTION("""COMPUTED_VALUE"""),0.0156481481499213)</f>
        <v>1.5648148149921302E-2</v>
      </c>
      <c r="F2249" s="1">
        <f ca="1">IFERROR(__xludf.DUMMYFUNCTION("""COMPUTED_VALUE"""),1609344)</f>
        <v>1609344</v>
      </c>
      <c r="G2249" s="1" t="str">
        <f ca="1">IFERROR(__xludf.DUMMYFUNCTION("""COMPUTED_VALUE"""),"12.9194/77.5222")</f>
        <v>12.9194/77.5222</v>
      </c>
      <c r="H2249" s="1" t="str">
        <f ca="1">IFERROR(__xludf.DUMMYFUNCTION("""COMPUTED_VALUE"""),"Kenchenahalli")</f>
        <v>Kenchenahalli</v>
      </c>
      <c r="I2249" s="1"/>
      <c r="J2249" s="1" t="str">
        <f ca="1">IFERROR(__xludf.DUMMYFUNCTION("""COMPUTED_VALUE"""),"0d 00h 00m")</f>
        <v>0d 00h 00m</v>
      </c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13.2">
      <c r="A2250" s="1">
        <f ca="1">IFERROR(__xludf.DUMMYFUNCTION("""COMPUTED_VALUE"""),109)</f>
        <v>109</v>
      </c>
      <c r="B2250" s="1" t="str">
        <f ca="1">IFERROR(__xludf.DUMMYFUNCTION("""COMPUTED_VALUE"""),"W21_KA04D5156_JETTING")</f>
        <v>W21_KA04D5156_JETTING</v>
      </c>
      <c r="C2250" s="1" t="str">
        <f ca="1">IFERROR(__xludf.DUMMYFUNCTION("""COMPUTED_VALUE"""),"w21_ka04d5156_jetting")</f>
        <v>w21_ka04d5156_jetting</v>
      </c>
      <c r="D2250" s="2">
        <f ca="1">IFERROR(__xludf.DUMMYFUNCTION("""COMPUTED_VALUE"""),43867)</f>
        <v>43867</v>
      </c>
      <c r="E2250" s="3">
        <f ca="1">IFERROR(__xludf.DUMMYFUNCTION("""COMPUTED_VALUE"""),0.0156481481499213)</f>
        <v>1.5648148149921302E-2</v>
      </c>
      <c r="F2250" s="1">
        <f ca="1">IFERROR(__xludf.DUMMYFUNCTION("""COMPUTED_VALUE"""),1609344)</f>
        <v>1609344</v>
      </c>
      <c r="G2250" s="1" t="str">
        <f ca="1">IFERROR(__xludf.DUMMYFUNCTION("""COMPUTED_VALUE"""),"12.9194/77.5222")</f>
        <v>12.9194/77.5222</v>
      </c>
      <c r="H2250" s="1" t="str">
        <f ca="1">IFERROR(__xludf.DUMMYFUNCTION("""COMPUTED_VALUE"""),"Kenchenahalli")</f>
        <v>Kenchenahalli</v>
      </c>
      <c r="I2250" s="1"/>
      <c r="J2250" s="1" t="str">
        <f ca="1">IFERROR(__xludf.DUMMYFUNCTION("""COMPUTED_VALUE"""),"0d 00h 00m")</f>
        <v>0d 00h 00m</v>
      </c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13.2">
      <c r="A2251" s="1">
        <f ca="1">IFERROR(__xludf.DUMMYFUNCTION("""COMPUTED_VALUE"""),80)</f>
        <v>80</v>
      </c>
      <c r="B2251" s="1" t="str">
        <f ca="1">IFERROR(__xludf.DUMMYFUNCTION("""COMPUTED_VALUE"""),"W21_KA04D5305_TANKER")</f>
        <v>W21_KA04D5305_TANKER</v>
      </c>
      <c r="C2251" s="1" t="str">
        <f ca="1">IFERROR(__xludf.DUMMYFUNCTION("""COMPUTED_VALUE"""),"w21_ka04d5305_tanker")</f>
        <v>w21_ka04d5305_tanker</v>
      </c>
      <c r="D2251" s="2">
        <f ca="1">IFERROR(__xludf.DUMMYFUNCTION("""COMPUTED_VALUE"""),41640)</f>
        <v>41640</v>
      </c>
      <c r="E2251" s="3">
        <f ca="1">IFERROR(__xludf.DUMMYFUNCTION("""COMPUTED_VALUE"""),0.669999999998253)</f>
        <v>0.66999999999825299</v>
      </c>
      <c r="F2251" s="1">
        <f ca="1">IFERROR(__xludf.DUMMYFUNCTION("""COMPUTED_VALUE"""),6489)</f>
        <v>6489</v>
      </c>
      <c r="G2251" s="1" t="str">
        <f ca="1">IFERROR(__xludf.DUMMYFUNCTION("""COMPUTED_VALUE"""),"13.0103/77.5673")</f>
        <v>13.0103/77.5673</v>
      </c>
      <c r="H2251" s="1" t="str">
        <f ca="1">IFERROR(__xludf.DUMMYFUNCTION("""COMPUTED_VALUE"""),"Malleshwaram")</f>
        <v>Malleshwaram</v>
      </c>
      <c r="I2251" s="1"/>
      <c r="J2251" s="1" t="str">
        <f ca="1">IFERROR(__xludf.DUMMYFUNCTION("""COMPUTED_VALUE"""),"0d 00h 00m")</f>
        <v>0d 00h 00m</v>
      </c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13.2">
      <c r="A2252" s="1">
        <f ca="1">IFERROR(__xludf.DUMMYFUNCTION("""COMPUTED_VALUE"""),80)</f>
        <v>80</v>
      </c>
      <c r="B2252" s="1" t="str">
        <f ca="1">IFERROR(__xludf.DUMMYFUNCTION("""COMPUTED_VALUE"""),"W21_KA04D5305_TANKER")</f>
        <v>W21_KA04D5305_TANKER</v>
      </c>
      <c r="C2252" s="1" t="str">
        <f ca="1">IFERROR(__xludf.DUMMYFUNCTION("""COMPUTED_VALUE"""),"w21_ka04d5305_tanker")</f>
        <v>w21_ka04d5305_tanker</v>
      </c>
      <c r="D2252" s="2">
        <f ca="1">IFERROR(__xludf.DUMMYFUNCTION("""COMPUTED_VALUE"""),41640)</f>
        <v>41640</v>
      </c>
      <c r="E2252" s="3">
        <f ca="1">IFERROR(__xludf.DUMMYFUNCTION("""COMPUTED_VALUE"""),0.669999999998253)</f>
        <v>0.66999999999825299</v>
      </c>
      <c r="F2252" s="1">
        <f ca="1">IFERROR(__xludf.DUMMYFUNCTION("""COMPUTED_VALUE"""),6489)</f>
        <v>6489</v>
      </c>
      <c r="G2252" s="1" t="str">
        <f ca="1">IFERROR(__xludf.DUMMYFUNCTION("""COMPUTED_VALUE"""),"13.0103/77.5673")</f>
        <v>13.0103/77.5673</v>
      </c>
      <c r="H2252" s="1" t="str">
        <f ca="1">IFERROR(__xludf.DUMMYFUNCTION("""COMPUTED_VALUE"""),"Malleshwaram")</f>
        <v>Malleshwaram</v>
      </c>
      <c r="I2252" s="1"/>
      <c r="J2252" s="1" t="str">
        <f ca="1">IFERROR(__xludf.DUMMYFUNCTION("""COMPUTED_VALUE"""),"0d 00h 00m")</f>
        <v>0d 00h 00m</v>
      </c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13.2">
      <c r="A2253" s="1">
        <f ca="1">IFERROR(__xludf.DUMMYFUNCTION("""COMPUTED_VALUE"""),78)</f>
        <v>78</v>
      </c>
      <c r="B2253" s="1" t="str">
        <f ca="1">IFERROR(__xludf.DUMMYFUNCTION("""COMPUTED_VALUE"""),"W21_KA04D5305_TANKER")</f>
        <v>W21_KA04D5305_TANKER</v>
      </c>
      <c r="C2253" s="1" t="str">
        <f ca="1">IFERROR(__xludf.DUMMYFUNCTION("""COMPUTED_VALUE"""),"w21_ka04d5305_tanker")</f>
        <v>w21_ka04d5305_tanker</v>
      </c>
      <c r="D2253" s="2">
        <f ca="1">IFERROR(__xludf.DUMMYFUNCTION("""COMPUTED_VALUE"""),41640)</f>
        <v>41640</v>
      </c>
      <c r="E2253" s="3">
        <f ca="1">IFERROR(__xludf.DUMMYFUNCTION("""COMPUTED_VALUE"""),0.669999999998253)</f>
        <v>0.66999999999825299</v>
      </c>
      <c r="F2253" s="1">
        <f ca="1">IFERROR(__xludf.DUMMYFUNCTION("""COMPUTED_VALUE"""),6489)</f>
        <v>6489</v>
      </c>
      <c r="G2253" s="1" t="str">
        <f ca="1">IFERROR(__xludf.DUMMYFUNCTION("""COMPUTED_VALUE"""),"13.0103/77.5673")</f>
        <v>13.0103/77.5673</v>
      </c>
      <c r="H2253" s="1" t="str">
        <f ca="1">IFERROR(__xludf.DUMMYFUNCTION("""COMPUTED_VALUE"""),"Malleshwaram")</f>
        <v>Malleshwaram</v>
      </c>
      <c r="I2253" s="1"/>
      <c r="J2253" s="1" t="str">
        <f ca="1">IFERROR(__xludf.DUMMYFUNCTION("""COMPUTED_VALUE"""),"0d 00h 00m")</f>
        <v>0d 00h 00m</v>
      </c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13.2">
      <c r="A2254" s="1">
        <f ca="1">IFERROR(__xludf.DUMMYFUNCTION("""COMPUTED_VALUE"""),78)</f>
        <v>78</v>
      </c>
      <c r="B2254" s="1" t="str">
        <f ca="1">IFERROR(__xludf.DUMMYFUNCTION("""COMPUTED_VALUE"""),"W21_KA04D5305_TANKER")</f>
        <v>W21_KA04D5305_TANKER</v>
      </c>
      <c r="C2254" s="1" t="str">
        <f ca="1">IFERROR(__xludf.DUMMYFUNCTION("""COMPUTED_VALUE"""),"w21_ka04d5305_tanker")</f>
        <v>w21_ka04d5305_tanker</v>
      </c>
      <c r="D2254" s="2">
        <f ca="1">IFERROR(__xludf.DUMMYFUNCTION("""COMPUTED_VALUE"""),41640)</f>
        <v>41640</v>
      </c>
      <c r="E2254" s="3">
        <f ca="1">IFERROR(__xludf.DUMMYFUNCTION("""COMPUTED_VALUE"""),0.669999999998253)</f>
        <v>0.66999999999825299</v>
      </c>
      <c r="F2254" s="1">
        <f ca="1">IFERROR(__xludf.DUMMYFUNCTION("""COMPUTED_VALUE"""),6489)</f>
        <v>6489</v>
      </c>
      <c r="G2254" s="1" t="str">
        <f ca="1">IFERROR(__xludf.DUMMYFUNCTION("""COMPUTED_VALUE"""),"13.0103/77.5673")</f>
        <v>13.0103/77.5673</v>
      </c>
      <c r="H2254" s="1" t="str">
        <f ca="1">IFERROR(__xludf.DUMMYFUNCTION("""COMPUTED_VALUE"""),"Malleshwaram")</f>
        <v>Malleshwaram</v>
      </c>
      <c r="I2254" s="1"/>
      <c r="J2254" s="1" t="str">
        <f ca="1">IFERROR(__xludf.DUMMYFUNCTION("""COMPUTED_VALUE"""),"0d 00h 00m")</f>
        <v>0d 00h 00m</v>
      </c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13.2">
      <c r="A2255" s="1">
        <f ca="1">IFERROR(__xludf.DUMMYFUNCTION("""COMPUTED_VALUE"""),78)</f>
        <v>78</v>
      </c>
      <c r="B2255" s="1" t="str">
        <f ca="1">IFERROR(__xludf.DUMMYFUNCTION("""COMPUTED_VALUE"""),"W21_KA04D5305_TANKER")</f>
        <v>W21_KA04D5305_TANKER</v>
      </c>
      <c r="C2255" s="1" t="str">
        <f ca="1">IFERROR(__xludf.DUMMYFUNCTION("""COMPUTED_VALUE"""),"w21_ka04d5305_tanker")</f>
        <v>w21_ka04d5305_tanker</v>
      </c>
      <c r="D2255" s="2">
        <f ca="1">IFERROR(__xludf.DUMMYFUNCTION("""COMPUTED_VALUE"""),41640)</f>
        <v>41640</v>
      </c>
      <c r="E2255" s="3">
        <f ca="1">IFERROR(__xludf.DUMMYFUNCTION("""COMPUTED_VALUE"""),0.669999999998253)</f>
        <v>0.66999999999825299</v>
      </c>
      <c r="F2255" s="1">
        <f ca="1">IFERROR(__xludf.DUMMYFUNCTION("""COMPUTED_VALUE"""),6489)</f>
        <v>6489</v>
      </c>
      <c r="G2255" s="1" t="str">
        <f ca="1">IFERROR(__xludf.DUMMYFUNCTION("""COMPUTED_VALUE"""),"13.0103/77.5673")</f>
        <v>13.0103/77.5673</v>
      </c>
      <c r="H2255" s="1" t="str">
        <f ca="1">IFERROR(__xludf.DUMMYFUNCTION("""COMPUTED_VALUE"""),"Malleshwaram")</f>
        <v>Malleshwaram</v>
      </c>
      <c r="I2255" s="1"/>
      <c r="J2255" s="1" t="str">
        <f ca="1">IFERROR(__xludf.DUMMYFUNCTION("""COMPUTED_VALUE"""),"0d 00h 00m")</f>
        <v>0d 00h 00m</v>
      </c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13.2">
      <c r="A2256" s="1">
        <f ca="1">IFERROR(__xludf.DUMMYFUNCTION("""COMPUTED_VALUE"""),78)</f>
        <v>78</v>
      </c>
      <c r="B2256" s="1" t="str">
        <f ca="1">IFERROR(__xludf.DUMMYFUNCTION("""COMPUTED_VALUE"""),"W21_KA04D5305_TANKER")</f>
        <v>W21_KA04D5305_TANKER</v>
      </c>
      <c r="C2256" s="1" t="str">
        <f ca="1">IFERROR(__xludf.DUMMYFUNCTION("""COMPUTED_VALUE"""),"w21_ka04d5305_tanker")</f>
        <v>w21_ka04d5305_tanker</v>
      </c>
      <c r="D2256" s="2">
        <f ca="1">IFERROR(__xludf.DUMMYFUNCTION("""COMPUTED_VALUE"""),41640)</f>
        <v>41640</v>
      </c>
      <c r="E2256" s="3">
        <f ca="1">IFERROR(__xludf.DUMMYFUNCTION("""COMPUTED_VALUE"""),0.669999999998253)</f>
        <v>0.66999999999825299</v>
      </c>
      <c r="F2256" s="1">
        <f ca="1">IFERROR(__xludf.DUMMYFUNCTION("""COMPUTED_VALUE"""),6489)</f>
        <v>6489</v>
      </c>
      <c r="G2256" s="1" t="str">
        <f ca="1">IFERROR(__xludf.DUMMYFUNCTION("""COMPUTED_VALUE"""),"13.0103/77.5673")</f>
        <v>13.0103/77.5673</v>
      </c>
      <c r="H2256" s="1" t="str">
        <f ca="1">IFERROR(__xludf.DUMMYFUNCTION("""COMPUTED_VALUE"""),"Malleshwaram")</f>
        <v>Malleshwaram</v>
      </c>
      <c r="I2256" s="1"/>
      <c r="J2256" s="1" t="str">
        <f ca="1">IFERROR(__xludf.DUMMYFUNCTION("""COMPUTED_VALUE"""),"0d 00h 00m")</f>
        <v>0d 00h 00m</v>
      </c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13.2">
      <c r="A2257" s="1">
        <f ca="1">IFERROR(__xludf.DUMMYFUNCTION("""COMPUTED_VALUE"""),78)</f>
        <v>78</v>
      </c>
      <c r="B2257" s="1" t="str">
        <f ca="1">IFERROR(__xludf.DUMMYFUNCTION("""COMPUTED_VALUE"""),"W21_KA04D5305_TANKER")</f>
        <v>W21_KA04D5305_TANKER</v>
      </c>
      <c r="C2257" s="1" t="str">
        <f ca="1">IFERROR(__xludf.DUMMYFUNCTION("""COMPUTED_VALUE"""),"w21_ka04d5305_tanker")</f>
        <v>w21_ka04d5305_tanker</v>
      </c>
      <c r="D2257" s="2">
        <f ca="1">IFERROR(__xludf.DUMMYFUNCTION("""COMPUTED_VALUE"""),41640)</f>
        <v>41640</v>
      </c>
      <c r="E2257" s="3">
        <f ca="1">IFERROR(__xludf.DUMMYFUNCTION("""COMPUTED_VALUE"""),0.669999999998253)</f>
        <v>0.66999999999825299</v>
      </c>
      <c r="F2257" s="1">
        <f ca="1">IFERROR(__xludf.DUMMYFUNCTION("""COMPUTED_VALUE"""),6489)</f>
        <v>6489</v>
      </c>
      <c r="G2257" s="1" t="str">
        <f ca="1">IFERROR(__xludf.DUMMYFUNCTION("""COMPUTED_VALUE"""),"13.0103/77.5673")</f>
        <v>13.0103/77.5673</v>
      </c>
      <c r="H2257" s="1" t="str">
        <f ca="1">IFERROR(__xludf.DUMMYFUNCTION("""COMPUTED_VALUE"""),"Malleshwaram")</f>
        <v>Malleshwaram</v>
      </c>
      <c r="I2257" s="1"/>
      <c r="J2257" s="1" t="str">
        <f ca="1">IFERROR(__xludf.DUMMYFUNCTION("""COMPUTED_VALUE"""),"0d 00h 00m")</f>
        <v>0d 00h 00m</v>
      </c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13.2">
      <c r="A2258" s="1">
        <f ca="1">IFERROR(__xludf.DUMMYFUNCTION("""COMPUTED_VALUE"""),101)</f>
        <v>101</v>
      </c>
      <c r="B2258" s="1" t="str">
        <f ca="1">IFERROR(__xludf.DUMMYFUNCTION("""COMPUTED_VALUE"""),"W22_KA01A5947_JETTING")</f>
        <v>W22_KA01A5947_JETTING</v>
      </c>
      <c r="C2258" s="1" t="str">
        <f ca="1">IFERROR(__xludf.DUMMYFUNCTION("""COMPUTED_VALUE"""),"w22_ka01a5947_jetting")</f>
        <v>w22_ka01a5947_jetting</v>
      </c>
      <c r="D2258" s="2">
        <f ca="1">IFERROR(__xludf.DUMMYFUNCTION("""COMPUTED_VALUE"""),43700)</f>
        <v>43700</v>
      </c>
      <c r="E2258" s="3">
        <f ca="1">IFERROR(__xludf.DUMMYFUNCTION("""COMPUTED_VALUE"""),0.465960648147302)</f>
        <v>0.46596064814730198</v>
      </c>
      <c r="F2258" s="1"/>
      <c r="G2258" s="1" t="str">
        <f ca="1">IFERROR(__xludf.DUMMYFUNCTION("""COMPUTED_VALUE"""),"12.9719/77.5127")</f>
        <v>12.9719/77.5127</v>
      </c>
      <c r="H2258" s="1" t="str">
        <f ca="1">IFERROR(__xludf.DUMMYFUNCTION("""COMPUTED_VALUE"""),"Naagarabhaavi")</f>
        <v>Naagarabhaavi</v>
      </c>
      <c r="I2258" s="1"/>
      <c r="J2258" s="1" t="str">
        <f ca="1">IFERROR(__xludf.DUMMYFUNCTION("""COMPUTED_VALUE"""),"1671d 00h 13m")</f>
        <v>1671d 00h 13m</v>
      </c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13.2">
      <c r="A2259" s="1">
        <f ca="1">IFERROR(__xludf.DUMMYFUNCTION("""COMPUTED_VALUE"""),101)</f>
        <v>101</v>
      </c>
      <c r="B2259" s="1" t="str">
        <f ca="1">IFERROR(__xludf.DUMMYFUNCTION("""COMPUTED_VALUE"""),"W22_KA01A5947_JETTING")</f>
        <v>W22_KA01A5947_JETTING</v>
      </c>
      <c r="C2259" s="1" t="str">
        <f ca="1">IFERROR(__xludf.DUMMYFUNCTION("""COMPUTED_VALUE"""),"w22_ka01a5947_jetting")</f>
        <v>w22_ka01a5947_jetting</v>
      </c>
      <c r="D2259" s="2">
        <f ca="1">IFERROR(__xludf.DUMMYFUNCTION("""COMPUTED_VALUE"""),43700)</f>
        <v>43700</v>
      </c>
      <c r="E2259" s="3">
        <f ca="1">IFERROR(__xludf.DUMMYFUNCTION("""COMPUTED_VALUE"""),0.465960648147302)</f>
        <v>0.46596064814730198</v>
      </c>
      <c r="F2259" s="1"/>
      <c r="G2259" s="1" t="str">
        <f ca="1">IFERROR(__xludf.DUMMYFUNCTION("""COMPUTED_VALUE"""),"12.9719/77.5127")</f>
        <v>12.9719/77.5127</v>
      </c>
      <c r="H2259" s="1" t="str">
        <f ca="1">IFERROR(__xludf.DUMMYFUNCTION("""COMPUTED_VALUE"""),"Naagarabhaavi")</f>
        <v>Naagarabhaavi</v>
      </c>
      <c r="I2259" s="1"/>
      <c r="J2259" s="1" t="str">
        <f ca="1">IFERROR(__xludf.DUMMYFUNCTION("""COMPUTED_VALUE"""),"1671d 00h 14m")</f>
        <v>1671d 00h 14m</v>
      </c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13.2">
      <c r="A2260" s="1">
        <f ca="1">IFERROR(__xludf.DUMMYFUNCTION("""COMPUTED_VALUE"""),98)</f>
        <v>98</v>
      </c>
      <c r="B2260" s="1" t="str">
        <f ca="1">IFERROR(__xludf.DUMMYFUNCTION("""COMPUTED_VALUE"""),"W22_KA01A5947_JETTING")</f>
        <v>W22_KA01A5947_JETTING</v>
      </c>
      <c r="C2260" s="1" t="str">
        <f ca="1">IFERROR(__xludf.DUMMYFUNCTION("""COMPUTED_VALUE"""),"w22_ka01a5947_jetting")</f>
        <v>w22_ka01a5947_jetting</v>
      </c>
      <c r="D2260" s="2">
        <f ca="1">IFERROR(__xludf.DUMMYFUNCTION("""COMPUTED_VALUE"""),43700)</f>
        <v>43700</v>
      </c>
      <c r="E2260" s="3">
        <f ca="1">IFERROR(__xludf.DUMMYFUNCTION("""COMPUTED_VALUE"""),0.465960648147302)</f>
        <v>0.46596064814730198</v>
      </c>
      <c r="F2260" s="1"/>
      <c r="G2260" s="1" t="str">
        <f ca="1">IFERROR(__xludf.DUMMYFUNCTION("""COMPUTED_VALUE"""),"12.9719/77.5127")</f>
        <v>12.9719/77.5127</v>
      </c>
      <c r="H2260" s="1" t="str">
        <f ca="1">IFERROR(__xludf.DUMMYFUNCTION("""COMPUTED_VALUE"""),"Naagarabhaavi")</f>
        <v>Naagarabhaavi</v>
      </c>
      <c r="I2260" s="1"/>
      <c r="J2260" s="1" t="str">
        <f ca="1">IFERROR(__xludf.DUMMYFUNCTION("""COMPUTED_VALUE"""),"1671d 00h 17m")</f>
        <v>1671d 00h 17m</v>
      </c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13.2">
      <c r="A2261" s="1">
        <f ca="1">IFERROR(__xludf.DUMMYFUNCTION("""COMPUTED_VALUE"""),98)</f>
        <v>98</v>
      </c>
      <c r="B2261" s="1" t="str">
        <f ca="1">IFERROR(__xludf.DUMMYFUNCTION("""COMPUTED_VALUE"""),"W22_KA01A5947_JETTING")</f>
        <v>W22_KA01A5947_JETTING</v>
      </c>
      <c r="C2261" s="1" t="str">
        <f ca="1">IFERROR(__xludf.DUMMYFUNCTION("""COMPUTED_VALUE"""),"w22_ka01a5947_jetting")</f>
        <v>w22_ka01a5947_jetting</v>
      </c>
      <c r="D2261" s="2">
        <f ca="1">IFERROR(__xludf.DUMMYFUNCTION("""COMPUTED_VALUE"""),43700)</f>
        <v>43700</v>
      </c>
      <c r="E2261" s="3">
        <f ca="1">IFERROR(__xludf.DUMMYFUNCTION("""COMPUTED_VALUE"""),0.465960648147302)</f>
        <v>0.46596064814730198</v>
      </c>
      <c r="F2261" s="1"/>
      <c r="G2261" s="1" t="str">
        <f ca="1">IFERROR(__xludf.DUMMYFUNCTION("""COMPUTED_VALUE"""),"12.9719/77.5127")</f>
        <v>12.9719/77.5127</v>
      </c>
      <c r="H2261" s="1" t="str">
        <f ca="1">IFERROR(__xludf.DUMMYFUNCTION("""COMPUTED_VALUE"""),"Naagarabhaavi")</f>
        <v>Naagarabhaavi</v>
      </c>
      <c r="I2261" s="1"/>
      <c r="J2261" s="1" t="str">
        <f ca="1">IFERROR(__xludf.DUMMYFUNCTION("""COMPUTED_VALUE"""),"1671d 00h 18m")</f>
        <v>1671d 00h 18m</v>
      </c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13.2">
      <c r="A2262" s="1">
        <f ca="1">IFERROR(__xludf.DUMMYFUNCTION("""COMPUTED_VALUE"""),98)</f>
        <v>98</v>
      </c>
      <c r="B2262" s="1" t="str">
        <f ca="1">IFERROR(__xludf.DUMMYFUNCTION("""COMPUTED_VALUE"""),"W22_KA01A5947_JETTING")</f>
        <v>W22_KA01A5947_JETTING</v>
      </c>
      <c r="C2262" s="1" t="str">
        <f ca="1">IFERROR(__xludf.DUMMYFUNCTION("""COMPUTED_VALUE"""),"w22_ka01a5947_jetting")</f>
        <v>w22_ka01a5947_jetting</v>
      </c>
      <c r="D2262" s="2">
        <f ca="1">IFERROR(__xludf.DUMMYFUNCTION("""COMPUTED_VALUE"""),43700)</f>
        <v>43700</v>
      </c>
      <c r="E2262" s="3">
        <f ca="1">IFERROR(__xludf.DUMMYFUNCTION("""COMPUTED_VALUE"""),0.465960648147302)</f>
        <v>0.46596064814730198</v>
      </c>
      <c r="F2262" s="1"/>
      <c r="G2262" s="1" t="str">
        <f ca="1">IFERROR(__xludf.DUMMYFUNCTION("""COMPUTED_VALUE"""),"12.9719/77.5127")</f>
        <v>12.9719/77.5127</v>
      </c>
      <c r="H2262" s="1" t="str">
        <f ca="1">IFERROR(__xludf.DUMMYFUNCTION("""COMPUTED_VALUE"""),"Naagarabhaavi")</f>
        <v>Naagarabhaavi</v>
      </c>
      <c r="I2262" s="1"/>
      <c r="J2262" s="1" t="str">
        <f ca="1">IFERROR(__xludf.DUMMYFUNCTION("""COMPUTED_VALUE"""),"1671d 00h 19m")</f>
        <v>1671d 00h 19m</v>
      </c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13.2">
      <c r="A2263" s="1">
        <f ca="1">IFERROR(__xludf.DUMMYFUNCTION("""COMPUTED_VALUE"""),98)</f>
        <v>98</v>
      </c>
      <c r="B2263" s="1" t="str">
        <f ca="1">IFERROR(__xludf.DUMMYFUNCTION("""COMPUTED_VALUE"""),"W22_KA01A5947_JETTING")</f>
        <v>W22_KA01A5947_JETTING</v>
      </c>
      <c r="C2263" s="1" t="str">
        <f ca="1">IFERROR(__xludf.DUMMYFUNCTION("""COMPUTED_VALUE"""),"w22_ka01a5947_jetting")</f>
        <v>w22_ka01a5947_jetting</v>
      </c>
      <c r="D2263" s="2">
        <f ca="1">IFERROR(__xludf.DUMMYFUNCTION("""COMPUTED_VALUE"""),43700)</f>
        <v>43700</v>
      </c>
      <c r="E2263" s="3">
        <f ca="1">IFERROR(__xludf.DUMMYFUNCTION("""COMPUTED_VALUE"""),0.465960648147302)</f>
        <v>0.46596064814730198</v>
      </c>
      <c r="F2263" s="1"/>
      <c r="G2263" s="1" t="str">
        <f ca="1">IFERROR(__xludf.DUMMYFUNCTION("""COMPUTED_VALUE"""),"12.9719/77.5127")</f>
        <v>12.9719/77.5127</v>
      </c>
      <c r="H2263" s="1" t="str">
        <f ca="1">IFERROR(__xludf.DUMMYFUNCTION("""COMPUTED_VALUE"""),"Naagarabhaavi")</f>
        <v>Naagarabhaavi</v>
      </c>
      <c r="I2263" s="1"/>
      <c r="J2263" s="1" t="str">
        <f ca="1">IFERROR(__xludf.DUMMYFUNCTION("""COMPUTED_VALUE"""),"1671d 00h 20m")</f>
        <v>1671d 00h 20m</v>
      </c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13.2">
      <c r="A2264" s="1">
        <f ca="1">IFERROR(__xludf.DUMMYFUNCTION("""COMPUTED_VALUE"""),98)</f>
        <v>98</v>
      </c>
      <c r="B2264" s="1" t="str">
        <f ca="1">IFERROR(__xludf.DUMMYFUNCTION("""COMPUTED_VALUE"""),"W22_KA01A5947_JETTING")</f>
        <v>W22_KA01A5947_JETTING</v>
      </c>
      <c r="C2264" s="1" t="str">
        <f ca="1">IFERROR(__xludf.DUMMYFUNCTION("""COMPUTED_VALUE"""),"w22_ka01a5947_jetting")</f>
        <v>w22_ka01a5947_jetting</v>
      </c>
      <c r="D2264" s="2">
        <f ca="1">IFERROR(__xludf.DUMMYFUNCTION("""COMPUTED_VALUE"""),43700)</f>
        <v>43700</v>
      </c>
      <c r="E2264" s="3">
        <f ca="1">IFERROR(__xludf.DUMMYFUNCTION("""COMPUTED_VALUE"""),0.465960648147302)</f>
        <v>0.46596064814730198</v>
      </c>
      <c r="F2264" s="1"/>
      <c r="G2264" s="1" t="str">
        <f ca="1">IFERROR(__xludf.DUMMYFUNCTION("""COMPUTED_VALUE"""),"12.9719/77.5127")</f>
        <v>12.9719/77.5127</v>
      </c>
      <c r="H2264" s="1" t="str">
        <f ca="1">IFERROR(__xludf.DUMMYFUNCTION("""COMPUTED_VALUE"""),"Naagarabhaavi")</f>
        <v>Naagarabhaavi</v>
      </c>
      <c r="I2264" s="1"/>
      <c r="J2264" s="1" t="str">
        <f ca="1">IFERROR(__xludf.DUMMYFUNCTION("""COMPUTED_VALUE"""),"1671d 00h 21m")</f>
        <v>1671d 00h 21m</v>
      </c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13.2">
      <c r="A2265" s="1">
        <f ca="1">IFERROR(__xludf.DUMMYFUNCTION("""COMPUTED_VALUE"""),17)</f>
        <v>17</v>
      </c>
      <c r="B2265" s="1" t="str">
        <f ca="1">IFERROR(__xludf.DUMMYFUNCTION("""COMPUTED_VALUE"""),"W22_KA04C5134_JETTING")</f>
        <v>W22_KA04C5134_JETTING</v>
      </c>
      <c r="C2265" s="1" t="str">
        <f ca="1">IFERROR(__xludf.DUMMYFUNCTION("""COMPUTED_VALUE"""),"w22_ka04c5134_jetting")</f>
        <v>w22_ka04c5134_jetting</v>
      </c>
      <c r="D2265" s="2">
        <f ca="1">IFERROR(__xludf.DUMMYFUNCTION("""COMPUTED_VALUE"""),41640)</f>
        <v>41640</v>
      </c>
      <c r="E2265" s="3">
        <f ca="1">IFERROR(__xludf.DUMMYFUNCTION("""COMPUTED_VALUE"""),0.229722222222335)</f>
        <v>0.22972222222233499</v>
      </c>
      <c r="F2265" s="1">
        <f ca="1">IFERROR(__xludf.DUMMYFUNCTION("""COMPUTED_VALUE"""),17135)</f>
        <v>17135</v>
      </c>
      <c r="G2265" s="1"/>
      <c r="H2265" s="1"/>
      <c r="I2265" s="1"/>
      <c r="J2265" s="1" t="str">
        <f ca="1">IFERROR(__xludf.DUMMYFUNCTION("""COMPUTED_VALUE"""),"0d 00h 00m")</f>
        <v>0d 00h 00m</v>
      </c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13.2">
      <c r="A2266" s="1">
        <f ca="1">IFERROR(__xludf.DUMMYFUNCTION("""COMPUTED_VALUE"""),17)</f>
        <v>17</v>
      </c>
      <c r="B2266" s="1" t="str">
        <f ca="1">IFERROR(__xludf.DUMMYFUNCTION("""COMPUTED_VALUE"""),"W22_KA04C5134_JETTING")</f>
        <v>W22_KA04C5134_JETTING</v>
      </c>
      <c r="C2266" s="1" t="str">
        <f ca="1">IFERROR(__xludf.DUMMYFUNCTION("""COMPUTED_VALUE"""),"w22_ka04c5134_jetting")</f>
        <v>w22_ka04c5134_jetting</v>
      </c>
      <c r="D2266" s="2">
        <f ca="1">IFERROR(__xludf.DUMMYFUNCTION("""COMPUTED_VALUE"""),41640)</f>
        <v>41640</v>
      </c>
      <c r="E2266" s="3">
        <f ca="1">IFERROR(__xludf.DUMMYFUNCTION("""COMPUTED_VALUE"""),0.229722222222335)</f>
        <v>0.22972222222233499</v>
      </c>
      <c r="F2266" s="1">
        <f ca="1">IFERROR(__xludf.DUMMYFUNCTION("""COMPUTED_VALUE"""),17135)</f>
        <v>17135</v>
      </c>
      <c r="G2266" s="1"/>
      <c r="H2266" s="1"/>
      <c r="I2266" s="1"/>
      <c r="J2266" s="1" t="str">
        <f ca="1">IFERROR(__xludf.DUMMYFUNCTION("""COMPUTED_VALUE"""),"0d 00h 00m")</f>
        <v>0d 00h 00m</v>
      </c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13.2">
      <c r="A2267" s="1">
        <f ca="1">IFERROR(__xludf.DUMMYFUNCTION("""COMPUTED_VALUE"""),17)</f>
        <v>17</v>
      </c>
      <c r="B2267" s="1" t="str">
        <f ca="1">IFERROR(__xludf.DUMMYFUNCTION("""COMPUTED_VALUE"""),"W22_KA04C5134_JETTING")</f>
        <v>W22_KA04C5134_JETTING</v>
      </c>
      <c r="C2267" s="1" t="str">
        <f ca="1">IFERROR(__xludf.DUMMYFUNCTION("""COMPUTED_VALUE"""),"w22_ka04c5134_jetting")</f>
        <v>w22_ka04c5134_jetting</v>
      </c>
      <c r="D2267" s="2">
        <f ca="1">IFERROR(__xludf.DUMMYFUNCTION("""COMPUTED_VALUE"""),41640)</f>
        <v>41640</v>
      </c>
      <c r="E2267" s="3">
        <f ca="1">IFERROR(__xludf.DUMMYFUNCTION("""COMPUTED_VALUE"""),0.229722222222335)</f>
        <v>0.22972222222233499</v>
      </c>
      <c r="F2267" s="1">
        <f ca="1">IFERROR(__xludf.DUMMYFUNCTION("""COMPUTED_VALUE"""),17135)</f>
        <v>17135</v>
      </c>
      <c r="G2267" s="1"/>
      <c r="H2267" s="1"/>
      <c r="I2267" s="1"/>
      <c r="J2267" s="1" t="str">
        <f ca="1">IFERROR(__xludf.DUMMYFUNCTION("""COMPUTED_VALUE"""),"0d 00h 00m")</f>
        <v>0d 00h 00m</v>
      </c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13.2">
      <c r="A2268" s="1">
        <f ca="1">IFERROR(__xludf.DUMMYFUNCTION("""COMPUTED_VALUE"""),17)</f>
        <v>17</v>
      </c>
      <c r="B2268" s="1" t="str">
        <f ca="1">IFERROR(__xludf.DUMMYFUNCTION("""COMPUTED_VALUE"""),"W22_KA04C5134_JETTING")</f>
        <v>W22_KA04C5134_JETTING</v>
      </c>
      <c r="C2268" s="1" t="str">
        <f ca="1">IFERROR(__xludf.DUMMYFUNCTION("""COMPUTED_VALUE"""),"w22_ka04c5134_jetting")</f>
        <v>w22_ka04c5134_jetting</v>
      </c>
      <c r="D2268" s="2">
        <f ca="1">IFERROR(__xludf.DUMMYFUNCTION("""COMPUTED_VALUE"""),41640)</f>
        <v>41640</v>
      </c>
      <c r="E2268" s="3">
        <f ca="1">IFERROR(__xludf.DUMMYFUNCTION("""COMPUTED_VALUE"""),0.229722222222335)</f>
        <v>0.22972222222233499</v>
      </c>
      <c r="F2268" s="1">
        <f ca="1">IFERROR(__xludf.DUMMYFUNCTION("""COMPUTED_VALUE"""),17135)</f>
        <v>17135</v>
      </c>
      <c r="G2268" s="1"/>
      <c r="H2268" s="1"/>
      <c r="I2268" s="1"/>
      <c r="J2268" s="1" t="str">
        <f ca="1">IFERROR(__xludf.DUMMYFUNCTION("""COMPUTED_VALUE"""),"0d 00h 00m")</f>
        <v>0d 00h 00m</v>
      </c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13.2">
      <c r="A2269" s="1">
        <f ca="1">IFERROR(__xludf.DUMMYFUNCTION("""COMPUTED_VALUE"""),17)</f>
        <v>17</v>
      </c>
      <c r="B2269" s="1" t="str">
        <f ca="1">IFERROR(__xludf.DUMMYFUNCTION("""COMPUTED_VALUE"""),"W22_KA04C5134_JETTING")</f>
        <v>W22_KA04C5134_JETTING</v>
      </c>
      <c r="C2269" s="1" t="str">
        <f ca="1">IFERROR(__xludf.DUMMYFUNCTION("""COMPUTED_VALUE"""),"w22_ka04c5134_jetting")</f>
        <v>w22_ka04c5134_jetting</v>
      </c>
      <c r="D2269" s="2">
        <f ca="1">IFERROR(__xludf.DUMMYFUNCTION("""COMPUTED_VALUE"""),41640)</f>
        <v>41640</v>
      </c>
      <c r="E2269" s="3">
        <f ca="1">IFERROR(__xludf.DUMMYFUNCTION("""COMPUTED_VALUE"""),0.229722222222335)</f>
        <v>0.22972222222233499</v>
      </c>
      <c r="F2269" s="1">
        <f ca="1">IFERROR(__xludf.DUMMYFUNCTION("""COMPUTED_VALUE"""),17135)</f>
        <v>17135</v>
      </c>
      <c r="G2269" s="1"/>
      <c r="H2269" s="1"/>
      <c r="I2269" s="1"/>
      <c r="J2269" s="1" t="str">
        <f ca="1">IFERROR(__xludf.DUMMYFUNCTION("""COMPUTED_VALUE"""),"0d 00h 00m")</f>
        <v>0d 00h 00m</v>
      </c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13.2">
      <c r="A2270" s="1">
        <f ca="1">IFERROR(__xludf.DUMMYFUNCTION("""COMPUTED_VALUE"""),17)</f>
        <v>17</v>
      </c>
      <c r="B2270" s="1" t="str">
        <f ca="1">IFERROR(__xludf.DUMMYFUNCTION("""COMPUTED_VALUE"""),"W22_KA04C5134_JETTING")</f>
        <v>W22_KA04C5134_JETTING</v>
      </c>
      <c r="C2270" s="1" t="str">
        <f ca="1">IFERROR(__xludf.DUMMYFUNCTION("""COMPUTED_VALUE"""),"w22_ka04c5134_jetting")</f>
        <v>w22_ka04c5134_jetting</v>
      </c>
      <c r="D2270" s="2">
        <f ca="1">IFERROR(__xludf.DUMMYFUNCTION("""COMPUTED_VALUE"""),41640)</f>
        <v>41640</v>
      </c>
      <c r="E2270" s="3">
        <f ca="1">IFERROR(__xludf.DUMMYFUNCTION("""COMPUTED_VALUE"""),0.229722222222335)</f>
        <v>0.22972222222233499</v>
      </c>
      <c r="F2270" s="1">
        <f ca="1">IFERROR(__xludf.DUMMYFUNCTION("""COMPUTED_VALUE"""),17135)</f>
        <v>17135</v>
      </c>
      <c r="G2270" s="1"/>
      <c r="H2270" s="1"/>
      <c r="I2270" s="1"/>
      <c r="J2270" s="1" t="str">
        <f ca="1">IFERROR(__xludf.DUMMYFUNCTION("""COMPUTED_VALUE"""),"0d 00h 00m")</f>
        <v>0d 00h 00m</v>
      </c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13.2">
      <c r="A2271" s="1">
        <f ca="1">IFERROR(__xludf.DUMMYFUNCTION("""COMPUTED_VALUE"""),17)</f>
        <v>17</v>
      </c>
      <c r="B2271" s="1" t="str">
        <f ca="1">IFERROR(__xludf.DUMMYFUNCTION("""COMPUTED_VALUE"""),"W22_KA04C5134_JETTING")</f>
        <v>W22_KA04C5134_JETTING</v>
      </c>
      <c r="C2271" s="1" t="str">
        <f ca="1">IFERROR(__xludf.DUMMYFUNCTION("""COMPUTED_VALUE"""),"w22_ka04c5134_jetting")</f>
        <v>w22_ka04c5134_jetting</v>
      </c>
      <c r="D2271" s="2">
        <f ca="1">IFERROR(__xludf.DUMMYFUNCTION("""COMPUTED_VALUE"""),41640)</f>
        <v>41640</v>
      </c>
      <c r="E2271" s="3">
        <f ca="1">IFERROR(__xludf.DUMMYFUNCTION("""COMPUTED_VALUE"""),0.229722222222335)</f>
        <v>0.22972222222233499</v>
      </c>
      <c r="F2271" s="1">
        <f ca="1">IFERROR(__xludf.DUMMYFUNCTION("""COMPUTED_VALUE"""),17135)</f>
        <v>17135</v>
      </c>
      <c r="G2271" s="1"/>
      <c r="H2271" s="1"/>
      <c r="I2271" s="1"/>
      <c r="J2271" s="1" t="str">
        <f ca="1">IFERROR(__xludf.DUMMYFUNCTION("""COMPUTED_VALUE"""),"0d 00h 00m")</f>
        <v>0d 00h 00m</v>
      </c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13.2">
      <c r="A2272" s="1">
        <f ca="1">IFERROR(__xludf.DUMMYFUNCTION("""COMPUTED_VALUE"""),66)</f>
        <v>66</v>
      </c>
      <c r="B2272" s="1" t="str">
        <f ca="1">IFERROR(__xludf.DUMMYFUNCTION("""COMPUTED_VALUE"""),"W22_KA04D4864_JETTING")</f>
        <v>W22_KA04D4864_JETTING</v>
      </c>
      <c r="C2272" s="1" t="str">
        <f ca="1">IFERROR(__xludf.DUMMYFUNCTION("""COMPUTED_VALUE"""),"w22_ka04d4864_jetting")</f>
        <v>w22_ka04d4864_jetting</v>
      </c>
      <c r="D2272" s="2">
        <f ca="1">IFERROR(__xludf.DUMMYFUNCTION("""COMPUTED_VALUE"""),41640)</f>
        <v>41640</v>
      </c>
      <c r="E2272" s="3">
        <f ca="1">IFERROR(__xludf.DUMMYFUNCTION("""COMPUTED_VALUE"""),0.562581018519267)</f>
        <v>0.56258101851926701</v>
      </c>
      <c r="F2272" s="1">
        <f ca="1">IFERROR(__xludf.DUMMYFUNCTION("""COMPUTED_VALUE"""),35696)</f>
        <v>35696</v>
      </c>
      <c r="G2272" s="1"/>
      <c r="H2272" s="1"/>
      <c r="I2272" s="1"/>
      <c r="J2272" s="1" t="str">
        <f ca="1">IFERROR(__xludf.DUMMYFUNCTION("""COMPUTED_VALUE"""),"0d 00h 00m")</f>
        <v>0d 00h 00m</v>
      </c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13.2">
      <c r="A2273" s="1">
        <f ca="1">IFERROR(__xludf.DUMMYFUNCTION("""COMPUTED_VALUE"""),66)</f>
        <v>66</v>
      </c>
      <c r="B2273" s="1" t="str">
        <f ca="1">IFERROR(__xludf.DUMMYFUNCTION("""COMPUTED_VALUE"""),"W22_KA04D4864_JETTING")</f>
        <v>W22_KA04D4864_JETTING</v>
      </c>
      <c r="C2273" s="1" t="str">
        <f ca="1">IFERROR(__xludf.DUMMYFUNCTION("""COMPUTED_VALUE"""),"w22_ka04d4864_jetting")</f>
        <v>w22_ka04d4864_jetting</v>
      </c>
      <c r="D2273" s="2">
        <f ca="1">IFERROR(__xludf.DUMMYFUNCTION("""COMPUTED_VALUE"""),41640)</f>
        <v>41640</v>
      </c>
      <c r="E2273" s="3">
        <f ca="1">IFERROR(__xludf.DUMMYFUNCTION("""COMPUTED_VALUE"""),0.562581018519267)</f>
        <v>0.56258101851926701</v>
      </c>
      <c r="F2273" s="1">
        <f ca="1">IFERROR(__xludf.DUMMYFUNCTION("""COMPUTED_VALUE"""),35696)</f>
        <v>35696</v>
      </c>
      <c r="G2273" s="1"/>
      <c r="H2273" s="1"/>
      <c r="I2273" s="1"/>
      <c r="J2273" s="1" t="str">
        <f ca="1">IFERROR(__xludf.DUMMYFUNCTION("""COMPUTED_VALUE"""),"0d 00h 00m")</f>
        <v>0d 00h 00m</v>
      </c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13.2">
      <c r="A2274" s="1">
        <f ca="1">IFERROR(__xludf.DUMMYFUNCTION("""COMPUTED_VALUE"""),65)</f>
        <v>65</v>
      </c>
      <c r="B2274" s="1" t="str">
        <f ca="1">IFERROR(__xludf.DUMMYFUNCTION("""COMPUTED_VALUE"""),"W22_KA04D4864_JETTING")</f>
        <v>W22_KA04D4864_JETTING</v>
      </c>
      <c r="C2274" s="1" t="str">
        <f ca="1">IFERROR(__xludf.DUMMYFUNCTION("""COMPUTED_VALUE"""),"w22_ka04d4864_jetting")</f>
        <v>w22_ka04d4864_jetting</v>
      </c>
      <c r="D2274" s="2">
        <f ca="1">IFERROR(__xludf.DUMMYFUNCTION("""COMPUTED_VALUE"""),41640)</f>
        <v>41640</v>
      </c>
      <c r="E2274" s="3">
        <f ca="1">IFERROR(__xludf.DUMMYFUNCTION("""COMPUTED_VALUE"""),0.562581018519267)</f>
        <v>0.56258101851926701</v>
      </c>
      <c r="F2274" s="1">
        <f ca="1">IFERROR(__xludf.DUMMYFUNCTION("""COMPUTED_VALUE"""),35696)</f>
        <v>35696</v>
      </c>
      <c r="G2274" s="1"/>
      <c r="H2274" s="1"/>
      <c r="I2274" s="1"/>
      <c r="J2274" s="1" t="str">
        <f ca="1">IFERROR(__xludf.DUMMYFUNCTION("""COMPUTED_VALUE"""),"0d 00h 01m")</f>
        <v>0d 00h 01m</v>
      </c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13.2">
      <c r="A2275" s="1">
        <f ca="1">IFERROR(__xludf.DUMMYFUNCTION("""COMPUTED_VALUE"""),65)</f>
        <v>65</v>
      </c>
      <c r="B2275" s="1" t="str">
        <f ca="1">IFERROR(__xludf.DUMMYFUNCTION("""COMPUTED_VALUE"""),"W22_KA04D4864_JETTING")</f>
        <v>W22_KA04D4864_JETTING</v>
      </c>
      <c r="C2275" s="1" t="str">
        <f ca="1">IFERROR(__xludf.DUMMYFUNCTION("""COMPUTED_VALUE"""),"w22_ka04d4864_jetting")</f>
        <v>w22_ka04d4864_jetting</v>
      </c>
      <c r="D2275" s="2">
        <f ca="1">IFERROR(__xludf.DUMMYFUNCTION("""COMPUTED_VALUE"""),41640)</f>
        <v>41640</v>
      </c>
      <c r="E2275" s="3">
        <f ca="1">IFERROR(__xludf.DUMMYFUNCTION("""COMPUTED_VALUE"""),0.562581018519267)</f>
        <v>0.56258101851926701</v>
      </c>
      <c r="F2275" s="1">
        <f ca="1">IFERROR(__xludf.DUMMYFUNCTION("""COMPUTED_VALUE"""),35696)</f>
        <v>35696</v>
      </c>
      <c r="G2275" s="1"/>
      <c r="H2275" s="1"/>
      <c r="I2275" s="1"/>
      <c r="J2275" s="1" t="str">
        <f ca="1">IFERROR(__xludf.DUMMYFUNCTION("""COMPUTED_VALUE"""),"0d 00h 02m")</f>
        <v>0d 00h 02m</v>
      </c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13.2">
      <c r="A2276" s="1">
        <f ca="1">IFERROR(__xludf.DUMMYFUNCTION("""COMPUTED_VALUE"""),65)</f>
        <v>65</v>
      </c>
      <c r="B2276" s="1" t="str">
        <f ca="1">IFERROR(__xludf.DUMMYFUNCTION("""COMPUTED_VALUE"""),"W22_KA04D4864_JETTING")</f>
        <v>W22_KA04D4864_JETTING</v>
      </c>
      <c r="C2276" s="1" t="str">
        <f ca="1">IFERROR(__xludf.DUMMYFUNCTION("""COMPUTED_VALUE"""),"w22_ka04d4864_jetting")</f>
        <v>w22_ka04d4864_jetting</v>
      </c>
      <c r="D2276" s="2">
        <f ca="1">IFERROR(__xludf.DUMMYFUNCTION("""COMPUTED_VALUE"""),41640)</f>
        <v>41640</v>
      </c>
      <c r="E2276" s="3">
        <f ca="1">IFERROR(__xludf.DUMMYFUNCTION("""COMPUTED_VALUE"""),0.562581018519267)</f>
        <v>0.56258101851926701</v>
      </c>
      <c r="F2276" s="1">
        <f ca="1">IFERROR(__xludf.DUMMYFUNCTION("""COMPUTED_VALUE"""),35696)</f>
        <v>35696</v>
      </c>
      <c r="G2276" s="1"/>
      <c r="H2276" s="1"/>
      <c r="I2276" s="1"/>
      <c r="J2276" s="1" t="str">
        <f ca="1">IFERROR(__xludf.DUMMYFUNCTION("""COMPUTED_VALUE"""),"0d 00h 00m")</f>
        <v>0d 00h 00m</v>
      </c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13.2">
      <c r="A2277" s="1">
        <f ca="1">IFERROR(__xludf.DUMMYFUNCTION("""COMPUTED_VALUE"""),65)</f>
        <v>65</v>
      </c>
      <c r="B2277" s="1" t="str">
        <f ca="1">IFERROR(__xludf.DUMMYFUNCTION("""COMPUTED_VALUE"""),"W22_KA04D4864_JETTING")</f>
        <v>W22_KA04D4864_JETTING</v>
      </c>
      <c r="C2277" s="1" t="str">
        <f ca="1">IFERROR(__xludf.DUMMYFUNCTION("""COMPUTED_VALUE"""),"w22_ka04d4864_jetting")</f>
        <v>w22_ka04d4864_jetting</v>
      </c>
      <c r="D2277" s="2">
        <f ca="1">IFERROR(__xludf.DUMMYFUNCTION("""COMPUTED_VALUE"""),41640)</f>
        <v>41640</v>
      </c>
      <c r="E2277" s="3">
        <f ca="1">IFERROR(__xludf.DUMMYFUNCTION("""COMPUTED_VALUE"""),0.562581018519267)</f>
        <v>0.56258101851926701</v>
      </c>
      <c r="F2277" s="1">
        <f ca="1">IFERROR(__xludf.DUMMYFUNCTION("""COMPUTED_VALUE"""),35696)</f>
        <v>35696</v>
      </c>
      <c r="G2277" s="1"/>
      <c r="H2277" s="1"/>
      <c r="I2277" s="1"/>
      <c r="J2277" s="1" t="str">
        <f ca="1">IFERROR(__xludf.DUMMYFUNCTION("""COMPUTED_VALUE"""),"0d 00h 00m")</f>
        <v>0d 00h 00m</v>
      </c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13.2">
      <c r="A2278" s="1">
        <f ca="1">IFERROR(__xludf.DUMMYFUNCTION("""COMPUTED_VALUE"""),65)</f>
        <v>65</v>
      </c>
      <c r="B2278" s="1" t="str">
        <f ca="1">IFERROR(__xludf.DUMMYFUNCTION("""COMPUTED_VALUE"""),"W22_KA04D4864_JETTING")</f>
        <v>W22_KA04D4864_JETTING</v>
      </c>
      <c r="C2278" s="1" t="str">
        <f ca="1">IFERROR(__xludf.DUMMYFUNCTION("""COMPUTED_VALUE"""),"w22_ka04d4864_jetting")</f>
        <v>w22_ka04d4864_jetting</v>
      </c>
      <c r="D2278" s="2">
        <f ca="1">IFERROR(__xludf.DUMMYFUNCTION("""COMPUTED_VALUE"""),41640)</f>
        <v>41640</v>
      </c>
      <c r="E2278" s="3">
        <f ca="1">IFERROR(__xludf.DUMMYFUNCTION("""COMPUTED_VALUE"""),0.562581018519267)</f>
        <v>0.56258101851926701</v>
      </c>
      <c r="F2278" s="1">
        <f ca="1">IFERROR(__xludf.DUMMYFUNCTION("""COMPUTED_VALUE"""),35696)</f>
        <v>35696</v>
      </c>
      <c r="G2278" s="1"/>
      <c r="H2278" s="1"/>
      <c r="I2278" s="1"/>
      <c r="J2278" s="1" t="str">
        <f ca="1">IFERROR(__xludf.DUMMYFUNCTION("""COMPUTED_VALUE"""),"0d 00h 00m")</f>
        <v>0d 00h 00m</v>
      </c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13.2">
      <c r="A2279" s="1">
        <f ca="1">IFERROR(__xludf.DUMMYFUNCTION("""COMPUTED_VALUE"""),7)</f>
        <v>7</v>
      </c>
      <c r="B2279" s="1" t="str">
        <f ca="1">IFERROR(__xludf.DUMMYFUNCTION("""COMPUTED_VALUE"""),"W2_KA01A5947_Jetting")</f>
        <v>W2_KA01A5947_Jetting</v>
      </c>
      <c r="C2279" s="1" t="str">
        <f ca="1">IFERROR(__xludf.DUMMYFUNCTION("""COMPUTED_VALUE"""),"W2_KA01A5947_Jetting")</f>
        <v>W2_KA01A5947_Jetting</v>
      </c>
      <c r="D2279" s="2">
        <f ca="1">IFERROR(__xludf.DUMMYFUNCTION("""COMPUTED_VALUE"""),43700)</f>
        <v>43700</v>
      </c>
      <c r="E2279" s="3">
        <f ca="1">IFERROR(__xludf.DUMMYFUNCTION("""COMPUTED_VALUE"""),0.465960648147302)</f>
        <v>0.46596064814730198</v>
      </c>
      <c r="F2279" s="1">
        <f ca="1">IFERROR(__xludf.DUMMYFUNCTION("""COMPUTED_VALUE"""),479)</f>
        <v>479</v>
      </c>
      <c r="G2279" s="1" t="str">
        <f ca="1">IFERROR(__xludf.DUMMYFUNCTION("""COMPUTED_VALUE"""),"12.9719/77.5127")</f>
        <v>12.9719/77.5127</v>
      </c>
      <c r="H2279" s="1" t="str">
        <f ca="1">IFERROR(__xludf.DUMMYFUNCTION("""COMPUTED_VALUE"""),"Naagarabhaavi")</f>
        <v>Naagarabhaavi</v>
      </c>
      <c r="I2279" s="1"/>
      <c r="J2279" s="1" t="str">
        <f ca="1">IFERROR(__xludf.DUMMYFUNCTION("""COMPUTED_VALUE"""),"1216d 23h 20m")</f>
        <v>1216d 23h 20m</v>
      </c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13.2">
      <c r="A2280" s="1">
        <f ca="1">IFERROR(__xludf.DUMMYFUNCTION("""COMPUTED_VALUE"""),7)</f>
        <v>7</v>
      </c>
      <c r="B2280" s="1" t="str">
        <f ca="1">IFERROR(__xludf.DUMMYFUNCTION("""COMPUTED_VALUE"""),"W2_KA01A5947_Jetting")</f>
        <v>W2_KA01A5947_Jetting</v>
      </c>
      <c r="C2280" s="1" t="str">
        <f ca="1">IFERROR(__xludf.DUMMYFUNCTION("""COMPUTED_VALUE"""),"W2_KA01A5947_Jetting")</f>
        <v>W2_KA01A5947_Jetting</v>
      </c>
      <c r="D2280" s="2">
        <f ca="1">IFERROR(__xludf.DUMMYFUNCTION("""COMPUTED_VALUE"""),43700)</f>
        <v>43700</v>
      </c>
      <c r="E2280" s="3">
        <f ca="1">IFERROR(__xludf.DUMMYFUNCTION("""COMPUTED_VALUE"""),0.465960648147302)</f>
        <v>0.46596064814730198</v>
      </c>
      <c r="F2280" s="1">
        <f ca="1">IFERROR(__xludf.DUMMYFUNCTION("""COMPUTED_VALUE"""),479)</f>
        <v>479</v>
      </c>
      <c r="G2280" s="1" t="str">
        <f ca="1">IFERROR(__xludf.DUMMYFUNCTION("""COMPUTED_VALUE"""),"12.9719/77.5127")</f>
        <v>12.9719/77.5127</v>
      </c>
      <c r="H2280" s="1" t="str">
        <f ca="1">IFERROR(__xludf.DUMMYFUNCTION("""COMPUTED_VALUE"""),"Naagarabhaavi")</f>
        <v>Naagarabhaavi</v>
      </c>
      <c r="I2280" s="1"/>
      <c r="J2280" s="1" t="str">
        <f ca="1">IFERROR(__xludf.DUMMYFUNCTION("""COMPUTED_VALUE"""),"1216d 23h 21m")</f>
        <v>1216d 23h 21m</v>
      </c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13.2">
      <c r="A2281" s="1">
        <f ca="1">IFERROR(__xludf.DUMMYFUNCTION("""COMPUTED_VALUE"""),7)</f>
        <v>7</v>
      </c>
      <c r="B2281" s="1" t="str">
        <f ca="1">IFERROR(__xludf.DUMMYFUNCTION("""COMPUTED_VALUE"""),"W2_KA01A5947_Jetting")</f>
        <v>W2_KA01A5947_Jetting</v>
      </c>
      <c r="C2281" s="1" t="str">
        <f ca="1">IFERROR(__xludf.DUMMYFUNCTION("""COMPUTED_VALUE"""),"W2_KA01A5947_Jetting")</f>
        <v>W2_KA01A5947_Jetting</v>
      </c>
      <c r="D2281" s="2">
        <f ca="1">IFERROR(__xludf.DUMMYFUNCTION("""COMPUTED_VALUE"""),43700)</f>
        <v>43700</v>
      </c>
      <c r="E2281" s="3">
        <f ca="1">IFERROR(__xludf.DUMMYFUNCTION("""COMPUTED_VALUE"""),0.465960648147302)</f>
        <v>0.46596064814730198</v>
      </c>
      <c r="F2281" s="1">
        <f ca="1">IFERROR(__xludf.DUMMYFUNCTION("""COMPUTED_VALUE"""),479)</f>
        <v>479</v>
      </c>
      <c r="G2281" s="1" t="str">
        <f ca="1">IFERROR(__xludf.DUMMYFUNCTION("""COMPUTED_VALUE"""),"12.9719/77.5127")</f>
        <v>12.9719/77.5127</v>
      </c>
      <c r="H2281" s="1" t="str">
        <f ca="1">IFERROR(__xludf.DUMMYFUNCTION("""COMPUTED_VALUE"""),"Naagarabhaavi")</f>
        <v>Naagarabhaavi</v>
      </c>
      <c r="I2281" s="1"/>
      <c r="J2281" s="1" t="str">
        <f ca="1">IFERROR(__xludf.DUMMYFUNCTION("""COMPUTED_VALUE"""),"1216d 23h 22m")</f>
        <v>1216d 23h 22m</v>
      </c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13.2">
      <c r="A2282" s="1">
        <f ca="1">IFERROR(__xludf.DUMMYFUNCTION("""COMPUTED_VALUE"""),7)</f>
        <v>7</v>
      </c>
      <c r="B2282" s="1" t="str">
        <f ca="1">IFERROR(__xludf.DUMMYFUNCTION("""COMPUTED_VALUE"""),"W2_KA01A5947_Jetting")</f>
        <v>W2_KA01A5947_Jetting</v>
      </c>
      <c r="C2282" s="1" t="str">
        <f ca="1">IFERROR(__xludf.DUMMYFUNCTION("""COMPUTED_VALUE"""),"W2_KA01A5947_Jetting")</f>
        <v>W2_KA01A5947_Jetting</v>
      </c>
      <c r="D2282" s="2">
        <f ca="1">IFERROR(__xludf.DUMMYFUNCTION("""COMPUTED_VALUE"""),43700)</f>
        <v>43700</v>
      </c>
      <c r="E2282" s="3">
        <f ca="1">IFERROR(__xludf.DUMMYFUNCTION("""COMPUTED_VALUE"""),0.465960648147302)</f>
        <v>0.46596064814730198</v>
      </c>
      <c r="F2282" s="1">
        <f ca="1">IFERROR(__xludf.DUMMYFUNCTION("""COMPUTED_VALUE"""),479)</f>
        <v>479</v>
      </c>
      <c r="G2282" s="1" t="str">
        <f ca="1">IFERROR(__xludf.DUMMYFUNCTION("""COMPUTED_VALUE"""),"12.9719/77.5127")</f>
        <v>12.9719/77.5127</v>
      </c>
      <c r="H2282" s="1" t="str">
        <f ca="1">IFERROR(__xludf.DUMMYFUNCTION("""COMPUTED_VALUE"""),"Naagarabhaavi")</f>
        <v>Naagarabhaavi</v>
      </c>
      <c r="I2282" s="1"/>
      <c r="J2282" s="1" t="str">
        <f ca="1">IFERROR(__xludf.DUMMYFUNCTION("""COMPUTED_VALUE"""),"1216d 23h 22m")</f>
        <v>1216d 23h 22m</v>
      </c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13.2">
      <c r="A2283" s="1">
        <f ca="1">IFERROR(__xludf.DUMMYFUNCTION("""COMPUTED_VALUE"""),7)</f>
        <v>7</v>
      </c>
      <c r="B2283" s="1" t="str">
        <f ca="1">IFERROR(__xludf.DUMMYFUNCTION("""COMPUTED_VALUE"""),"W2_KA01A5947_Jetting")</f>
        <v>W2_KA01A5947_Jetting</v>
      </c>
      <c r="C2283" s="1" t="str">
        <f ca="1">IFERROR(__xludf.DUMMYFUNCTION("""COMPUTED_VALUE"""),"W2_KA01A5947_Jetting")</f>
        <v>W2_KA01A5947_Jetting</v>
      </c>
      <c r="D2283" s="2">
        <f ca="1">IFERROR(__xludf.DUMMYFUNCTION("""COMPUTED_VALUE"""),43700)</f>
        <v>43700</v>
      </c>
      <c r="E2283" s="3">
        <f ca="1">IFERROR(__xludf.DUMMYFUNCTION("""COMPUTED_VALUE"""),0.465960648147302)</f>
        <v>0.46596064814730198</v>
      </c>
      <c r="F2283" s="1">
        <f ca="1">IFERROR(__xludf.DUMMYFUNCTION("""COMPUTED_VALUE"""),479)</f>
        <v>479</v>
      </c>
      <c r="G2283" s="1" t="str">
        <f ca="1">IFERROR(__xludf.DUMMYFUNCTION("""COMPUTED_VALUE"""),"12.9719/77.5127")</f>
        <v>12.9719/77.5127</v>
      </c>
      <c r="H2283" s="1" t="str">
        <f ca="1">IFERROR(__xludf.DUMMYFUNCTION("""COMPUTED_VALUE"""),"Naagarabhaavi")</f>
        <v>Naagarabhaavi</v>
      </c>
      <c r="I2283" s="1"/>
      <c r="J2283" s="1" t="str">
        <f ca="1">IFERROR(__xludf.DUMMYFUNCTION("""COMPUTED_VALUE"""),"1216d 23h 23m")</f>
        <v>1216d 23h 23m</v>
      </c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13.2">
      <c r="A2284" s="1">
        <f ca="1">IFERROR(__xludf.DUMMYFUNCTION("""COMPUTED_VALUE"""),7)</f>
        <v>7</v>
      </c>
      <c r="B2284" s="1" t="str">
        <f ca="1">IFERROR(__xludf.DUMMYFUNCTION("""COMPUTED_VALUE"""),"W2_KA01A5947_Jetting")</f>
        <v>W2_KA01A5947_Jetting</v>
      </c>
      <c r="C2284" s="1" t="str">
        <f ca="1">IFERROR(__xludf.DUMMYFUNCTION("""COMPUTED_VALUE"""),"W2_KA01A5947_Jetting")</f>
        <v>W2_KA01A5947_Jetting</v>
      </c>
      <c r="D2284" s="2">
        <f ca="1">IFERROR(__xludf.DUMMYFUNCTION("""COMPUTED_VALUE"""),43700)</f>
        <v>43700</v>
      </c>
      <c r="E2284" s="3">
        <f ca="1">IFERROR(__xludf.DUMMYFUNCTION("""COMPUTED_VALUE"""),0.465960648147302)</f>
        <v>0.46596064814730198</v>
      </c>
      <c r="F2284" s="1">
        <f ca="1">IFERROR(__xludf.DUMMYFUNCTION("""COMPUTED_VALUE"""),479)</f>
        <v>479</v>
      </c>
      <c r="G2284" s="1" t="str">
        <f ca="1">IFERROR(__xludf.DUMMYFUNCTION("""COMPUTED_VALUE"""),"12.9719/77.5127")</f>
        <v>12.9719/77.5127</v>
      </c>
      <c r="H2284" s="1" t="str">
        <f ca="1">IFERROR(__xludf.DUMMYFUNCTION("""COMPUTED_VALUE"""),"Naagarabhaavi")</f>
        <v>Naagarabhaavi</v>
      </c>
      <c r="I2284" s="1"/>
      <c r="J2284" s="1" t="str">
        <f ca="1">IFERROR(__xludf.DUMMYFUNCTION("""COMPUTED_VALUE"""),"1216d 23h 24m")</f>
        <v>1216d 23h 24m</v>
      </c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13.2">
      <c r="A2285" s="1">
        <f ca="1">IFERROR(__xludf.DUMMYFUNCTION("""COMPUTED_VALUE"""),41)</f>
        <v>41</v>
      </c>
      <c r="B2285" s="1" t="str">
        <f ca="1">IFERROR(__xludf.DUMMYFUNCTION("""COMPUTED_VALUE"""),"W2_KA04C5134_Jetting")</f>
        <v>W2_KA04C5134_Jetting</v>
      </c>
      <c r="C2285" s="1" t="str">
        <f ca="1">IFERROR(__xludf.DUMMYFUNCTION("""COMPUTED_VALUE"""),"w2_ka04c5134_jetting")</f>
        <v>w2_ka04c5134_jetting</v>
      </c>
      <c r="D2285" s="2">
        <f ca="1">IFERROR(__xludf.DUMMYFUNCTION("""COMPUTED_VALUE"""),44527)</f>
        <v>44527</v>
      </c>
      <c r="E2285" s="3">
        <f ca="1">IFERROR(__xludf.DUMMYFUNCTION("""COMPUTED_VALUE"""),0.383252314815763)</f>
        <v>0.383252314815763</v>
      </c>
      <c r="F2285" s="1">
        <f ca="1">IFERROR(__xludf.DUMMYFUNCTION("""COMPUTED_VALUE"""),15431)</f>
        <v>15431</v>
      </c>
      <c r="G2285" s="1" t="str">
        <f ca="1">IFERROR(__xludf.DUMMYFUNCTION("""COMPUTED_VALUE"""),"12.9780/77.5109")</f>
        <v>12.9780/77.5109</v>
      </c>
      <c r="H2285" s="1" t="str">
        <f ca="1">IFERROR(__xludf.DUMMYFUNCTION("""COMPUTED_VALUE"""),"Nagarbhavi")</f>
        <v>Nagarbhavi</v>
      </c>
      <c r="I2285" s="1"/>
      <c r="J2285" s="1" t="str">
        <f ca="1">IFERROR(__xludf.DUMMYFUNCTION("""COMPUTED_VALUE"""),"0d 00h 00m")</f>
        <v>0d 00h 00m</v>
      </c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13.2">
      <c r="A2286" s="1">
        <f ca="1">IFERROR(__xludf.DUMMYFUNCTION("""COMPUTED_VALUE"""),37)</f>
        <v>37</v>
      </c>
      <c r="B2286" s="1" t="str">
        <f ca="1">IFERROR(__xludf.DUMMYFUNCTION("""COMPUTED_VALUE"""),"W2_KA04C5134_Jetting")</f>
        <v>W2_KA04C5134_Jetting</v>
      </c>
      <c r="C2286" s="1" t="str">
        <f ca="1">IFERROR(__xludf.DUMMYFUNCTION("""COMPUTED_VALUE"""),"w2_ka04c5134_jetting")</f>
        <v>w2_ka04c5134_jetting</v>
      </c>
      <c r="D2286" s="2">
        <f ca="1">IFERROR(__xludf.DUMMYFUNCTION("""COMPUTED_VALUE"""),44527)</f>
        <v>44527</v>
      </c>
      <c r="E2286" s="3">
        <f ca="1">IFERROR(__xludf.DUMMYFUNCTION("""COMPUTED_VALUE"""),0.383252314815763)</f>
        <v>0.383252314815763</v>
      </c>
      <c r="F2286" s="1">
        <f ca="1">IFERROR(__xludf.DUMMYFUNCTION("""COMPUTED_VALUE"""),15431)</f>
        <v>15431</v>
      </c>
      <c r="G2286" s="1" t="str">
        <f ca="1">IFERROR(__xludf.DUMMYFUNCTION("""COMPUTED_VALUE"""),"12.9780/77.5109")</f>
        <v>12.9780/77.5109</v>
      </c>
      <c r="H2286" s="1" t="str">
        <f ca="1">IFERROR(__xludf.DUMMYFUNCTION("""COMPUTED_VALUE"""),"Nagarbhavi")</f>
        <v>Nagarbhavi</v>
      </c>
      <c r="I2286" s="1"/>
      <c r="J2286" s="1" t="str">
        <f ca="1">IFERROR(__xludf.DUMMYFUNCTION("""COMPUTED_VALUE"""),"0d 00h 00m")</f>
        <v>0d 00h 00m</v>
      </c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13.2">
      <c r="A2287" s="1">
        <f ca="1">IFERROR(__xludf.DUMMYFUNCTION("""COMPUTED_VALUE"""),37)</f>
        <v>37</v>
      </c>
      <c r="B2287" s="1" t="str">
        <f ca="1">IFERROR(__xludf.DUMMYFUNCTION("""COMPUTED_VALUE"""),"W2_KA04C5134_Jetting")</f>
        <v>W2_KA04C5134_Jetting</v>
      </c>
      <c r="C2287" s="1" t="str">
        <f ca="1">IFERROR(__xludf.DUMMYFUNCTION("""COMPUTED_VALUE"""),"w2_ka04c5134_jetting")</f>
        <v>w2_ka04c5134_jetting</v>
      </c>
      <c r="D2287" s="2">
        <f ca="1">IFERROR(__xludf.DUMMYFUNCTION("""COMPUTED_VALUE"""),44527)</f>
        <v>44527</v>
      </c>
      <c r="E2287" s="3">
        <f ca="1">IFERROR(__xludf.DUMMYFUNCTION("""COMPUTED_VALUE"""),0.383252314815763)</f>
        <v>0.383252314815763</v>
      </c>
      <c r="F2287" s="1">
        <f ca="1">IFERROR(__xludf.DUMMYFUNCTION("""COMPUTED_VALUE"""),15431)</f>
        <v>15431</v>
      </c>
      <c r="G2287" s="1" t="str">
        <f ca="1">IFERROR(__xludf.DUMMYFUNCTION("""COMPUTED_VALUE"""),"12.9780/77.5109")</f>
        <v>12.9780/77.5109</v>
      </c>
      <c r="H2287" s="1" t="str">
        <f ca="1">IFERROR(__xludf.DUMMYFUNCTION("""COMPUTED_VALUE"""),"Nagarbhavi")</f>
        <v>Nagarbhavi</v>
      </c>
      <c r="I2287" s="1"/>
      <c r="J2287" s="1" t="str">
        <f ca="1">IFERROR(__xludf.DUMMYFUNCTION("""COMPUTED_VALUE"""),"0d 00h 00m")</f>
        <v>0d 00h 00m</v>
      </c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13.2">
      <c r="A2288" s="1">
        <f ca="1">IFERROR(__xludf.DUMMYFUNCTION("""COMPUTED_VALUE"""),37)</f>
        <v>37</v>
      </c>
      <c r="B2288" s="1" t="str">
        <f ca="1">IFERROR(__xludf.DUMMYFUNCTION("""COMPUTED_VALUE"""),"W2_KA04C5134_Jetting")</f>
        <v>W2_KA04C5134_Jetting</v>
      </c>
      <c r="C2288" s="1" t="str">
        <f ca="1">IFERROR(__xludf.DUMMYFUNCTION("""COMPUTED_VALUE"""),"w2_ka04c5134_jetting")</f>
        <v>w2_ka04c5134_jetting</v>
      </c>
      <c r="D2288" s="2">
        <f ca="1">IFERROR(__xludf.DUMMYFUNCTION("""COMPUTED_VALUE"""),44527)</f>
        <v>44527</v>
      </c>
      <c r="E2288" s="3">
        <f ca="1">IFERROR(__xludf.DUMMYFUNCTION("""COMPUTED_VALUE"""),0.383252314815763)</f>
        <v>0.383252314815763</v>
      </c>
      <c r="F2288" s="1">
        <f ca="1">IFERROR(__xludf.DUMMYFUNCTION("""COMPUTED_VALUE"""),15431)</f>
        <v>15431</v>
      </c>
      <c r="G2288" s="1" t="str">
        <f ca="1">IFERROR(__xludf.DUMMYFUNCTION("""COMPUTED_VALUE"""),"12.9780/77.5109")</f>
        <v>12.9780/77.5109</v>
      </c>
      <c r="H2288" s="1" t="str">
        <f ca="1">IFERROR(__xludf.DUMMYFUNCTION("""COMPUTED_VALUE"""),"Nagarbhavi")</f>
        <v>Nagarbhavi</v>
      </c>
      <c r="I2288" s="1"/>
      <c r="J2288" s="1" t="str">
        <f ca="1">IFERROR(__xludf.DUMMYFUNCTION("""COMPUTED_VALUE"""),"0d 00h 00m")</f>
        <v>0d 00h 00m</v>
      </c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13.2">
      <c r="A2289" s="1">
        <f ca="1">IFERROR(__xludf.DUMMYFUNCTION("""COMPUTED_VALUE"""),36)</f>
        <v>36</v>
      </c>
      <c r="B2289" s="1" t="str">
        <f ca="1">IFERROR(__xludf.DUMMYFUNCTION("""COMPUTED_VALUE"""),"W2_KA04C5134_Jetting")</f>
        <v>W2_KA04C5134_Jetting</v>
      </c>
      <c r="C2289" s="1" t="str">
        <f ca="1">IFERROR(__xludf.DUMMYFUNCTION("""COMPUTED_VALUE"""),"w2_ka04c5134_jetting")</f>
        <v>w2_ka04c5134_jetting</v>
      </c>
      <c r="D2289" s="2">
        <f ca="1">IFERROR(__xludf.DUMMYFUNCTION("""COMPUTED_VALUE"""),44527)</f>
        <v>44527</v>
      </c>
      <c r="E2289" s="3">
        <f ca="1">IFERROR(__xludf.DUMMYFUNCTION("""COMPUTED_VALUE"""),0.383252314815763)</f>
        <v>0.383252314815763</v>
      </c>
      <c r="F2289" s="1">
        <f ca="1">IFERROR(__xludf.DUMMYFUNCTION("""COMPUTED_VALUE"""),15431)</f>
        <v>15431</v>
      </c>
      <c r="G2289" s="1" t="str">
        <f ca="1">IFERROR(__xludf.DUMMYFUNCTION("""COMPUTED_VALUE"""),"12.9780/77.5109")</f>
        <v>12.9780/77.5109</v>
      </c>
      <c r="H2289" s="1" t="str">
        <f ca="1">IFERROR(__xludf.DUMMYFUNCTION("""COMPUTED_VALUE"""),"Nagarbhavi")</f>
        <v>Nagarbhavi</v>
      </c>
      <c r="I2289" s="1"/>
      <c r="J2289" s="1" t="str">
        <f ca="1">IFERROR(__xludf.DUMMYFUNCTION("""COMPUTED_VALUE"""),"0d 00h 00m")</f>
        <v>0d 00h 00m</v>
      </c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13.2">
      <c r="A2290" s="1">
        <f ca="1">IFERROR(__xludf.DUMMYFUNCTION("""COMPUTED_VALUE"""),36)</f>
        <v>36</v>
      </c>
      <c r="B2290" s="1" t="str">
        <f ca="1">IFERROR(__xludf.DUMMYFUNCTION("""COMPUTED_VALUE"""),"W2_KA04C5134_Jetting")</f>
        <v>W2_KA04C5134_Jetting</v>
      </c>
      <c r="C2290" s="1" t="str">
        <f ca="1">IFERROR(__xludf.DUMMYFUNCTION("""COMPUTED_VALUE"""),"w2_ka04c5134_jetting")</f>
        <v>w2_ka04c5134_jetting</v>
      </c>
      <c r="D2290" s="2">
        <f ca="1">IFERROR(__xludf.DUMMYFUNCTION("""COMPUTED_VALUE"""),44527)</f>
        <v>44527</v>
      </c>
      <c r="E2290" s="3">
        <f ca="1">IFERROR(__xludf.DUMMYFUNCTION("""COMPUTED_VALUE"""),0.383252314815763)</f>
        <v>0.383252314815763</v>
      </c>
      <c r="F2290" s="1">
        <f ca="1">IFERROR(__xludf.DUMMYFUNCTION("""COMPUTED_VALUE"""),15431)</f>
        <v>15431</v>
      </c>
      <c r="G2290" s="1" t="str">
        <f ca="1">IFERROR(__xludf.DUMMYFUNCTION("""COMPUTED_VALUE"""),"12.9780/77.5109")</f>
        <v>12.9780/77.5109</v>
      </c>
      <c r="H2290" s="1" t="str">
        <f ca="1">IFERROR(__xludf.DUMMYFUNCTION("""COMPUTED_VALUE"""),"Nagarbhavi")</f>
        <v>Nagarbhavi</v>
      </c>
      <c r="I2290" s="1"/>
      <c r="J2290" s="1" t="str">
        <f ca="1">IFERROR(__xludf.DUMMYFUNCTION("""COMPUTED_VALUE"""),"0d 00h 00m")</f>
        <v>0d 00h 00m</v>
      </c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13.2">
      <c r="A2291" s="1">
        <f ca="1">IFERROR(__xludf.DUMMYFUNCTION("""COMPUTED_VALUE"""),221)</f>
        <v>221</v>
      </c>
      <c r="B2291" s="1" t="str">
        <f ca="1">IFERROR(__xludf.DUMMYFUNCTION("""COMPUTED_VALUE"""),"W2_KA04D4864_Jetting")</f>
        <v>W2_KA04D4864_Jetting</v>
      </c>
      <c r="C2291" s="1" t="str">
        <f ca="1">IFERROR(__xludf.DUMMYFUNCTION("""COMPUTED_VALUE"""),"w2_ka04d4864_jetting")</f>
        <v>w2_ka04d4864_jetting</v>
      </c>
      <c r="D2291" s="2">
        <f ca="1">IFERROR(__xludf.DUMMYFUNCTION("""COMPUTED_VALUE"""),44707)</f>
        <v>44707</v>
      </c>
      <c r="E2291" s="3">
        <f ca="1">IFERROR(__xludf.DUMMYFUNCTION("""COMPUTED_VALUE"""),0.999270833333866)</f>
        <v>0.99927083333386602</v>
      </c>
      <c r="F2291" s="1">
        <f ca="1">IFERROR(__xludf.DUMMYFUNCTION("""COMPUTED_VALUE"""),38213)</f>
        <v>38213</v>
      </c>
      <c r="G2291" s="1" t="str">
        <f ca="1">IFERROR(__xludf.DUMMYFUNCTION("""COMPUTED_VALUE"""),"12.9771/77.5108")</f>
        <v>12.9771/77.5108</v>
      </c>
      <c r="H2291" s="1" t="str">
        <f ca="1">IFERROR(__xludf.DUMMYFUNCTION("""COMPUTED_VALUE"""),"Nagarbhavi")</f>
        <v>Nagarbhavi</v>
      </c>
      <c r="I2291" s="1"/>
      <c r="J2291" s="1" t="str">
        <f ca="1">IFERROR(__xludf.DUMMYFUNCTION("""COMPUTED_VALUE"""),"0d 00h 01m")</f>
        <v>0d 00h 01m</v>
      </c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13.2">
      <c r="A2292" s="1">
        <f ca="1">IFERROR(__xludf.DUMMYFUNCTION("""COMPUTED_VALUE"""),234)</f>
        <v>234</v>
      </c>
      <c r="B2292" s="1" t="str">
        <f ca="1">IFERROR(__xludf.DUMMYFUNCTION("""COMPUTED_VALUE"""),"W2_KA04D4864_Jetting")</f>
        <v>W2_KA04D4864_Jetting</v>
      </c>
      <c r="C2292" s="1" t="str">
        <f ca="1">IFERROR(__xludf.DUMMYFUNCTION("""COMPUTED_VALUE"""),"w2_ka04d4864_jetting")</f>
        <v>w2_ka04d4864_jetting</v>
      </c>
      <c r="D2292" s="2">
        <f ca="1">IFERROR(__xludf.DUMMYFUNCTION("""COMPUTED_VALUE"""),44738)</f>
        <v>44738</v>
      </c>
      <c r="E2292" s="3">
        <f ca="1">IFERROR(__xludf.DUMMYFUNCTION("""COMPUTED_VALUE"""),0.999305555556929)</f>
        <v>0.99930555555692901</v>
      </c>
      <c r="F2292" s="1">
        <f ca="1">IFERROR(__xludf.DUMMYFUNCTION("""COMPUTED_VALUE"""),38717)</f>
        <v>38717</v>
      </c>
      <c r="G2292" s="1" t="str">
        <f ca="1">IFERROR(__xludf.DUMMYFUNCTION("""COMPUTED_VALUE"""),"12.9770/77.5108")</f>
        <v>12.9770/77.5108</v>
      </c>
      <c r="H2292" s="1" t="str">
        <f ca="1">IFERROR(__xludf.DUMMYFUNCTION("""COMPUTED_VALUE"""),"Nagarbhavi")</f>
        <v>Nagarbhavi</v>
      </c>
      <c r="I2292" s="1"/>
      <c r="J2292" s="1" t="str">
        <f ca="1">IFERROR(__xludf.DUMMYFUNCTION("""COMPUTED_VALUE"""),"0d 00h 02m")</f>
        <v>0d 00h 02m</v>
      </c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13.2">
      <c r="A2293" s="1">
        <f ca="1">IFERROR(__xludf.DUMMYFUNCTION("""COMPUTED_VALUE"""),210)</f>
        <v>210</v>
      </c>
      <c r="B2293" s="1" t="str">
        <f ca="1">IFERROR(__xludf.DUMMYFUNCTION("""COMPUTED_VALUE"""),"W2_KA04D4864_Jetting")</f>
        <v>W2_KA04D4864_Jetting</v>
      </c>
      <c r="C2293" s="1" t="str">
        <f ca="1">IFERROR(__xludf.DUMMYFUNCTION("""COMPUTED_VALUE"""),"w2_ka04d4864_jetting")</f>
        <v>w2_ka04d4864_jetting</v>
      </c>
      <c r="D2293" s="2">
        <f ca="1">IFERROR(__xludf.DUMMYFUNCTION("""COMPUTED_VALUE"""),44768)</f>
        <v>44768</v>
      </c>
      <c r="E2293" s="3">
        <f ca="1">IFERROR(__xludf.DUMMYFUNCTION("""COMPUTED_VALUE"""),0.99920138888774)</f>
        <v>0.99920138888774002</v>
      </c>
      <c r="F2293" s="1">
        <f ca="1">IFERROR(__xludf.DUMMYFUNCTION("""COMPUTED_VALUE"""),39224)</f>
        <v>39224</v>
      </c>
      <c r="G2293" s="1" t="str">
        <f ca="1">IFERROR(__xludf.DUMMYFUNCTION("""COMPUTED_VALUE"""),"12.9771/77.5108")</f>
        <v>12.9771/77.5108</v>
      </c>
      <c r="H2293" s="1" t="str">
        <f ca="1">IFERROR(__xludf.DUMMYFUNCTION("""COMPUTED_VALUE"""),"Nagarbhavi")</f>
        <v>Nagarbhavi</v>
      </c>
      <c r="I2293" s="1"/>
      <c r="J2293" s="1" t="str">
        <f ca="1">IFERROR(__xludf.DUMMYFUNCTION("""COMPUTED_VALUE"""),"0d 00h 03m")</f>
        <v>0d 00h 03m</v>
      </c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13.2">
      <c r="A2294" s="1">
        <f ca="1">IFERROR(__xludf.DUMMYFUNCTION("""COMPUTED_VALUE"""),177)</f>
        <v>177</v>
      </c>
      <c r="B2294" s="1" t="str">
        <f ca="1">IFERROR(__xludf.DUMMYFUNCTION("""COMPUTED_VALUE"""),"W2_KA04D4864_Jetting")</f>
        <v>W2_KA04D4864_Jetting</v>
      </c>
      <c r="C2294" s="1" t="str">
        <f ca="1">IFERROR(__xludf.DUMMYFUNCTION("""COMPUTED_VALUE"""),"w2_ka04d4864_jetting")</f>
        <v>w2_ka04d4864_jetting</v>
      </c>
      <c r="D2294" s="2">
        <f ca="1">IFERROR(__xludf.DUMMYFUNCTION("""COMPUTED_VALUE"""),44799)</f>
        <v>44799</v>
      </c>
      <c r="E2294" s="3">
        <f ca="1">IFERROR(__xludf.DUMMYFUNCTION("""COMPUTED_VALUE"""),0.999016203702922)</f>
        <v>0.99901620370292199</v>
      </c>
      <c r="F2294" s="1">
        <f ca="1">IFERROR(__xludf.DUMMYFUNCTION("""COMPUTED_VALUE"""),39874)</f>
        <v>39874</v>
      </c>
      <c r="G2294" s="1" t="str">
        <f ca="1">IFERROR(__xludf.DUMMYFUNCTION("""COMPUTED_VALUE"""),"12.9768/77.5109")</f>
        <v>12.9768/77.5109</v>
      </c>
      <c r="H2294" s="1" t="str">
        <f ca="1">IFERROR(__xludf.DUMMYFUNCTION("""COMPUTED_VALUE"""),"Nagarbhavi")</f>
        <v>Nagarbhavi</v>
      </c>
      <c r="I2294" s="1"/>
      <c r="J2294" s="1" t="str">
        <f ca="1">IFERROR(__xludf.DUMMYFUNCTION("""COMPUTED_VALUE"""),"0d 00h 00m")</f>
        <v>0d 00h 00m</v>
      </c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13.2">
      <c r="A2295" s="1">
        <f ca="1">IFERROR(__xludf.DUMMYFUNCTION("""COMPUTED_VALUE"""),127)</f>
        <v>127</v>
      </c>
      <c r="B2295" s="1" t="str">
        <f ca="1">IFERROR(__xludf.DUMMYFUNCTION("""COMPUTED_VALUE"""),"W2_KA04D4864_Jetting")</f>
        <v>W2_KA04D4864_Jetting</v>
      </c>
      <c r="C2295" s="1" t="str">
        <f ca="1">IFERROR(__xludf.DUMMYFUNCTION("""COMPUTED_VALUE"""),"w2_ka04d4864_jetting")</f>
        <v>w2_ka04d4864_jetting</v>
      </c>
      <c r="D2295" s="2">
        <f ca="1">IFERROR(__xludf.DUMMYFUNCTION("""COMPUTED_VALUE"""),44827)</f>
        <v>44827</v>
      </c>
      <c r="E2295" s="3">
        <f ca="1">IFERROR(__xludf.DUMMYFUNCTION("""COMPUTED_VALUE"""),0.880821759259561)</f>
        <v>0.88082175925956097</v>
      </c>
      <c r="F2295" s="1">
        <f ca="1">IFERROR(__xludf.DUMMYFUNCTION("""COMPUTED_VALUE"""),40361)</f>
        <v>40361</v>
      </c>
      <c r="G2295" s="1" t="str">
        <f ca="1">IFERROR(__xludf.DUMMYFUNCTION("""COMPUTED_VALUE"""),"12.9770/77.5107")</f>
        <v>12.9770/77.5107</v>
      </c>
      <c r="H2295" s="1" t="str">
        <f ca="1">IFERROR(__xludf.DUMMYFUNCTION("""COMPUTED_VALUE"""),"Nagarbhavi")</f>
        <v>Nagarbhavi</v>
      </c>
      <c r="I2295" s="1"/>
      <c r="J2295" s="1" t="str">
        <f ca="1">IFERROR(__xludf.DUMMYFUNCTION("""COMPUTED_VALUE"""),"0d 00h 00m")</f>
        <v>0d 00h 00m</v>
      </c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13.2">
      <c r="A2296" s="1">
        <f ca="1">IFERROR(__xludf.DUMMYFUNCTION("""COMPUTED_VALUE"""),108)</f>
        <v>108</v>
      </c>
      <c r="B2296" s="1" t="str">
        <f ca="1">IFERROR(__xludf.DUMMYFUNCTION("""COMPUTED_VALUE"""),"W2_KA04D4864_Jetting")</f>
        <v>W2_KA04D4864_Jetting</v>
      </c>
      <c r="C2296" s="1" t="str">
        <f ca="1">IFERROR(__xludf.DUMMYFUNCTION("""COMPUTED_VALUE"""),"w2_ka04d4864_jetting")</f>
        <v>w2_ka04d4864_jetting</v>
      </c>
      <c r="D2296" s="2">
        <f ca="1">IFERROR(__xludf.DUMMYFUNCTION("""COMPUTED_VALUE"""),44859)</f>
        <v>44859</v>
      </c>
      <c r="E2296" s="3">
        <f ca="1">IFERROR(__xludf.DUMMYFUNCTION("""COMPUTED_VALUE"""),0.396643518517521)</f>
        <v>0.396643518517521</v>
      </c>
      <c r="F2296" s="1">
        <f ca="1">IFERROR(__xludf.DUMMYFUNCTION("""COMPUTED_VALUE"""),40361)</f>
        <v>40361</v>
      </c>
      <c r="G2296" s="1" t="str">
        <f ca="1">IFERROR(__xludf.DUMMYFUNCTION("""COMPUTED_VALUE"""),"12.9770/77.5108")</f>
        <v>12.9770/77.5108</v>
      </c>
      <c r="H2296" s="1" t="str">
        <f ca="1">IFERROR(__xludf.DUMMYFUNCTION("""COMPUTED_VALUE"""),"Nagarbhavi")</f>
        <v>Nagarbhavi</v>
      </c>
      <c r="I2296" s="1"/>
      <c r="J2296" s="1" t="str">
        <f ca="1">IFERROR(__xludf.DUMMYFUNCTION("""COMPUTED_VALUE"""),"0d 00h 01m")</f>
        <v>0d 00h 01m</v>
      </c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13.2">
      <c r="A2297" s="1">
        <f ca="1">IFERROR(__xludf.DUMMYFUNCTION("""COMPUTED_VALUE"""),84)</f>
        <v>84</v>
      </c>
      <c r="B2297" s="1" t="str">
        <f ca="1">IFERROR(__xludf.DUMMYFUNCTION("""COMPUTED_VALUE"""),"W3_KA04A9521_Jetting")</f>
        <v>W3_KA04A9521_Jetting</v>
      </c>
      <c r="C2297" s="1" t="str">
        <f ca="1">IFERROR(__xludf.DUMMYFUNCTION("""COMPUTED_VALUE"""),"w3_ka04a9521_jetting")</f>
        <v>w3_ka04a9521_jetting</v>
      </c>
      <c r="D2297" s="2">
        <f ca="1">IFERROR(__xludf.DUMMYFUNCTION("""COMPUTED_VALUE"""),44699)</f>
        <v>44699</v>
      </c>
      <c r="E2297" s="3">
        <f ca="1">IFERROR(__xludf.DUMMYFUNCTION("""COMPUTED_VALUE"""),0.669490740740002)</f>
        <v>0.66949074074000203</v>
      </c>
      <c r="F2297" s="1">
        <f ca="1">IFERROR(__xludf.DUMMYFUNCTION("""COMPUTED_VALUE"""),59820)</f>
        <v>59820</v>
      </c>
      <c r="G2297" s="1" t="str">
        <f ca="1">IFERROR(__xludf.DUMMYFUNCTION("""COMPUTED_VALUE"""),"12.8743/77.5183")</f>
        <v>12.8743/77.5183</v>
      </c>
      <c r="H2297" s="1" t="str">
        <f ca="1">IFERROR(__xludf.DUMMYFUNCTION("""COMPUTED_VALUE"""),"Poornapragana Layout")</f>
        <v>Poornapragana Layout</v>
      </c>
      <c r="I2297" s="1"/>
      <c r="J2297" s="1" t="str">
        <f ca="1">IFERROR(__xludf.DUMMYFUNCTION("""COMPUTED_VALUE"""),"37d 00h 56m")</f>
        <v>37d 00h 56m</v>
      </c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13.2">
      <c r="A2298" s="1">
        <f ca="1">IFERROR(__xludf.DUMMYFUNCTION("""COMPUTED_VALUE"""),229)</f>
        <v>229</v>
      </c>
      <c r="B2298" s="1" t="str">
        <f ca="1">IFERROR(__xludf.DUMMYFUNCTION("""COMPUTED_VALUE"""),"W3_KA04A9521_Jetting")</f>
        <v>W3_KA04A9521_Jetting</v>
      </c>
      <c r="C2298" s="1" t="str">
        <f ca="1">IFERROR(__xludf.DUMMYFUNCTION("""COMPUTED_VALUE"""),"w3_ka04a9521_jetting")</f>
        <v>w3_ka04a9521_jetting</v>
      </c>
      <c r="D2298" s="2">
        <f ca="1">IFERROR(__xludf.DUMMYFUNCTION("""COMPUTED_VALUE"""),44738)</f>
        <v>44738</v>
      </c>
      <c r="E2298" s="3">
        <f ca="1">IFERROR(__xludf.DUMMYFUNCTION("""COMPUTED_VALUE"""),0.999282407407008)</f>
        <v>0.99928240740700802</v>
      </c>
      <c r="F2298" s="1">
        <f ca="1">IFERROR(__xludf.DUMMYFUNCTION("""COMPUTED_VALUE"""),60120)</f>
        <v>60120</v>
      </c>
      <c r="G2298" s="1" t="str">
        <f ca="1">IFERROR(__xludf.DUMMYFUNCTION("""COMPUTED_VALUE"""),"12.9275/77.5156")</f>
        <v>12.9275/77.5156</v>
      </c>
      <c r="H2298" s="1" t="str">
        <f ca="1">IFERROR(__xludf.DUMMYFUNCTION("""COMPUTED_VALUE"""),"Kenchenahalli")</f>
        <v>Kenchenahalli</v>
      </c>
      <c r="I2298" s="1"/>
      <c r="J2298" s="1" t="str">
        <f ca="1">IFERROR(__xludf.DUMMYFUNCTION("""COMPUTED_VALUE"""),"37d 00h 57m")</f>
        <v>37d 00h 57m</v>
      </c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13.2">
      <c r="A2299" s="1">
        <f ca="1">IFERROR(__xludf.DUMMYFUNCTION("""COMPUTED_VALUE"""),200)</f>
        <v>200</v>
      </c>
      <c r="B2299" s="1" t="str">
        <f ca="1">IFERROR(__xludf.DUMMYFUNCTION("""COMPUTED_VALUE"""),"W3_KA04A9521_Jetting")</f>
        <v>W3_KA04A9521_Jetting</v>
      </c>
      <c r="C2299" s="1" t="str">
        <f ca="1">IFERROR(__xludf.DUMMYFUNCTION("""COMPUTED_VALUE"""),"w3_ka04a9521_jetting")</f>
        <v>w3_ka04a9521_jetting</v>
      </c>
      <c r="D2299" s="2">
        <f ca="1">IFERROR(__xludf.DUMMYFUNCTION("""COMPUTED_VALUE"""),44768)</f>
        <v>44768</v>
      </c>
      <c r="E2299" s="3">
        <f ca="1">IFERROR(__xludf.DUMMYFUNCTION("""COMPUTED_VALUE"""),0.999131944445252)</f>
        <v>0.999131944445252</v>
      </c>
      <c r="F2299" s="1">
        <f ca="1">IFERROR(__xludf.DUMMYFUNCTION("""COMPUTED_VALUE"""),60412)</f>
        <v>60412</v>
      </c>
      <c r="G2299" s="1" t="str">
        <f ca="1">IFERROR(__xludf.DUMMYFUNCTION("""COMPUTED_VALUE"""),"12.9274/77.5155")</f>
        <v>12.9274/77.5155</v>
      </c>
      <c r="H2299" s="1" t="str">
        <f ca="1">IFERROR(__xludf.DUMMYFUNCTION("""COMPUTED_VALUE"""),"Kenchenahalli")</f>
        <v>Kenchenahalli</v>
      </c>
      <c r="I2299" s="1"/>
      <c r="J2299" s="1" t="str">
        <f ca="1">IFERROR(__xludf.DUMMYFUNCTION("""COMPUTED_VALUE"""),"37d 00h 57m")</f>
        <v>37d 00h 57m</v>
      </c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13.2">
      <c r="A2300" s="1">
        <f ca="1">IFERROR(__xludf.DUMMYFUNCTION("""COMPUTED_VALUE"""),119)</f>
        <v>119</v>
      </c>
      <c r="B2300" s="1" t="str">
        <f ca="1">IFERROR(__xludf.DUMMYFUNCTION("""COMPUTED_VALUE"""),"W3_KA04A9521_Jetting")</f>
        <v>W3_KA04A9521_Jetting</v>
      </c>
      <c r="C2300" s="1" t="str">
        <f ca="1">IFERROR(__xludf.DUMMYFUNCTION("""COMPUTED_VALUE"""),"w3_ka04a9521_jetting")</f>
        <v>w3_ka04a9521_jetting</v>
      </c>
      <c r="D2300" s="2">
        <f ca="1">IFERROR(__xludf.DUMMYFUNCTION("""COMPUTED_VALUE"""),44791)</f>
        <v>44791</v>
      </c>
      <c r="E2300" s="3">
        <f ca="1">IFERROR(__xludf.DUMMYFUNCTION("""COMPUTED_VALUE"""),0.605520833334594)</f>
        <v>0.60552083333459406</v>
      </c>
      <c r="F2300" s="1">
        <f ca="1">IFERROR(__xludf.DUMMYFUNCTION("""COMPUTED_VALUE"""),60702)</f>
        <v>60702</v>
      </c>
      <c r="G2300" s="1" t="str">
        <f ca="1">IFERROR(__xludf.DUMMYFUNCTION("""COMPUTED_VALUE"""),"12.8799/77.5434")</f>
        <v>12.8799/77.5434</v>
      </c>
      <c r="H2300" s="1" t="str">
        <f ca="1">IFERROR(__xludf.DUMMYFUNCTION("""COMPUTED_VALUE"""),"Vasantpura")</f>
        <v>Vasantpura</v>
      </c>
      <c r="I2300" s="1"/>
      <c r="J2300" s="1" t="str">
        <f ca="1">IFERROR(__xludf.DUMMYFUNCTION("""COMPUTED_VALUE"""),"37d 00h 58m")</f>
        <v>37d 00h 58m</v>
      </c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13.2">
      <c r="A2301" s="1">
        <f ca="1">IFERROR(__xludf.DUMMYFUNCTION("""COMPUTED_VALUE"""),199)</f>
        <v>199</v>
      </c>
      <c r="B2301" s="1" t="str">
        <f ca="1">IFERROR(__xludf.DUMMYFUNCTION("""COMPUTED_VALUE"""),"W3_KA04A9521_Jetting")</f>
        <v>W3_KA04A9521_Jetting</v>
      </c>
      <c r="C2301" s="1" t="str">
        <f ca="1">IFERROR(__xludf.DUMMYFUNCTION("""COMPUTED_VALUE"""),"w3_ka04a9521_jetting")</f>
        <v>w3_ka04a9521_jetting</v>
      </c>
      <c r="D2301" s="2">
        <f ca="1">IFERROR(__xludf.DUMMYFUNCTION("""COMPUTED_VALUE"""),44830)</f>
        <v>44830</v>
      </c>
      <c r="E2301" s="3">
        <f ca="1">IFERROR(__xludf.DUMMYFUNCTION("""COMPUTED_VALUE"""),0.999131944445252)</f>
        <v>0.999131944445252</v>
      </c>
      <c r="F2301" s="1">
        <f ca="1">IFERROR(__xludf.DUMMYFUNCTION("""COMPUTED_VALUE"""),60944)</f>
        <v>60944</v>
      </c>
      <c r="G2301" s="1" t="str">
        <f ca="1">IFERROR(__xludf.DUMMYFUNCTION("""COMPUTED_VALUE"""),"12.9273/77.5159")</f>
        <v>12.9273/77.5159</v>
      </c>
      <c r="H2301" s="1" t="str">
        <f ca="1">IFERROR(__xludf.DUMMYFUNCTION("""COMPUTED_VALUE"""),"Kenchenahalli")</f>
        <v>Kenchenahalli</v>
      </c>
      <c r="I2301" s="1"/>
      <c r="J2301" s="1" t="str">
        <f ca="1">IFERROR(__xludf.DUMMYFUNCTION("""COMPUTED_VALUE"""),"37d 00h 59m")</f>
        <v>37d 00h 59m</v>
      </c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13.2">
      <c r="A2302" s="1">
        <f ca="1">IFERROR(__xludf.DUMMYFUNCTION("""COMPUTED_VALUE"""),98)</f>
        <v>98</v>
      </c>
      <c r="B2302" s="1" t="str">
        <f ca="1">IFERROR(__xludf.DUMMYFUNCTION("""COMPUTED_VALUE"""),"W3_KA04A9521_Jetting")</f>
        <v>W3_KA04A9521_Jetting</v>
      </c>
      <c r="C2302" s="1" t="str">
        <f ca="1">IFERROR(__xludf.DUMMYFUNCTION("""COMPUTED_VALUE"""),"w3_ka04a9521_jetting")</f>
        <v>w3_ka04a9521_jetting</v>
      </c>
      <c r="D2302" s="2">
        <f ca="1">IFERROR(__xludf.DUMMYFUNCTION("""COMPUTED_VALUE"""),44856)</f>
        <v>44856</v>
      </c>
      <c r="E2302" s="3">
        <f ca="1">IFERROR(__xludf.DUMMYFUNCTION("""COMPUTED_VALUE"""),0.427349537036207)</f>
        <v>0.42734953703620698</v>
      </c>
      <c r="F2302" s="1">
        <f ca="1">IFERROR(__xludf.DUMMYFUNCTION("""COMPUTED_VALUE"""),61332)</f>
        <v>61332</v>
      </c>
      <c r="G2302" s="1" t="str">
        <f ca="1">IFERROR(__xludf.DUMMYFUNCTION("""COMPUTED_VALUE"""),"12.9276/77.5157")</f>
        <v>12.9276/77.5157</v>
      </c>
      <c r="H2302" s="1" t="str">
        <f ca="1">IFERROR(__xludf.DUMMYFUNCTION("""COMPUTED_VALUE"""),"Kenchenahalli")</f>
        <v>Kenchenahalli</v>
      </c>
      <c r="I2302" s="1"/>
      <c r="J2302" s="1" t="str">
        <f ca="1">IFERROR(__xludf.DUMMYFUNCTION("""COMPUTED_VALUE"""),"37d 01h 00m")</f>
        <v>37d 01h 00m</v>
      </c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13.2">
      <c r="A2303" s="1">
        <f ca="1">IFERROR(__xludf.DUMMYFUNCTION("""COMPUTED_VALUE"""),170)</f>
        <v>170</v>
      </c>
      <c r="B2303" s="1" t="str">
        <f ca="1">IFERROR(__xludf.DUMMYFUNCTION("""COMPUTED_VALUE"""),"W3_KA04C5237_Tanker")</f>
        <v>W3_KA04C5237_Tanker</v>
      </c>
      <c r="C2303" s="1" t="str">
        <f ca="1">IFERROR(__xludf.DUMMYFUNCTION("""COMPUTED_VALUE"""),"w3_ka04d5237_tanker")</f>
        <v>w3_ka04d5237_tanker</v>
      </c>
      <c r="D2303" s="2">
        <f ca="1">IFERROR(__xludf.DUMMYFUNCTION("""COMPUTED_VALUE"""),44707)</f>
        <v>44707</v>
      </c>
      <c r="E2303" s="3">
        <f ca="1">IFERROR(__xludf.DUMMYFUNCTION("""COMPUTED_VALUE"""),0.999039351852843)</f>
        <v>0.99903935185284298</v>
      </c>
      <c r="F2303" s="1">
        <f ca="1">IFERROR(__xludf.DUMMYFUNCTION("""COMPUTED_VALUE"""),12637)</f>
        <v>12637</v>
      </c>
      <c r="G2303" s="1" t="str">
        <f ca="1">IFERROR(__xludf.DUMMYFUNCTION("""COMPUTED_VALUE"""),"12.9195/77.5224")</f>
        <v>12.9195/77.5224</v>
      </c>
      <c r="H2303" s="1" t="str">
        <f ca="1">IFERROR(__xludf.DUMMYFUNCTION("""COMPUTED_VALUE"""),"Kenchenahalli")</f>
        <v>Kenchenahalli</v>
      </c>
      <c r="I2303" s="1"/>
      <c r="J2303" s="1" t="str">
        <f ca="1">IFERROR(__xludf.DUMMYFUNCTION("""COMPUTED_VALUE"""),"0d 00h 00m")</f>
        <v>0d 00h 00m</v>
      </c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13.2">
      <c r="A2304" s="1">
        <f ca="1">IFERROR(__xludf.DUMMYFUNCTION("""COMPUTED_VALUE"""),194)</f>
        <v>194</v>
      </c>
      <c r="B2304" s="1" t="str">
        <f ca="1">IFERROR(__xludf.DUMMYFUNCTION("""COMPUTED_VALUE"""),"W3_KA04C5237_Tanker")</f>
        <v>W3_KA04C5237_Tanker</v>
      </c>
      <c r="C2304" s="1" t="str">
        <f ca="1">IFERROR(__xludf.DUMMYFUNCTION("""COMPUTED_VALUE"""),"w3_ka04d5237_tanker")</f>
        <v>w3_ka04d5237_tanker</v>
      </c>
      <c r="D2304" s="2">
        <f ca="1">IFERROR(__xludf.DUMMYFUNCTION("""COMPUTED_VALUE"""),44738)</f>
        <v>44738</v>
      </c>
      <c r="E2304" s="3">
        <f ca="1">IFERROR(__xludf.DUMMYFUNCTION("""COMPUTED_VALUE"""),0.999131944445252)</f>
        <v>0.999131944445252</v>
      </c>
      <c r="F2304" s="1">
        <f ca="1">IFERROR(__xludf.DUMMYFUNCTION("""COMPUTED_VALUE"""),12810)</f>
        <v>12810</v>
      </c>
      <c r="G2304" s="1" t="str">
        <f ca="1">IFERROR(__xludf.DUMMYFUNCTION("""COMPUTED_VALUE"""),"12.9194/77.5224")</f>
        <v>12.9194/77.5224</v>
      </c>
      <c r="H2304" s="1" t="str">
        <f ca="1">IFERROR(__xludf.DUMMYFUNCTION("""COMPUTED_VALUE"""),"Kenchenahalli")</f>
        <v>Kenchenahalli</v>
      </c>
      <c r="I2304" s="1"/>
      <c r="J2304" s="1" t="str">
        <f ca="1">IFERROR(__xludf.DUMMYFUNCTION("""COMPUTED_VALUE"""),"0d 00h 00m")</f>
        <v>0d 00h 00m</v>
      </c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13.2">
      <c r="A2305" s="1">
        <f ca="1">IFERROR(__xludf.DUMMYFUNCTION("""COMPUTED_VALUE"""),121)</f>
        <v>121</v>
      </c>
      <c r="B2305" s="1" t="str">
        <f ca="1">IFERROR(__xludf.DUMMYFUNCTION("""COMPUTED_VALUE"""),"W3_KA04C5237_Tanker")</f>
        <v>W3_KA04C5237_Tanker</v>
      </c>
      <c r="C2305" s="1" t="str">
        <f ca="1">IFERROR(__xludf.DUMMYFUNCTION("""COMPUTED_VALUE"""),"w3_ka04d5237_tanker")</f>
        <v>w3_ka04d5237_tanker</v>
      </c>
      <c r="D2305" s="2">
        <f ca="1">IFERROR(__xludf.DUMMYFUNCTION("""COMPUTED_VALUE"""),44765)</f>
        <v>44765</v>
      </c>
      <c r="E2305" s="3">
        <f ca="1">IFERROR(__xludf.DUMMYFUNCTION("""COMPUTED_VALUE"""),0.616527777776354)</f>
        <v>0.61652777777635404</v>
      </c>
      <c r="F2305" s="1">
        <f ca="1">IFERROR(__xludf.DUMMYFUNCTION("""COMPUTED_VALUE"""),12897)</f>
        <v>12897</v>
      </c>
      <c r="G2305" s="1" t="str">
        <f ca="1">IFERROR(__xludf.DUMMYFUNCTION("""COMPUTED_VALUE"""),"12.9195/77.5223")</f>
        <v>12.9195/77.5223</v>
      </c>
      <c r="H2305" s="1" t="str">
        <f ca="1">IFERROR(__xludf.DUMMYFUNCTION("""COMPUTED_VALUE"""),"Kenchenahalli")</f>
        <v>Kenchenahalli</v>
      </c>
      <c r="I2305" s="1"/>
      <c r="J2305" s="1" t="str">
        <f ca="1">IFERROR(__xludf.DUMMYFUNCTION("""COMPUTED_VALUE"""),"0d 00h 00m")</f>
        <v>0d 00h 00m</v>
      </c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13.2">
      <c r="A2306" s="1">
        <f ca="1">IFERROR(__xludf.DUMMYFUNCTION("""COMPUTED_VALUE"""),187)</f>
        <v>187</v>
      </c>
      <c r="B2306" s="1" t="str">
        <f ca="1">IFERROR(__xludf.DUMMYFUNCTION("""COMPUTED_VALUE"""),"W3_KA04C5237_Tanker")</f>
        <v>W3_KA04C5237_Tanker</v>
      </c>
      <c r="C2306" s="1" t="str">
        <f ca="1">IFERROR(__xludf.DUMMYFUNCTION("""COMPUTED_VALUE"""),"w3_ka04d5237_tanker")</f>
        <v>w3_ka04d5237_tanker</v>
      </c>
      <c r="D2306" s="2">
        <f ca="1">IFERROR(__xludf.DUMMYFUNCTION("""COMPUTED_VALUE"""),44799)</f>
        <v>44799</v>
      </c>
      <c r="E2306" s="3">
        <f ca="1">IFERROR(__xludf.DUMMYFUNCTION("""COMPUTED_VALUE"""),0.999062499999126)</f>
        <v>0.999062499999126</v>
      </c>
      <c r="F2306" s="1">
        <f ca="1">IFERROR(__xludf.DUMMYFUNCTION("""COMPUTED_VALUE"""),12929)</f>
        <v>12929</v>
      </c>
      <c r="G2306" s="1" t="str">
        <f ca="1">IFERROR(__xludf.DUMMYFUNCTION("""COMPUTED_VALUE"""),"12.9197/77.5223")</f>
        <v>12.9197/77.5223</v>
      </c>
      <c r="H2306" s="1" t="str">
        <f ca="1">IFERROR(__xludf.DUMMYFUNCTION("""COMPUTED_VALUE"""),"Kenchenahalli")</f>
        <v>Kenchenahalli</v>
      </c>
      <c r="I2306" s="1"/>
      <c r="J2306" s="1" t="str">
        <f ca="1">IFERROR(__xludf.DUMMYFUNCTION("""COMPUTED_VALUE"""),"0d 00h 00m")</f>
        <v>0d 00h 00m</v>
      </c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13.2">
      <c r="A2307" s="1">
        <f ca="1">IFERROR(__xludf.DUMMYFUNCTION("""COMPUTED_VALUE"""),91)</f>
        <v>91</v>
      </c>
      <c r="B2307" s="1" t="str">
        <f ca="1">IFERROR(__xludf.DUMMYFUNCTION("""COMPUTED_VALUE"""),"W3_KA04C5237_Tanker")</f>
        <v>W3_KA04C5237_Tanker</v>
      </c>
      <c r="C2307" s="1" t="str">
        <f ca="1">IFERROR(__xludf.DUMMYFUNCTION("""COMPUTED_VALUE"""),"w3_ka04d5237_tanker")</f>
        <v>w3_ka04d5237_tanker</v>
      </c>
      <c r="D2307" s="2">
        <f ca="1">IFERROR(__xludf.DUMMYFUNCTION("""COMPUTED_VALUE"""),44815)</f>
        <v>44815</v>
      </c>
      <c r="E2307" s="3">
        <f ca="1">IFERROR(__xludf.DUMMYFUNCTION("""COMPUTED_VALUE"""),0.460601851853425)</f>
        <v>0.460601851853425</v>
      </c>
      <c r="F2307" s="1">
        <f ca="1">IFERROR(__xludf.DUMMYFUNCTION("""COMPUTED_VALUE"""),12971)</f>
        <v>12971</v>
      </c>
      <c r="G2307" s="1" t="str">
        <f ca="1">IFERROR(__xludf.DUMMYFUNCTION("""COMPUTED_VALUE"""),"12.9194/77.5224")</f>
        <v>12.9194/77.5224</v>
      </c>
      <c r="H2307" s="1" t="str">
        <f ca="1">IFERROR(__xludf.DUMMYFUNCTION("""COMPUTED_VALUE"""),"Kenchenahalli")</f>
        <v>Kenchenahalli</v>
      </c>
      <c r="I2307" s="1"/>
      <c r="J2307" s="1" t="str">
        <f ca="1">IFERROR(__xludf.DUMMYFUNCTION("""COMPUTED_VALUE"""),"0d 00h 00m")</f>
        <v>0d 00h 00m</v>
      </c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13.2">
      <c r="A2308" s="1">
        <f ca="1">IFERROR(__xludf.DUMMYFUNCTION("""COMPUTED_VALUE"""),116)</f>
        <v>116</v>
      </c>
      <c r="B2308" s="1" t="str">
        <f ca="1">IFERROR(__xludf.DUMMYFUNCTION("""COMPUTED_VALUE"""),"W3_KA04C5237_Tanker")</f>
        <v>W3_KA04C5237_Tanker</v>
      </c>
      <c r="C2308" s="1" t="str">
        <f ca="1">IFERROR(__xludf.DUMMYFUNCTION("""COMPUTED_VALUE"""),"w3_ka04d5237_tanker")</f>
        <v>w3_ka04d5237_tanker</v>
      </c>
      <c r="D2308" s="2">
        <f ca="1">IFERROR(__xludf.DUMMYFUNCTION("""COMPUTED_VALUE"""),44859)</f>
        <v>44859</v>
      </c>
      <c r="E2308" s="3">
        <f ca="1">IFERROR(__xludf.DUMMYFUNCTION("""COMPUTED_VALUE"""),0.916157407405989)</f>
        <v>0.91615740740598905</v>
      </c>
      <c r="F2308" s="1">
        <f ca="1">IFERROR(__xludf.DUMMYFUNCTION("""COMPUTED_VALUE"""),13036)</f>
        <v>13036</v>
      </c>
      <c r="G2308" s="1" t="str">
        <f ca="1">IFERROR(__xludf.DUMMYFUNCTION("""COMPUTED_VALUE"""),"12.9195/77.5225")</f>
        <v>12.9195/77.5225</v>
      </c>
      <c r="H2308" s="1" t="str">
        <f ca="1">IFERROR(__xludf.DUMMYFUNCTION("""COMPUTED_VALUE"""),"Kenchenahalli")</f>
        <v>Kenchenahalli</v>
      </c>
      <c r="I2308" s="1"/>
      <c r="J2308" s="1" t="str">
        <f ca="1">IFERROR(__xludf.DUMMYFUNCTION("""COMPUTED_VALUE"""),"0d 00h 00m")</f>
        <v>0d 00h 00m</v>
      </c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13.2">
      <c r="A2309" s="1">
        <f ca="1">IFERROR(__xludf.DUMMYFUNCTION("""COMPUTED_VALUE"""),203)</f>
        <v>203</v>
      </c>
      <c r="B2309" s="1" t="str">
        <f ca="1">IFERROR(__xludf.DUMMYFUNCTION("""COMPUTED_VALUE"""),"W3_KA04D4156_Jetting")</f>
        <v>W3_KA04D4156_Jetting</v>
      </c>
      <c r="C2309" s="1" t="str">
        <f ca="1">IFERROR(__xludf.DUMMYFUNCTION("""COMPUTED_VALUE"""),"w3_ka04d4156_jetting")</f>
        <v>w3_ka04d4156_jetting</v>
      </c>
      <c r="D2309" s="2">
        <f ca="1">IFERROR(__xludf.DUMMYFUNCTION("""COMPUTED_VALUE"""),44707)</f>
        <v>44707</v>
      </c>
      <c r="E2309" s="3">
        <f ca="1">IFERROR(__xludf.DUMMYFUNCTION("""COMPUTED_VALUE"""),0.99920138888774)</f>
        <v>0.99920138888774002</v>
      </c>
      <c r="F2309" s="1">
        <f ca="1">IFERROR(__xludf.DUMMYFUNCTION("""COMPUTED_VALUE"""),19537)</f>
        <v>19537</v>
      </c>
      <c r="G2309" s="1" t="str">
        <f ca="1">IFERROR(__xludf.DUMMYFUNCTION("""COMPUTED_VALUE"""),"12.9276/77.5157")</f>
        <v>12.9276/77.5157</v>
      </c>
      <c r="H2309" s="1" t="str">
        <f ca="1">IFERROR(__xludf.DUMMYFUNCTION("""COMPUTED_VALUE"""),"Kenchenahalli")</f>
        <v>Kenchenahalli</v>
      </c>
      <c r="I2309" s="1"/>
      <c r="J2309" s="1" t="str">
        <f ca="1">IFERROR(__xludf.DUMMYFUNCTION("""COMPUTED_VALUE"""),"0d 00h 00m")</f>
        <v>0d 00h 00m</v>
      </c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13.2">
      <c r="A2310" s="1">
        <f ca="1">IFERROR(__xludf.DUMMYFUNCTION("""COMPUTED_VALUE"""),189)</f>
        <v>189</v>
      </c>
      <c r="B2310" s="1" t="str">
        <f ca="1">IFERROR(__xludf.DUMMYFUNCTION("""COMPUTED_VALUE"""),"W3_KA04D4156_Jetting")</f>
        <v>W3_KA04D4156_Jetting</v>
      </c>
      <c r="C2310" s="1" t="str">
        <f ca="1">IFERROR(__xludf.DUMMYFUNCTION("""COMPUTED_VALUE"""),"w3_ka04d4156_jetting")</f>
        <v>w3_ka04d4156_jetting</v>
      </c>
      <c r="D2310" s="2">
        <f ca="1">IFERROR(__xludf.DUMMYFUNCTION("""COMPUTED_VALUE"""),44738)</f>
        <v>44738</v>
      </c>
      <c r="E2310" s="3">
        <f ca="1">IFERROR(__xludf.DUMMYFUNCTION("""COMPUTED_VALUE"""),0.999108796295331)</f>
        <v>0.999108796295331</v>
      </c>
      <c r="F2310" s="1">
        <f ca="1">IFERROR(__xludf.DUMMYFUNCTION("""COMPUTED_VALUE"""),19885)</f>
        <v>19885</v>
      </c>
      <c r="G2310" s="1" t="str">
        <f ca="1">IFERROR(__xludf.DUMMYFUNCTION("""COMPUTED_VALUE"""),"12.9275/77.5156")</f>
        <v>12.9275/77.5156</v>
      </c>
      <c r="H2310" s="1" t="str">
        <f ca="1">IFERROR(__xludf.DUMMYFUNCTION("""COMPUTED_VALUE"""),"Kenchenahalli")</f>
        <v>Kenchenahalli</v>
      </c>
      <c r="I2310" s="1"/>
      <c r="J2310" s="1" t="str">
        <f ca="1">IFERROR(__xludf.DUMMYFUNCTION("""COMPUTED_VALUE"""),"0d 00h 00m")</f>
        <v>0d 00h 00m</v>
      </c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13.2">
      <c r="A2311" s="1">
        <f ca="1">IFERROR(__xludf.DUMMYFUNCTION("""COMPUTED_VALUE"""),179)</f>
        <v>179</v>
      </c>
      <c r="B2311" s="1" t="str">
        <f ca="1">IFERROR(__xludf.DUMMYFUNCTION("""COMPUTED_VALUE"""),"W3_KA04D4156_Jetting")</f>
        <v>W3_KA04D4156_Jetting</v>
      </c>
      <c r="C2311" s="1" t="str">
        <f ca="1">IFERROR(__xludf.DUMMYFUNCTION("""COMPUTED_VALUE"""),"w3_ka04d4156_jetting")</f>
        <v>w3_ka04d4156_jetting</v>
      </c>
      <c r="D2311" s="2">
        <f ca="1">IFERROR(__xludf.DUMMYFUNCTION("""COMPUTED_VALUE"""),44768)</f>
        <v>44768</v>
      </c>
      <c r="E2311" s="3">
        <f ca="1">IFERROR(__xludf.DUMMYFUNCTION("""COMPUTED_VALUE"""),0.999027777776063)</f>
        <v>0.999027777776063</v>
      </c>
      <c r="F2311" s="1">
        <f ca="1">IFERROR(__xludf.DUMMYFUNCTION("""COMPUTED_VALUE"""),20184)</f>
        <v>20184</v>
      </c>
      <c r="G2311" s="1" t="str">
        <f ca="1">IFERROR(__xludf.DUMMYFUNCTION("""COMPUTED_VALUE"""),"12.9274/77.5153")</f>
        <v>12.9274/77.5153</v>
      </c>
      <c r="H2311" s="1" t="str">
        <f ca="1">IFERROR(__xludf.DUMMYFUNCTION("""COMPUTED_VALUE"""),"Kenchenahalli")</f>
        <v>Kenchenahalli</v>
      </c>
      <c r="I2311" s="1"/>
      <c r="J2311" s="1" t="str">
        <f ca="1">IFERROR(__xludf.DUMMYFUNCTION("""COMPUTED_VALUE"""),"0d 00h 00m")</f>
        <v>0d 00h 00m</v>
      </c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13.2">
      <c r="A2312" s="1">
        <f ca="1">IFERROR(__xludf.DUMMYFUNCTION("""COMPUTED_VALUE"""),217)</f>
        <v>217</v>
      </c>
      <c r="B2312" s="1" t="str">
        <f ca="1">IFERROR(__xludf.DUMMYFUNCTION("""COMPUTED_VALUE"""),"W3_KA04D4156_Jetting")</f>
        <v>W3_KA04D4156_Jetting</v>
      </c>
      <c r="C2312" s="1" t="str">
        <f ca="1">IFERROR(__xludf.DUMMYFUNCTION("""COMPUTED_VALUE"""),"w3_ka04d4156_jetting")</f>
        <v>w3_ka04d4156_jetting</v>
      </c>
      <c r="D2312" s="2">
        <f ca="1">IFERROR(__xludf.DUMMYFUNCTION("""COMPUTED_VALUE"""),44799)</f>
        <v>44799</v>
      </c>
      <c r="E2312" s="3">
        <f ca="1">IFERROR(__xludf.DUMMYFUNCTION("""COMPUTED_VALUE"""),0.999189814814599)</f>
        <v>0.99918981481459901</v>
      </c>
      <c r="F2312" s="1">
        <f ca="1">IFERROR(__xludf.DUMMYFUNCTION("""COMPUTED_VALUE"""),20525)</f>
        <v>20525</v>
      </c>
      <c r="G2312" s="1" t="str">
        <f ca="1">IFERROR(__xludf.DUMMYFUNCTION("""COMPUTED_VALUE"""),"12.9276/77.5156")</f>
        <v>12.9276/77.5156</v>
      </c>
      <c r="H2312" s="1" t="str">
        <f ca="1">IFERROR(__xludf.DUMMYFUNCTION("""COMPUTED_VALUE"""),"Kenchenahalli")</f>
        <v>Kenchenahalli</v>
      </c>
      <c r="I2312" s="1"/>
      <c r="J2312" s="1" t="str">
        <f ca="1">IFERROR(__xludf.DUMMYFUNCTION("""COMPUTED_VALUE"""),"0d 00h 00m")</f>
        <v>0d 00h 00m</v>
      </c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13.2">
      <c r="A2313" s="1">
        <f ca="1">IFERROR(__xludf.DUMMYFUNCTION("""COMPUTED_VALUE"""),222)</f>
        <v>222</v>
      </c>
      <c r="B2313" s="1" t="str">
        <f ca="1">IFERROR(__xludf.DUMMYFUNCTION("""COMPUTED_VALUE"""),"W3_KA04D4156_Jetting")</f>
        <v>W3_KA04D4156_Jetting</v>
      </c>
      <c r="C2313" s="1" t="str">
        <f ca="1">IFERROR(__xludf.DUMMYFUNCTION("""COMPUTED_VALUE"""),"w3_ka04d4156_jetting")</f>
        <v>w3_ka04d4156_jetting</v>
      </c>
      <c r="D2313" s="2">
        <f ca="1">IFERROR(__xludf.DUMMYFUNCTION("""COMPUTED_VALUE"""),44830)</f>
        <v>44830</v>
      </c>
      <c r="E2313" s="3">
        <f ca="1">IFERROR(__xludf.DUMMYFUNCTION("""COMPUTED_VALUE"""),0.999224537037662)</f>
        <v>0.99922453703766201</v>
      </c>
      <c r="F2313" s="1">
        <f ca="1">IFERROR(__xludf.DUMMYFUNCTION("""COMPUTED_VALUE"""),20988)</f>
        <v>20988</v>
      </c>
      <c r="G2313" s="1" t="str">
        <f ca="1">IFERROR(__xludf.DUMMYFUNCTION("""COMPUTED_VALUE"""),"12.9276/77.5156")</f>
        <v>12.9276/77.5156</v>
      </c>
      <c r="H2313" s="1" t="str">
        <f ca="1">IFERROR(__xludf.DUMMYFUNCTION("""COMPUTED_VALUE"""),"Kenchenahalli")</f>
        <v>Kenchenahalli</v>
      </c>
      <c r="I2313" s="1"/>
      <c r="J2313" s="1" t="str">
        <f ca="1">IFERROR(__xludf.DUMMYFUNCTION("""COMPUTED_VALUE"""),"0d 00h 00m")</f>
        <v>0d 00h 00m</v>
      </c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13.2">
      <c r="A2314" s="1">
        <f ca="1">IFERROR(__xludf.DUMMYFUNCTION("""COMPUTED_VALUE"""),96)</f>
        <v>96</v>
      </c>
      <c r="B2314" s="1" t="str">
        <f ca="1">IFERROR(__xludf.DUMMYFUNCTION("""COMPUTED_VALUE"""),"W3_KA04D4156_Jetting")</f>
        <v>W3_KA04D4156_Jetting</v>
      </c>
      <c r="C2314" s="1" t="str">
        <f ca="1">IFERROR(__xludf.DUMMYFUNCTION("""COMPUTED_VALUE"""),"w3_ka04d4156_jetting")</f>
        <v>w3_ka04d4156_jetting</v>
      </c>
      <c r="D2314" s="2">
        <f ca="1">IFERROR(__xludf.DUMMYFUNCTION("""COMPUTED_VALUE"""),44856)</f>
        <v>44856</v>
      </c>
      <c r="E2314" s="3">
        <f ca="1">IFERROR(__xludf.DUMMYFUNCTION("""COMPUTED_VALUE"""),0.0432523148156178)</f>
        <v>4.3252314815617803E-2</v>
      </c>
      <c r="F2314" s="1">
        <f ca="1">IFERROR(__xludf.DUMMYFUNCTION("""COMPUTED_VALUE"""),21210)</f>
        <v>21210</v>
      </c>
      <c r="G2314" s="1" t="str">
        <f ca="1">IFERROR(__xludf.DUMMYFUNCTION("""COMPUTED_VALUE"""),"12.9272/77.5161")</f>
        <v>12.9272/77.5161</v>
      </c>
      <c r="H2314" s="1" t="str">
        <f ca="1">IFERROR(__xludf.DUMMYFUNCTION("""COMPUTED_VALUE"""),"Kenchenahalli")</f>
        <v>Kenchenahalli</v>
      </c>
      <c r="I2314" s="1"/>
      <c r="J2314" s="1" t="str">
        <f ca="1">IFERROR(__xludf.DUMMYFUNCTION("""COMPUTED_VALUE"""),"0d 00h 00m")</f>
        <v>0d 00h 00m</v>
      </c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13.2">
      <c r="A2315" s="1">
        <f ca="1">IFERROR(__xludf.DUMMYFUNCTION("""COMPUTED_VALUE"""),225)</f>
        <v>225</v>
      </c>
      <c r="B2315" s="1" t="str">
        <f ca="1">IFERROR(__xludf.DUMMYFUNCTION("""COMPUTED_VALUE"""),"W3_KA04D5156_Jetting")</f>
        <v>W3_KA04D5156_Jetting</v>
      </c>
      <c r="C2315" s="1" t="str">
        <f ca="1">IFERROR(__xludf.DUMMYFUNCTION("""COMPUTED_VALUE"""),"w3_ka04d5156_jetting")</f>
        <v>w3_ka04d5156_jetting</v>
      </c>
      <c r="D2315" s="2">
        <f ca="1">IFERROR(__xludf.DUMMYFUNCTION("""COMPUTED_VALUE"""),44707)</f>
        <v>44707</v>
      </c>
      <c r="E2315" s="3">
        <f ca="1">IFERROR(__xludf.DUMMYFUNCTION("""COMPUTED_VALUE"""),0.99929398148015)</f>
        <v>0.99929398148015003</v>
      </c>
      <c r="F2315" s="1">
        <f ca="1">IFERROR(__xludf.DUMMYFUNCTION("""COMPUTED_VALUE"""),1609344)</f>
        <v>1609344</v>
      </c>
      <c r="G2315" s="1" t="str">
        <f ca="1">IFERROR(__xludf.DUMMYFUNCTION("""COMPUTED_VALUE"""),"12.9192/77.5221")</f>
        <v>12.9192/77.5221</v>
      </c>
      <c r="H2315" s="1" t="str">
        <f ca="1">IFERROR(__xludf.DUMMYFUNCTION("""COMPUTED_VALUE"""),"Kenchenahalli")</f>
        <v>Kenchenahalli</v>
      </c>
      <c r="I2315" s="1"/>
      <c r="J2315" s="1" t="str">
        <f ca="1">IFERROR(__xludf.DUMMYFUNCTION("""COMPUTED_VALUE"""),"0d 00h 00m")</f>
        <v>0d 00h 00m</v>
      </c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13.2">
      <c r="A2316" s="1">
        <f ca="1">IFERROR(__xludf.DUMMYFUNCTION("""COMPUTED_VALUE"""),139)</f>
        <v>139</v>
      </c>
      <c r="B2316" s="1" t="str">
        <f ca="1">IFERROR(__xludf.DUMMYFUNCTION("""COMPUTED_VALUE"""),"W3_KA04D5156_Jetting")</f>
        <v>W3_KA04D5156_Jetting</v>
      </c>
      <c r="C2316" s="1" t="str">
        <f ca="1">IFERROR(__xludf.DUMMYFUNCTION("""COMPUTED_VALUE"""),"w3_ka04d5156_jetting")</f>
        <v>w3_ka04d5156_jetting</v>
      </c>
      <c r="D2316" s="2">
        <f ca="1">IFERROR(__xludf.DUMMYFUNCTION("""COMPUTED_VALUE"""),44737)</f>
        <v>44737</v>
      </c>
      <c r="E2316" s="3">
        <f ca="1">IFERROR(__xludf.DUMMYFUNCTION("""COMPUTED_VALUE"""),0.940925925926421)</f>
        <v>0.94092592592642099</v>
      </c>
      <c r="F2316" s="1">
        <f ca="1">IFERROR(__xludf.DUMMYFUNCTION("""COMPUTED_VALUE"""),1609344)</f>
        <v>1609344</v>
      </c>
      <c r="G2316" s="1" t="str">
        <f ca="1">IFERROR(__xludf.DUMMYFUNCTION("""COMPUTED_VALUE"""),"12.9196/77.5218")</f>
        <v>12.9196/77.5218</v>
      </c>
      <c r="H2316" s="1" t="str">
        <f ca="1">IFERROR(__xludf.DUMMYFUNCTION("""COMPUTED_VALUE"""),"Kenchenahalli")</f>
        <v>Kenchenahalli</v>
      </c>
      <c r="I2316" s="1"/>
      <c r="J2316" s="1" t="str">
        <f ca="1">IFERROR(__xludf.DUMMYFUNCTION("""COMPUTED_VALUE"""),"0d 00h 00m")</f>
        <v>0d 00h 00m</v>
      </c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13.2">
      <c r="A2317" s="1">
        <f ca="1">IFERROR(__xludf.DUMMYFUNCTION("""COMPUTED_VALUE"""),92)</f>
        <v>92</v>
      </c>
      <c r="B2317" s="1" t="str">
        <f ca="1">IFERROR(__xludf.DUMMYFUNCTION("""COMPUTED_VALUE"""),"W3_KA04D5156_Jetting")</f>
        <v>W3_KA04D5156_Jetting</v>
      </c>
      <c r="C2317" s="1" t="str">
        <f ca="1">IFERROR(__xludf.DUMMYFUNCTION("""COMPUTED_VALUE"""),"w3_ka04d5156_jetting")</f>
        <v>w3_ka04d5156_jetting</v>
      </c>
      <c r="D2317" s="2">
        <f ca="1">IFERROR(__xludf.DUMMYFUNCTION("""COMPUTED_VALUE"""),44754)</f>
        <v>44754</v>
      </c>
      <c r="E2317" s="3">
        <f ca="1">IFERROR(__xludf.DUMMYFUNCTION("""COMPUTED_VALUE"""),0.664988425927731)</f>
        <v>0.664988425927731</v>
      </c>
      <c r="F2317" s="1">
        <f ca="1">IFERROR(__xludf.DUMMYFUNCTION("""COMPUTED_VALUE"""),1609344)</f>
        <v>1609344</v>
      </c>
      <c r="G2317" s="1" t="str">
        <f ca="1">IFERROR(__xludf.DUMMYFUNCTION("""COMPUTED_VALUE"""),"12.9188/77.5202")</f>
        <v>12.9188/77.5202</v>
      </c>
      <c r="H2317" s="1" t="str">
        <f ca="1">IFERROR(__xludf.DUMMYFUNCTION("""COMPUTED_VALUE"""),"Rajarajeshwari Nagar")</f>
        <v>Rajarajeshwari Nagar</v>
      </c>
      <c r="I2317" s="1"/>
      <c r="J2317" s="1" t="str">
        <f ca="1">IFERROR(__xludf.DUMMYFUNCTION("""COMPUTED_VALUE"""),"0d 00h 00m")</f>
        <v>0d 00h 00m</v>
      </c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13.2">
      <c r="A2318" s="1">
        <f ca="1">IFERROR(__xludf.DUMMYFUNCTION("""COMPUTED_VALUE"""),123)</f>
        <v>123</v>
      </c>
      <c r="B2318" s="1" t="str">
        <f ca="1">IFERROR(__xludf.DUMMYFUNCTION("""COMPUTED_VALUE"""),"W3_KA04D5156_Jetting")</f>
        <v>W3_KA04D5156_Jetting</v>
      </c>
      <c r="C2318" s="1" t="str">
        <f ca="1">IFERROR(__xludf.DUMMYFUNCTION("""COMPUTED_VALUE"""),"w3_ka04d5156_jetting")</f>
        <v>w3_ka04d5156_jetting</v>
      </c>
      <c r="D2318" s="2">
        <f ca="1">IFERROR(__xludf.DUMMYFUNCTION("""COMPUTED_VALUE"""),44793)</f>
        <v>44793</v>
      </c>
      <c r="E2318" s="3">
        <f ca="1">IFERROR(__xludf.DUMMYFUNCTION("""COMPUTED_VALUE"""),0.721226851852407)</f>
        <v>0.72122685185240698</v>
      </c>
      <c r="F2318" s="1">
        <f ca="1">IFERROR(__xludf.DUMMYFUNCTION("""COMPUTED_VALUE"""),1609344)</f>
        <v>1609344</v>
      </c>
      <c r="G2318" s="1" t="str">
        <f ca="1">IFERROR(__xludf.DUMMYFUNCTION("""COMPUTED_VALUE"""),"12.9174/77.5200")</f>
        <v>12.9174/77.5200</v>
      </c>
      <c r="H2318" s="1" t="str">
        <f ca="1">IFERROR(__xludf.DUMMYFUNCTION("""COMPUTED_VALUE"""),"Rajarajeshwari Nagar")</f>
        <v>Rajarajeshwari Nagar</v>
      </c>
      <c r="I2318" s="1"/>
      <c r="J2318" s="1" t="str">
        <f ca="1">IFERROR(__xludf.DUMMYFUNCTION("""COMPUTED_VALUE"""),"0d 00h 00m")</f>
        <v>0d 00h 00m</v>
      </c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13.2">
      <c r="A2319" s="1">
        <f ca="1">IFERROR(__xludf.DUMMYFUNCTION("""COMPUTED_VALUE"""),81)</f>
        <v>81</v>
      </c>
      <c r="B2319" s="1" t="str">
        <f ca="1">IFERROR(__xludf.DUMMYFUNCTION("""COMPUTED_VALUE"""),"W3_KA04D5156_Jetting")</f>
        <v>W3_KA04D5156_Jetting</v>
      </c>
      <c r="C2319" s="1" t="str">
        <f ca="1">IFERROR(__xludf.DUMMYFUNCTION("""COMPUTED_VALUE"""),"w3_ka04d5156_jetting")</f>
        <v>w3_ka04d5156_jetting</v>
      </c>
      <c r="D2319" s="2">
        <f ca="1">IFERROR(__xludf.DUMMYFUNCTION("""COMPUTED_VALUE"""),44793)</f>
        <v>44793</v>
      </c>
      <c r="E2319" s="3">
        <f ca="1">IFERROR(__xludf.DUMMYFUNCTION("""COMPUTED_VALUE"""),0.721226851852407)</f>
        <v>0.72122685185240698</v>
      </c>
      <c r="F2319" s="1">
        <f ca="1">IFERROR(__xludf.DUMMYFUNCTION("""COMPUTED_VALUE"""),1609344)</f>
        <v>1609344</v>
      </c>
      <c r="G2319" s="1" t="str">
        <f ca="1">IFERROR(__xludf.DUMMYFUNCTION("""COMPUTED_VALUE"""),"12.9174/77.5200")</f>
        <v>12.9174/77.5200</v>
      </c>
      <c r="H2319" s="1" t="str">
        <f ca="1">IFERROR(__xludf.DUMMYFUNCTION("""COMPUTED_VALUE"""),"Rajarajeshwari Nagar")</f>
        <v>Rajarajeshwari Nagar</v>
      </c>
      <c r="I2319" s="1"/>
      <c r="J2319" s="1" t="str">
        <f ca="1">IFERROR(__xludf.DUMMYFUNCTION("""COMPUTED_VALUE"""),"0d 00h 00m")</f>
        <v>0d 00h 00m</v>
      </c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13.2">
      <c r="A2320" s="1">
        <f ca="1">IFERROR(__xludf.DUMMYFUNCTION("""COMPUTED_VALUE"""),213)</f>
        <v>213</v>
      </c>
      <c r="B2320" s="1" t="str">
        <f ca="1">IFERROR(__xludf.DUMMYFUNCTION("""COMPUTED_VALUE"""),"W3_KA04D5156_Jetting")</f>
        <v>W3_KA04D5156_Jetting</v>
      </c>
      <c r="C2320" s="1" t="str">
        <f ca="1">IFERROR(__xludf.DUMMYFUNCTION("""COMPUTED_VALUE"""),"w3_ka04d5156_jetting")</f>
        <v>w3_ka04d5156_jetting</v>
      </c>
      <c r="D2320" s="2">
        <f ca="1">IFERROR(__xludf.DUMMYFUNCTION("""COMPUTED_VALUE"""),44860)</f>
        <v>44860</v>
      </c>
      <c r="E2320" s="3">
        <f ca="1">IFERROR(__xludf.DUMMYFUNCTION("""COMPUTED_VALUE"""),0.99920138888774)</f>
        <v>0.99920138888774002</v>
      </c>
      <c r="F2320" s="1">
        <f ca="1">IFERROR(__xludf.DUMMYFUNCTION("""COMPUTED_VALUE"""),1609344)</f>
        <v>1609344</v>
      </c>
      <c r="G2320" s="1" t="str">
        <f ca="1">IFERROR(__xludf.DUMMYFUNCTION("""COMPUTED_VALUE"""),"12.9193/77.5224")</f>
        <v>12.9193/77.5224</v>
      </c>
      <c r="H2320" s="1" t="str">
        <f ca="1">IFERROR(__xludf.DUMMYFUNCTION("""COMPUTED_VALUE"""),"Kenchenahalli")</f>
        <v>Kenchenahalli</v>
      </c>
      <c r="I2320" s="1"/>
      <c r="J2320" s="1" t="str">
        <f ca="1">IFERROR(__xludf.DUMMYFUNCTION("""COMPUTED_VALUE"""),"0d 00h 00m")</f>
        <v>0d 00h 00m</v>
      </c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13.2">
      <c r="A2321" s="1">
        <f ca="1">IFERROR(__xludf.DUMMYFUNCTION("""COMPUTED_VALUE"""),172)</f>
        <v>172</v>
      </c>
      <c r="B2321" s="1" t="str">
        <f ca="1">IFERROR(__xludf.DUMMYFUNCTION("""COMPUTED_VALUE"""),"W3_KA04D5305_Tanker")</f>
        <v>W3_KA04D5305_Tanker</v>
      </c>
      <c r="C2321" s="1" t="str">
        <f ca="1">IFERROR(__xludf.DUMMYFUNCTION("""COMPUTED_VALUE"""),"w3_ka04d5305_tanker")</f>
        <v>w3_ka04d5305_tanker</v>
      </c>
      <c r="D2321" s="2">
        <f ca="1">IFERROR(__xludf.DUMMYFUNCTION("""COMPUTED_VALUE"""),44707)</f>
        <v>44707</v>
      </c>
      <c r="E2321" s="3">
        <f ca="1">IFERROR(__xludf.DUMMYFUNCTION("""COMPUTED_VALUE"""),0.999050925925985)</f>
        <v>0.99905092592598499</v>
      </c>
      <c r="F2321" s="1">
        <f ca="1">IFERROR(__xludf.DUMMYFUNCTION("""COMPUTED_VALUE"""),3247)</f>
        <v>3247</v>
      </c>
      <c r="G2321" s="1" t="str">
        <f ca="1">IFERROR(__xludf.DUMMYFUNCTION("""COMPUTED_VALUE"""),"12.9228/77.4833")</f>
        <v>12.9228/77.4833</v>
      </c>
      <c r="H2321" s="1" t="str">
        <f ca="1">IFERROR(__xludf.DUMMYFUNCTION("""COMPUTED_VALUE"""),"Kengeri Satellite Town")</f>
        <v>Kengeri Satellite Town</v>
      </c>
      <c r="I2321" s="1"/>
      <c r="J2321" s="1" t="str">
        <f ca="1">IFERROR(__xludf.DUMMYFUNCTION("""COMPUTED_VALUE"""),"0d 00h 00m")</f>
        <v>0d 00h 00m</v>
      </c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13.2">
      <c r="A2322" s="1">
        <f ca="1">IFERROR(__xludf.DUMMYFUNCTION("""COMPUTED_VALUE"""),136)</f>
        <v>136</v>
      </c>
      <c r="B2322" s="1" t="str">
        <f ca="1">IFERROR(__xludf.DUMMYFUNCTION("""COMPUTED_VALUE"""),"W3_KA04D5305_Tanker")</f>
        <v>W3_KA04D5305_Tanker</v>
      </c>
      <c r="C2322" s="1" t="str">
        <f ca="1">IFERROR(__xludf.DUMMYFUNCTION("""COMPUTED_VALUE"""),"w3_ka04d5305_tanker")</f>
        <v>w3_ka04d5305_tanker</v>
      </c>
      <c r="D2322" s="2">
        <f ca="1">IFERROR(__xludf.DUMMYFUNCTION("""COMPUTED_VALUE"""),44737)</f>
        <v>44737</v>
      </c>
      <c r="E2322" s="3">
        <f ca="1">IFERROR(__xludf.DUMMYFUNCTION("""COMPUTED_VALUE"""),0.790682870370801)</f>
        <v>0.79068287037080098</v>
      </c>
      <c r="F2322" s="1">
        <f ca="1">IFERROR(__xludf.DUMMYFUNCTION("""COMPUTED_VALUE"""),3264)</f>
        <v>3264</v>
      </c>
      <c r="G2322" s="1" t="str">
        <f ca="1">IFERROR(__xludf.DUMMYFUNCTION("""COMPUTED_VALUE"""),"12.9870/77.4784")</f>
        <v>12.9870/77.4784</v>
      </c>
      <c r="H2322" s="1" t="str">
        <f ca="1">IFERROR(__xludf.DUMMYFUNCTION("""COMPUTED_VALUE"""),"Cachohalli")</f>
        <v>Cachohalli</v>
      </c>
      <c r="I2322" s="1"/>
      <c r="J2322" s="1" t="str">
        <f ca="1">IFERROR(__xludf.DUMMYFUNCTION("""COMPUTED_VALUE"""),"0d 00h 00m")</f>
        <v>0d 00h 00m</v>
      </c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13.2">
      <c r="A2323" s="1">
        <f ca="1">IFERROR(__xludf.DUMMYFUNCTION("""COMPUTED_VALUE"""),123)</f>
        <v>123</v>
      </c>
      <c r="B2323" s="1" t="str">
        <f ca="1">IFERROR(__xludf.DUMMYFUNCTION("""COMPUTED_VALUE"""),"W3_KA04D5305_Tanker")</f>
        <v>W3_KA04D5305_Tanker</v>
      </c>
      <c r="C2323" s="1" t="str">
        <f ca="1">IFERROR(__xludf.DUMMYFUNCTION("""COMPUTED_VALUE"""),"w3_ka04d5305_tanker")</f>
        <v>w3_ka04d5305_tanker</v>
      </c>
      <c r="D2323" s="2">
        <f ca="1">IFERROR(__xludf.DUMMYFUNCTION("""COMPUTED_VALUE"""),44766)</f>
        <v>44766</v>
      </c>
      <c r="E2323" s="3">
        <f ca="1">IFERROR(__xludf.DUMMYFUNCTION("""COMPUTED_VALUE"""),0.144004629630217)</f>
        <v>0.14400462963021701</v>
      </c>
      <c r="F2323" s="1">
        <f ca="1">IFERROR(__xludf.DUMMYFUNCTION("""COMPUTED_VALUE"""),3265)</f>
        <v>3265</v>
      </c>
      <c r="G2323" s="1" t="str">
        <f ca="1">IFERROR(__xludf.DUMMYFUNCTION("""COMPUTED_VALUE"""),"12.9870/77.4787")</f>
        <v>12.9870/77.4787</v>
      </c>
      <c r="H2323" s="1" t="str">
        <f ca="1">IFERROR(__xludf.DUMMYFUNCTION("""COMPUTED_VALUE"""),"Cachohalli")</f>
        <v>Cachohalli</v>
      </c>
      <c r="I2323" s="1"/>
      <c r="J2323" s="1" t="str">
        <f ca="1">IFERROR(__xludf.DUMMYFUNCTION("""COMPUTED_VALUE"""),"0d 00h 00m")</f>
        <v>0d 00h 00m</v>
      </c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13.2">
      <c r="A2324" s="1">
        <f ca="1">IFERROR(__xludf.DUMMYFUNCTION("""COMPUTED_VALUE"""),108)</f>
        <v>108</v>
      </c>
      <c r="B2324" s="1" t="str">
        <f ca="1">IFERROR(__xludf.DUMMYFUNCTION("""COMPUTED_VALUE"""),"W3_KA04D5305_Tanker")</f>
        <v>W3_KA04D5305_Tanker</v>
      </c>
      <c r="C2324" s="1" t="str">
        <f ca="1">IFERROR(__xludf.DUMMYFUNCTION("""COMPUTED_VALUE"""),"w3_ka04d5305_tanker")</f>
        <v>w3_ka04d5305_tanker</v>
      </c>
      <c r="D2324" s="2">
        <f ca="1">IFERROR(__xludf.DUMMYFUNCTION("""COMPUTED_VALUE"""),44785)</f>
        <v>44785</v>
      </c>
      <c r="E2324" s="3">
        <f ca="1">IFERROR(__xludf.DUMMYFUNCTION("""COMPUTED_VALUE"""),0.356701388889632)</f>
        <v>0.35670138888963199</v>
      </c>
      <c r="F2324" s="1">
        <f ca="1">IFERROR(__xludf.DUMMYFUNCTION("""COMPUTED_VALUE"""),3433)</f>
        <v>3433</v>
      </c>
      <c r="G2324" s="1" t="str">
        <f ca="1">IFERROR(__xludf.DUMMYFUNCTION("""COMPUTED_VALUE"""),"12.9212/77.4828")</f>
        <v>12.9212/77.4828</v>
      </c>
      <c r="H2324" s="1" t="str">
        <f ca="1">IFERROR(__xludf.DUMMYFUNCTION("""COMPUTED_VALUE"""),"Kengeri Satellite Town")</f>
        <v>Kengeri Satellite Town</v>
      </c>
      <c r="I2324" s="1"/>
      <c r="J2324" s="1" t="str">
        <f ca="1">IFERROR(__xludf.DUMMYFUNCTION("""COMPUTED_VALUE"""),"0d 00h 00m")</f>
        <v>0d 00h 00m</v>
      </c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13.2">
      <c r="A2325" s="1">
        <f ca="1">IFERROR(__xludf.DUMMYFUNCTION("""COMPUTED_VALUE"""),70)</f>
        <v>70</v>
      </c>
      <c r="B2325" s="1" t="str">
        <f ca="1">IFERROR(__xludf.DUMMYFUNCTION("""COMPUTED_VALUE"""),"W3_KA04D5305_Tanker")</f>
        <v>W3_KA04D5305_Tanker</v>
      </c>
      <c r="C2325" s="1" t="str">
        <f ca="1">IFERROR(__xludf.DUMMYFUNCTION("""COMPUTED_VALUE"""),"w3_ka04d5305_tanker")</f>
        <v>w3_ka04d5305_tanker</v>
      </c>
      <c r="D2325" s="2">
        <f ca="1">IFERROR(__xludf.DUMMYFUNCTION("""COMPUTED_VALUE"""),44785)</f>
        <v>44785</v>
      </c>
      <c r="E2325" s="3">
        <f ca="1">IFERROR(__xludf.DUMMYFUNCTION("""COMPUTED_VALUE"""),0.356701388889632)</f>
        <v>0.35670138888963199</v>
      </c>
      <c r="F2325" s="1">
        <f ca="1">IFERROR(__xludf.DUMMYFUNCTION("""COMPUTED_VALUE"""),3433)</f>
        <v>3433</v>
      </c>
      <c r="G2325" s="1" t="str">
        <f ca="1">IFERROR(__xludf.DUMMYFUNCTION("""COMPUTED_VALUE"""),"12.9212/77.4828")</f>
        <v>12.9212/77.4828</v>
      </c>
      <c r="H2325" s="1" t="str">
        <f ca="1">IFERROR(__xludf.DUMMYFUNCTION("""COMPUTED_VALUE"""),"Kengeri Satellite Town")</f>
        <v>Kengeri Satellite Town</v>
      </c>
      <c r="I2325" s="1"/>
      <c r="J2325" s="1" t="str">
        <f ca="1">IFERROR(__xludf.DUMMYFUNCTION("""COMPUTED_VALUE"""),"0d 00h 00m")</f>
        <v>0d 00h 00m</v>
      </c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13.2">
      <c r="A2326" s="1">
        <f ca="1">IFERROR(__xludf.DUMMYFUNCTION("""COMPUTED_VALUE"""),141)</f>
        <v>141</v>
      </c>
      <c r="B2326" s="1" t="str">
        <f ca="1">IFERROR(__xludf.DUMMYFUNCTION("""COMPUTED_VALUE"""),"W3_KA04D5305_Tanker")</f>
        <v>W3_KA04D5305_Tanker</v>
      </c>
      <c r="C2326" s="1" t="str">
        <f ca="1">IFERROR(__xludf.DUMMYFUNCTION("""COMPUTED_VALUE"""),"w3_ka04d5305_tanker")</f>
        <v>w3_ka04d5305_tanker</v>
      </c>
      <c r="D2326" s="2">
        <f ca="1">IFERROR(__xludf.DUMMYFUNCTION("""COMPUTED_VALUE"""),44860)</f>
        <v>44860</v>
      </c>
      <c r="E2326" s="3">
        <f ca="1">IFERROR(__xludf.DUMMYFUNCTION("""COMPUTED_VALUE"""),0.72276620370394)</f>
        <v>0.72276620370393996</v>
      </c>
      <c r="F2326" s="1">
        <f ca="1">IFERROR(__xludf.DUMMYFUNCTION("""COMPUTED_VALUE"""),3542)</f>
        <v>3542</v>
      </c>
      <c r="G2326" s="1" t="str">
        <f ca="1">IFERROR(__xludf.DUMMYFUNCTION("""COMPUTED_VALUE"""),"12.9228/77.4834")</f>
        <v>12.9228/77.4834</v>
      </c>
      <c r="H2326" s="1" t="str">
        <f ca="1">IFERROR(__xludf.DUMMYFUNCTION("""COMPUTED_VALUE"""),"Kengeri Satellite Town")</f>
        <v>Kengeri Satellite Town</v>
      </c>
      <c r="I2326" s="1"/>
      <c r="J2326" s="1" t="str">
        <f ca="1">IFERROR(__xludf.DUMMYFUNCTION("""COMPUTED_VALUE"""),"0d 00h 00m")</f>
        <v>0d 00h 00m</v>
      </c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13.2">
      <c r="A2327" s="1">
        <f ca="1">IFERROR(__xludf.DUMMYFUNCTION("""COMPUTED_VALUE"""),231)</f>
        <v>231</v>
      </c>
      <c r="B2327" s="1" t="str">
        <f ca="1">IFERROR(__xludf.DUMMYFUNCTION("""COMPUTED_VALUE"""),"W4_KA02D3152_Tanker")</f>
        <v>W4_KA02D3152_Tanker</v>
      </c>
      <c r="C2327" s="1" t="str">
        <f ca="1">IFERROR(__xludf.DUMMYFUNCTION("""COMPUTED_VALUE"""),"w4_ka02d3152_tanker")</f>
        <v>w4_ka02d3152_tanker</v>
      </c>
      <c r="D2327" s="2">
        <f ca="1">IFERROR(__xludf.DUMMYFUNCTION("""COMPUTED_VALUE"""),44707)</f>
        <v>44707</v>
      </c>
      <c r="E2327" s="3">
        <f ca="1">IFERROR(__xludf.DUMMYFUNCTION("""COMPUTED_VALUE"""),0.999317129630071)</f>
        <v>0.99931712963007102</v>
      </c>
      <c r="F2327" s="1">
        <f ca="1">IFERROR(__xludf.DUMMYFUNCTION("""COMPUTED_VALUE"""),1609344)</f>
        <v>1609344</v>
      </c>
      <c r="G2327" s="1" t="str">
        <f ca="1">IFERROR(__xludf.DUMMYFUNCTION("""COMPUTED_VALUE"""),"12.9553/77.5292")</f>
        <v>12.9553/77.5292</v>
      </c>
      <c r="H2327" s="1" t="str">
        <f ca="1">IFERROR(__xludf.DUMMYFUNCTION("""COMPUTED_VALUE"""),"B.C.C Layout")</f>
        <v>B.C.C Layout</v>
      </c>
      <c r="I2327" s="1"/>
      <c r="J2327" s="1" t="str">
        <f ca="1">IFERROR(__xludf.DUMMYFUNCTION("""COMPUTED_VALUE"""),"0d 00h 00m")</f>
        <v>0d 00h 00m</v>
      </c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13.2">
      <c r="A2328" s="1">
        <f ca="1">IFERROR(__xludf.DUMMYFUNCTION("""COMPUTED_VALUE"""),215)</f>
        <v>215</v>
      </c>
      <c r="B2328" s="1" t="str">
        <f ca="1">IFERROR(__xludf.DUMMYFUNCTION("""COMPUTED_VALUE"""),"W4_KA02D3152_Tanker")</f>
        <v>W4_KA02D3152_Tanker</v>
      </c>
      <c r="C2328" s="1" t="str">
        <f ca="1">IFERROR(__xludf.DUMMYFUNCTION("""COMPUTED_VALUE"""),"w4_ka02d3152_tanker")</f>
        <v>w4_ka02d3152_tanker</v>
      </c>
      <c r="D2328" s="2">
        <f ca="1">IFERROR(__xludf.DUMMYFUNCTION("""COMPUTED_VALUE"""),44738)</f>
        <v>44738</v>
      </c>
      <c r="E2328" s="3">
        <f ca="1">IFERROR(__xludf.DUMMYFUNCTION("""COMPUTED_VALUE"""),0.99920138888774)</f>
        <v>0.99920138888774002</v>
      </c>
      <c r="F2328" s="1">
        <f ca="1">IFERROR(__xludf.DUMMYFUNCTION("""COMPUTED_VALUE"""),1609344)</f>
        <v>1609344</v>
      </c>
      <c r="G2328" s="1" t="str">
        <f ca="1">IFERROR(__xludf.DUMMYFUNCTION("""COMPUTED_VALUE"""),"12.9554/77.5292")</f>
        <v>12.9554/77.5292</v>
      </c>
      <c r="H2328" s="1" t="str">
        <f ca="1">IFERROR(__xludf.DUMMYFUNCTION("""COMPUTED_VALUE"""),"B.C.C Layout")</f>
        <v>B.C.C Layout</v>
      </c>
      <c r="I2328" s="1"/>
      <c r="J2328" s="1" t="str">
        <f ca="1">IFERROR(__xludf.DUMMYFUNCTION("""COMPUTED_VALUE"""),"0d 00h 00m")</f>
        <v>0d 00h 00m</v>
      </c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13.2">
      <c r="A2329" s="1">
        <f ca="1">IFERROR(__xludf.DUMMYFUNCTION("""COMPUTED_VALUE"""),124)</f>
        <v>124</v>
      </c>
      <c r="B2329" s="1" t="str">
        <f ca="1">IFERROR(__xludf.DUMMYFUNCTION("""COMPUTED_VALUE"""),"W4_KA02D3152_Tanker")</f>
        <v>W4_KA02D3152_Tanker</v>
      </c>
      <c r="C2329" s="1" t="str">
        <f ca="1">IFERROR(__xludf.DUMMYFUNCTION("""COMPUTED_VALUE"""),"w4_ka02d3152_tanker")</f>
        <v>w4_ka02d3152_tanker</v>
      </c>
      <c r="D2329" s="2">
        <f ca="1">IFERROR(__xludf.DUMMYFUNCTION("""COMPUTED_VALUE"""),44766)</f>
        <v>44766</v>
      </c>
      <c r="E2329" s="3">
        <f ca="1">IFERROR(__xludf.DUMMYFUNCTION("""COMPUTED_VALUE"""),0.76672453703577)</f>
        <v>0.76672453703577004</v>
      </c>
      <c r="F2329" s="1">
        <f ca="1">IFERROR(__xludf.DUMMYFUNCTION("""COMPUTED_VALUE"""),1609344)</f>
        <v>1609344</v>
      </c>
      <c r="G2329" s="1" t="str">
        <f ca="1">IFERROR(__xludf.DUMMYFUNCTION("""COMPUTED_VALUE"""),"13.0101/77.5664")</f>
        <v>13.0101/77.5664</v>
      </c>
      <c r="H2329" s="1" t="str">
        <f ca="1">IFERROR(__xludf.DUMMYFUNCTION("""COMPUTED_VALUE"""),"Malleshwaram")</f>
        <v>Malleshwaram</v>
      </c>
      <c r="I2329" s="1"/>
      <c r="J2329" s="1" t="str">
        <f ca="1">IFERROR(__xludf.DUMMYFUNCTION("""COMPUTED_VALUE"""),"0d 00h 00m")</f>
        <v>0d 00h 00m</v>
      </c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13.2">
      <c r="A2330" s="1">
        <f ca="1">IFERROR(__xludf.DUMMYFUNCTION("""COMPUTED_VALUE"""),202)</f>
        <v>202</v>
      </c>
      <c r="B2330" s="1" t="str">
        <f ca="1">IFERROR(__xludf.DUMMYFUNCTION("""COMPUTED_VALUE"""),"W4_KA02D3152_Tanker")</f>
        <v>W4_KA02D3152_Tanker</v>
      </c>
      <c r="C2330" s="1" t="str">
        <f ca="1">IFERROR(__xludf.DUMMYFUNCTION("""COMPUTED_VALUE"""),"w4_ka02d3152_tanker")</f>
        <v>w4_ka02d3152_tanker</v>
      </c>
      <c r="D2330" s="2">
        <f ca="1">IFERROR(__xludf.DUMMYFUNCTION("""COMPUTED_VALUE"""),44799)</f>
        <v>44799</v>
      </c>
      <c r="E2330" s="3">
        <f ca="1">IFERROR(__xludf.DUMMYFUNCTION("""COMPUTED_VALUE"""),0.999131944445252)</f>
        <v>0.999131944445252</v>
      </c>
      <c r="F2330" s="1">
        <f ca="1">IFERROR(__xludf.DUMMYFUNCTION("""COMPUTED_VALUE"""),1609344)</f>
        <v>1609344</v>
      </c>
      <c r="G2330" s="1" t="str">
        <f ca="1">IFERROR(__xludf.DUMMYFUNCTION("""COMPUTED_VALUE"""),"12.9554/77.5291")</f>
        <v>12.9554/77.5291</v>
      </c>
      <c r="H2330" s="1" t="str">
        <f ca="1">IFERROR(__xludf.DUMMYFUNCTION("""COMPUTED_VALUE"""),"B.C.C Layout")</f>
        <v>B.C.C Layout</v>
      </c>
      <c r="I2330" s="1"/>
      <c r="J2330" s="1" t="str">
        <f ca="1">IFERROR(__xludf.DUMMYFUNCTION("""COMPUTED_VALUE"""),"0d 00h 00m")</f>
        <v>0d 00h 00m</v>
      </c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13.2">
      <c r="A2331" s="1">
        <f ca="1">IFERROR(__xludf.DUMMYFUNCTION("""COMPUTED_VALUE"""),138)</f>
        <v>138</v>
      </c>
      <c r="B2331" s="1" t="str">
        <f ca="1">IFERROR(__xludf.DUMMYFUNCTION("""COMPUTED_VALUE"""),"W4_KA02D3152_Tanker")</f>
        <v>W4_KA02D3152_Tanker</v>
      </c>
      <c r="C2331" s="1" t="str">
        <f ca="1">IFERROR(__xludf.DUMMYFUNCTION("""COMPUTED_VALUE"""),"w4_ka02d3152_tanker")</f>
        <v>w4_ka02d3152_tanker</v>
      </c>
      <c r="D2331" s="2">
        <f ca="1">IFERROR(__xludf.DUMMYFUNCTION("""COMPUTED_VALUE"""),44829)</f>
        <v>44829</v>
      </c>
      <c r="E2331" s="3">
        <f ca="1">IFERROR(__xludf.DUMMYFUNCTION("""COMPUTED_VALUE"""),0.62310185185197)</f>
        <v>0.62310185185196998</v>
      </c>
      <c r="F2331" s="1">
        <f ca="1">IFERROR(__xludf.DUMMYFUNCTION("""COMPUTED_VALUE"""),1609344)</f>
        <v>1609344</v>
      </c>
      <c r="G2331" s="1" t="str">
        <f ca="1">IFERROR(__xludf.DUMMYFUNCTION("""COMPUTED_VALUE"""),"12.9554/77.5292")</f>
        <v>12.9554/77.5292</v>
      </c>
      <c r="H2331" s="1" t="str">
        <f ca="1">IFERROR(__xludf.DUMMYFUNCTION("""COMPUTED_VALUE"""),"B.C.C Layout")</f>
        <v>B.C.C Layout</v>
      </c>
      <c r="I2331" s="1"/>
      <c r="J2331" s="1" t="str">
        <f ca="1">IFERROR(__xludf.DUMMYFUNCTION("""COMPUTED_VALUE"""),"0d 00h 00m")</f>
        <v>0d 00h 00m</v>
      </c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13.2">
      <c r="A2332" s="1">
        <f ca="1">IFERROR(__xludf.DUMMYFUNCTION("""COMPUTED_VALUE"""),105)</f>
        <v>105</v>
      </c>
      <c r="B2332" s="1" t="str">
        <f ca="1">IFERROR(__xludf.DUMMYFUNCTION("""COMPUTED_VALUE"""),"W4_KA02D3152_Tanker")</f>
        <v>W4_KA02D3152_Tanker</v>
      </c>
      <c r="C2332" s="1" t="str">
        <f ca="1">IFERROR(__xludf.DUMMYFUNCTION("""COMPUTED_VALUE"""),"w4_ka02d3152_tanker")</f>
        <v>w4_ka02d3152_tanker</v>
      </c>
      <c r="D2332" s="2">
        <f ca="1">IFERROR(__xludf.DUMMYFUNCTION("""COMPUTED_VALUE"""),44858)</f>
        <v>44858</v>
      </c>
      <c r="E2332" s="3">
        <f ca="1">IFERROR(__xludf.DUMMYFUNCTION("""COMPUTED_VALUE"""),0.699652777777373)</f>
        <v>0.699652777777373</v>
      </c>
      <c r="F2332" s="1">
        <f ca="1">IFERROR(__xludf.DUMMYFUNCTION("""COMPUTED_VALUE"""),1609344)</f>
        <v>1609344</v>
      </c>
      <c r="G2332" s="1" t="str">
        <f ca="1">IFERROR(__xludf.DUMMYFUNCTION("""COMPUTED_VALUE"""),"12.9557/77.5292")</f>
        <v>12.9557/77.5292</v>
      </c>
      <c r="H2332" s="1" t="str">
        <f ca="1">IFERROR(__xludf.DUMMYFUNCTION("""COMPUTED_VALUE"""),"B.C.C Layout")</f>
        <v>B.C.C Layout</v>
      </c>
      <c r="I2332" s="1"/>
      <c r="J2332" s="1" t="str">
        <f ca="1">IFERROR(__xludf.DUMMYFUNCTION("""COMPUTED_VALUE"""),"0d 00h 00m")</f>
        <v>0d 00h 00m</v>
      </c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13.2">
      <c r="A2333" s="1">
        <f ca="1">IFERROR(__xludf.DUMMYFUNCTION("""COMPUTED_VALUE"""),21)</f>
        <v>21</v>
      </c>
      <c r="B2333" s="1" t="str">
        <f ca="1">IFERROR(__xludf.DUMMYFUNCTION("""COMPUTED_VALUE"""),"W4_KA04B6770_Jetting")</f>
        <v>W4_KA04B6770_Jetting</v>
      </c>
      <c r="C2333" s="1" t="str">
        <f ca="1">IFERROR(__xludf.DUMMYFUNCTION("""COMPUTED_VALUE"""),"w4_ka04b6770_jetting")</f>
        <v>w4_ka04b6770_jetting</v>
      </c>
      <c r="D2333" s="2">
        <f ca="1">IFERROR(__xludf.DUMMYFUNCTION("""COMPUTED_VALUE"""),43846)</f>
        <v>43846</v>
      </c>
      <c r="E2333" s="3">
        <f ca="1">IFERROR(__xludf.DUMMYFUNCTION("""COMPUTED_VALUE"""),0.564317129628761)</f>
        <v>0.56431712962876102</v>
      </c>
      <c r="F2333" s="1">
        <f ca="1">IFERROR(__xludf.DUMMYFUNCTION("""COMPUTED_VALUE"""),16480)</f>
        <v>16480</v>
      </c>
      <c r="G2333" s="1" t="str">
        <f ca="1">IFERROR(__xludf.DUMMYFUNCTION("""COMPUTED_VALUE"""),"12.9675/77.5331")</f>
        <v>12.9675/77.5331</v>
      </c>
      <c r="H2333" s="1" t="str">
        <f ca="1">IFERROR(__xludf.DUMMYFUNCTION("""COMPUTED_VALUE"""),"Maruthi Mandir")</f>
        <v>Maruthi Mandir</v>
      </c>
      <c r="I2333" s="1"/>
      <c r="J2333" s="1" t="str">
        <f ca="1">IFERROR(__xludf.DUMMYFUNCTION("""COMPUTED_VALUE"""),"417d 22h 28m")</f>
        <v>417d 22h 28m</v>
      </c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13.2">
      <c r="A2334" s="1">
        <f ca="1">IFERROR(__xludf.DUMMYFUNCTION("""COMPUTED_VALUE"""),21)</f>
        <v>21</v>
      </c>
      <c r="B2334" s="1" t="str">
        <f ca="1">IFERROR(__xludf.DUMMYFUNCTION("""COMPUTED_VALUE"""),"W4_KA04B6770_Jetting")</f>
        <v>W4_KA04B6770_Jetting</v>
      </c>
      <c r="C2334" s="1" t="str">
        <f ca="1">IFERROR(__xludf.DUMMYFUNCTION("""COMPUTED_VALUE"""),"w4_ka04b6770_jetting")</f>
        <v>w4_ka04b6770_jetting</v>
      </c>
      <c r="D2334" s="2">
        <f ca="1">IFERROR(__xludf.DUMMYFUNCTION("""COMPUTED_VALUE"""),43846)</f>
        <v>43846</v>
      </c>
      <c r="E2334" s="3">
        <f ca="1">IFERROR(__xludf.DUMMYFUNCTION("""COMPUTED_VALUE"""),0.564317129628761)</f>
        <v>0.56431712962876102</v>
      </c>
      <c r="F2334" s="1">
        <f ca="1">IFERROR(__xludf.DUMMYFUNCTION("""COMPUTED_VALUE"""),16480)</f>
        <v>16480</v>
      </c>
      <c r="G2334" s="1" t="str">
        <f ca="1">IFERROR(__xludf.DUMMYFUNCTION("""COMPUTED_VALUE"""),"12.9675/77.5331")</f>
        <v>12.9675/77.5331</v>
      </c>
      <c r="H2334" s="1" t="str">
        <f ca="1">IFERROR(__xludf.DUMMYFUNCTION("""COMPUTED_VALUE"""),"Maruthi Mandir")</f>
        <v>Maruthi Mandir</v>
      </c>
      <c r="I2334" s="1"/>
      <c r="J2334" s="1" t="str">
        <f ca="1">IFERROR(__xludf.DUMMYFUNCTION("""COMPUTED_VALUE"""),"417d 22h 29m")</f>
        <v>417d 22h 29m</v>
      </c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13.2">
      <c r="A2335" s="1">
        <f ca="1">IFERROR(__xludf.DUMMYFUNCTION("""COMPUTED_VALUE"""),21)</f>
        <v>21</v>
      </c>
      <c r="B2335" s="1" t="str">
        <f ca="1">IFERROR(__xludf.DUMMYFUNCTION("""COMPUTED_VALUE"""),"W4_KA04B6770_Jetting")</f>
        <v>W4_KA04B6770_Jetting</v>
      </c>
      <c r="C2335" s="1" t="str">
        <f ca="1">IFERROR(__xludf.DUMMYFUNCTION("""COMPUTED_VALUE"""),"w4_ka04b6770_jetting")</f>
        <v>w4_ka04b6770_jetting</v>
      </c>
      <c r="D2335" s="2">
        <f ca="1">IFERROR(__xludf.DUMMYFUNCTION("""COMPUTED_VALUE"""),43846)</f>
        <v>43846</v>
      </c>
      <c r="E2335" s="3">
        <f ca="1">IFERROR(__xludf.DUMMYFUNCTION("""COMPUTED_VALUE"""),0.564317129628761)</f>
        <v>0.56431712962876102</v>
      </c>
      <c r="F2335" s="1">
        <f ca="1">IFERROR(__xludf.DUMMYFUNCTION("""COMPUTED_VALUE"""),16480)</f>
        <v>16480</v>
      </c>
      <c r="G2335" s="1" t="str">
        <f ca="1">IFERROR(__xludf.DUMMYFUNCTION("""COMPUTED_VALUE"""),"12.9675/77.5331")</f>
        <v>12.9675/77.5331</v>
      </c>
      <c r="H2335" s="1" t="str">
        <f ca="1">IFERROR(__xludf.DUMMYFUNCTION("""COMPUTED_VALUE"""),"Maruthi Mandir")</f>
        <v>Maruthi Mandir</v>
      </c>
      <c r="I2335" s="1"/>
      <c r="J2335" s="1" t="str">
        <f ca="1">IFERROR(__xludf.DUMMYFUNCTION("""COMPUTED_VALUE"""),"417d 22h 30m")</f>
        <v>417d 22h 30m</v>
      </c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13.2">
      <c r="A2336" s="1">
        <f ca="1">IFERROR(__xludf.DUMMYFUNCTION("""COMPUTED_VALUE"""),21)</f>
        <v>21</v>
      </c>
      <c r="B2336" s="1" t="str">
        <f ca="1">IFERROR(__xludf.DUMMYFUNCTION("""COMPUTED_VALUE"""),"W4_KA04B6770_Jetting")</f>
        <v>W4_KA04B6770_Jetting</v>
      </c>
      <c r="C2336" s="1" t="str">
        <f ca="1">IFERROR(__xludf.DUMMYFUNCTION("""COMPUTED_VALUE"""),"w4_ka04b6770_jetting")</f>
        <v>w4_ka04b6770_jetting</v>
      </c>
      <c r="D2336" s="2">
        <f ca="1">IFERROR(__xludf.DUMMYFUNCTION("""COMPUTED_VALUE"""),43846)</f>
        <v>43846</v>
      </c>
      <c r="E2336" s="3">
        <f ca="1">IFERROR(__xludf.DUMMYFUNCTION("""COMPUTED_VALUE"""),0.564317129628761)</f>
        <v>0.56431712962876102</v>
      </c>
      <c r="F2336" s="1">
        <f ca="1">IFERROR(__xludf.DUMMYFUNCTION("""COMPUTED_VALUE"""),16480)</f>
        <v>16480</v>
      </c>
      <c r="G2336" s="1" t="str">
        <f ca="1">IFERROR(__xludf.DUMMYFUNCTION("""COMPUTED_VALUE"""),"12.9675/77.5331")</f>
        <v>12.9675/77.5331</v>
      </c>
      <c r="H2336" s="1" t="str">
        <f ca="1">IFERROR(__xludf.DUMMYFUNCTION("""COMPUTED_VALUE"""),"Maruthi Mandir")</f>
        <v>Maruthi Mandir</v>
      </c>
      <c r="I2336" s="1"/>
      <c r="J2336" s="1" t="str">
        <f ca="1">IFERROR(__xludf.DUMMYFUNCTION("""COMPUTED_VALUE"""),"417d 22h 31m")</f>
        <v>417d 22h 31m</v>
      </c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13.2">
      <c r="A2337" s="1">
        <f ca="1">IFERROR(__xludf.DUMMYFUNCTION("""COMPUTED_VALUE"""),21)</f>
        <v>21</v>
      </c>
      <c r="B2337" s="1" t="str">
        <f ca="1">IFERROR(__xludf.DUMMYFUNCTION("""COMPUTED_VALUE"""),"W4_KA04B6770_Jetting")</f>
        <v>W4_KA04B6770_Jetting</v>
      </c>
      <c r="C2337" s="1" t="str">
        <f ca="1">IFERROR(__xludf.DUMMYFUNCTION("""COMPUTED_VALUE"""),"w4_ka04b6770_jetting")</f>
        <v>w4_ka04b6770_jetting</v>
      </c>
      <c r="D2337" s="2">
        <f ca="1">IFERROR(__xludf.DUMMYFUNCTION("""COMPUTED_VALUE"""),43846)</f>
        <v>43846</v>
      </c>
      <c r="E2337" s="3">
        <f ca="1">IFERROR(__xludf.DUMMYFUNCTION("""COMPUTED_VALUE"""),0.564317129628761)</f>
        <v>0.56431712962876102</v>
      </c>
      <c r="F2337" s="1">
        <f ca="1">IFERROR(__xludf.DUMMYFUNCTION("""COMPUTED_VALUE"""),16480)</f>
        <v>16480</v>
      </c>
      <c r="G2337" s="1" t="str">
        <f ca="1">IFERROR(__xludf.DUMMYFUNCTION("""COMPUTED_VALUE"""),"12.9675/77.5331")</f>
        <v>12.9675/77.5331</v>
      </c>
      <c r="H2337" s="1" t="str">
        <f ca="1">IFERROR(__xludf.DUMMYFUNCTION("""COMPUTED_VALUE"""),"Maruthi Mandir")</f>
        <v>Maruthi Mandir</v>
      </c>
      <c r="I2337" s="1"/>
      <c r="J2337" s="1" t="str">
        <f ca="1">IFERROR(__xludf.DUMMYFUNCTION("""COMPUTED_VALUE"""),"417d 22h 32m")</f>
        <v>417d 22h 32m</v>
      </c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13.2">
      <c r="A2338" s="1">
        <f ca="1">IFERROR(__xludf.DUMMYFUNCTION("""COMPUTED_VALUE"""),21)</f>
        <v>21</v>
      </c>
      <c r="B2338" s="1" t="str">
        <f ca="1">IFERROR(__xludf.DUMMYFUNCTION("""COMPUTED_VALUE"""),"W4_KA04B6770_Jetting")</f>
        <v>W4_KA04B6770_Jetting</v>
      </c>
      <c r="C2338" s="1" t="str">
        <f ca="1">IFERROR(__xludf.DUMMYFUNCTION("""COMPUTED_VALUE"""),"w4_ka04b6770_jetting")</f>
        <v>w4_ka04b6770_jetting</v>
      </c>
      <c r="D2338" s="2">
        <f ca="1">IFERROR(__xludf.DUMMYFUNCTION("""COMPUTED_VALUE"""),43846)</f>
        <v>43846</v>
      </c>
      <c r="E2338" s="3">
        <f ca="1">IFERROR(__xludf.DUMMYFUNCTION("""COMPUTED_VALUE"""),0.564317129628761)</f>
        <v>0.56431712962876102</v>
      </c>
      <c r="F2338" s="1">
        <f ca="1">IFERROR(__xludf.DUMMYFUNCTION("""COMPUTED_VALUE"""),16480)</f>
        <v>16480</v>
      </c>
      <c r="G2338" s="1" t="str">
        <f ca="1">IFERROR(__xludf.DUMMYFUNCTION("""COMPUTED_VALUE"""),"12.9675/77.5331")</f>
        <v>12.9675/77.5331</v>
      </c>
      <c r="H2338" s="1" t="str">
        <f ca="1">IFERROR(__xludf.DUMMYFUNCTION("""COMPUTED_VALUE"""),"Maruthi Mandir")</f>
        <v>Maruthi Mandir</v>
      </c>
      <c r="I2338" s="1"/>
      <c r="J2338" s="1" t="str">
        <f ca="1">IFERROR(__xludf.DUMMYFUNCTION("""COMPUTED_VALUE"""),"417d 22h 33m")</f>
        <v>417d 22h 33m</v>
      </c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13.2">
      <c r="A2339" s="1">
        <f ca="1">IFERROR(__xludf.DUMMYFUNCTION("""COMPUTED_VALUE"""),43)</f>
        <v>43</v>
      </c>
      <c r="B2339" s="1" t="str">
        <f ca="1">IFERROR(__xludf.DUMMYFUNCTION("""COMPUTED_VALUE"""),"W4_KA04C5129_Jetting")</f>
        <v>W4_KA04C5129_Jetting</v>
      </c>
      <c r="C2339" s="1" t="str">
        <f ca="1">IFERROR(__xludf.DUMMYFUNCTION("""COMPUTED_VALUE"""),"w4_ka04c5129_jetting")</f>
        <v>w4_ka04c5129_jetting</v>
      </c>
      <c r="D2339" s="2">
        <f ca="1">IFERROR(__xludf.DUMMYFUNCTION("""COMPUTED_VALUE"""),44545)</f>
        <v>44545</v>
      </c>
      <c r="E2339" s="3">
        <f ca="1">IFERROR(__xludf.DUMMYFUNCTION("""COMPUTED_VALUE"""),0.354513888887595)</f>
        <v>0.354513888887595</v>
      </c>
      <c r="F2339" s="1">
        <f ca="1">IFERROR(__xludf.DUMMYFUNCTION("""COMPUTED_VALUE"""),26901)</f>
        <v>26901</v>
      </c>
      <c r="G2339" s="1" t="str">
        <f ca="1">IFERROR(__xludf.DUMMYFUNCTION("""COMPUTED_VALUE"""),"12.9736/77.5382")</f>
        <v>12.9736/77.5382</v>
      </c>
      <c r="H2339" s="1" t="str">
        <f ca="1">IFERROR(__xludf.DUMMYFUNCTION("""COMPUTED_VALUE"""),"M.C.Layout")</f>
        <v>M.C.Layout</v>
      </c>
      <c r="I2339" s="1"/>
      <c r="J2339" s="1" t="str">
        <f ca="1">IFERROR(__xludf.DUMMYFUNCTION("""COMPUTED_VALUE"""),"147d 21h 46m")</f>
        <v>147d 21h 46m</v>
      </c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13.2">
      <c r="A2340" s="1">
        <f ca="1">IFERROR(__xludf.DUMMYFUNCTION("""COMPUTED_VALUE"""),84)</f>
        <v>84</v>
      </c>
      <c r="B2340" s="1" t="str">
        <f ca="1">IFERROR(__xludf.DUMMYFUNCTION("""COMPUTED_VALUE"""),"W4_KA04C5129_Jetting")</f>
        <v>W4_KA04C5129_Jetting</v>
      </c>
      <c r="C2340" s="1" t="str">
        <f ca="1">IFERROR(__xludf.DUMMYFUNCTION("""COMPUTED_VALUE"""),"w4_ka04c5129_jetting")</f>
        <v>w4_ka04c5129_jetting</v>
      </c>
      <c r="D2340" s="2">
        <f ca="1">IFERROR(__xludf.DUMMYFUNCTION("""COMPUTED_VALUE"""),44727)</f>
        <v>44727</v>
      </c>
      <c r="E2340" s="3">
        <f ca="1">IFERROR(__xludf.DUMMYFUNCTION("""COMPUTED_VALUE"""),0.763900462963647)</f>
        <v>0.763900462963647</v>
      </c>
      <c r="F2340" s="1">
        <f ca="1">IFERROR(__xludf.DUMMYFUNCTION("""COMPUTED_VALUE"""),26916)</f>
        <v>26916</v>
      </c>
      <c r="G2340" s="1" t="str">
        <f ca="1">IFERROR(__xludf.DUMMYFUNCTION("""COMPUTED_VALUE"""),"12.8743/77.5182")</f>
        <v>12.8743/77.5182</v>
      </c>
      <c r="H2340" s="1" t="str">
        <f ca="1">IFERROR(__xludf.DUMMYFUNCTION("""COMPUTED_VALUE"""),"Poornapragana Layout")</f>
        <v>Poornapragana Layout</v>
      </c>
      <c r="I2340" s="1"/>
      <c r="J2340" s="1" t="str">
        <f ca="1">IFERROR(__xludf.DUMMYFUNCTION("""COMPUTED_VALUE"""),"147d 21h 48m")</f>
        <v>147d 21h 48m</v>
      </c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13.2">
      <c r="A2341" s="1">
        <f ca="1">IFERROR(__xludf.DUMMYFUNCTION("""COMPUTED_VALUE"""),63)</f>
        <v>63</v>
      </c>
      <c r="B2341" s="1" t="str">
        <f ca="1">IFERROR(__xludf.DUMMYFUNCTION("""COMPUTED_VALUE"""),"W4_KA04C5129_Jetting")</f>
        <v>W4_KA04C5129_Jetting</v>
      </c>
      <c r="C2341" s="1" t="str">
        <f ca="1">IFERROR(__xludf.DUMMYFUNCTION("""COMPUTED_VALUE"""),"w4_ka04c5129_jetting")</f>
        <v>w4_ka04c5129_jetting</v>
      </c>
      <c r="D2341" s="2">
        <f ca="1">IFERROR(__xludf.DUMMYFUNCTION("""COMPUTED_VALUE"""),44727)</f>
        <v>44727</v>
      </c>
      <c r="E2341" s="3">
        <f ca="1">IFERROR(__xludf.DUMMYFUNCTION("""COMPUTED_VALUE"""),0.763900462963647)</f>
        <v>0.763900462963647</v>
      </c>
      <c r="F2341" s="1">
        <f ca="1">IFERROR(__xludf.DUMMYFUNCTION("""COMPUTED_VALUE"""),26916)</f>
        <v>26916</v>
      </c>
      <c r="G2341" s="1" t="str">
        <f ca="1">IFERROR(__xludf.DUMMYFUNCTION("""COMPUTED_VALUE"""),"12.8743/77.5182")</f>
        <v>12.8743/77.5182</v>
      </c>
      <c r="H2341" s="1" t="str">
        <f ca="1">IFERROR(__xludf.DUMMYFUNCTION("""COMPUTED_VALUE"""),"Poornapragana Layout")</f>
        <v>Poornapragana Layout</v>
      </c>
      <c r="I2341" s="1"/>
      <c r="J2341" s="1" t="str">
        <f ca="1">IFERROR(__xludf.DUMMYFUNCTION("""COMPUTED_VALUE"""),"147d 21h 48m")</f>
        <v>147d 21h 48m</v>
      </c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13.2">
      <c r="A2342" s="1">
        <f ca="1">IFERROR(__xludf.DUMMYFUNCTION("""COMPUTED_VALUE"""),86)</f>
        <v>86</v>
      </c>
      <c r="B2342" s="1" t="str">
        <f ca="1">IFERROR(__xludf.DUMMYFUNCTION("""COMPUTED_VALUE"""),"W4_KA04C5129_Jetting")</f>
        <v>W4_KA04C5129_Jetting</v>
      </c>
      <c r="C2342" s="1" t="str">
        <f ca="1">IFERROR(__xludf.DUMMYFUNCTION("""COMPUTED_VALUE"""),"w4_ka04c5129_jetting")</f>
        <v>w4_ka04c5129_jetting</v>
      </c>
      <c r="D2342" s="2">
        <f ca="1">IFERROR(__xludf.DUMMYFUNCTION("""COMPUTED_VALUE"""),44769)</f>
        <v>44769</v>
      </c>
      <c r="E2342" s="3">
        <f ca="1">IFERROR(__xludf.DUMMYFUNCTION("""COMPUTED_VALUE"""),0.530740740741748)</f>
        <v>0.53074074074174804</v>
      </c>
      <c r="F2342" s="1">
        <f ca="1">IFERROR(__xludf.DUMMYFUNCTION("""COMPUTED_VALUE"""),26916)</f>
        <v>26916</v>
      </c>
      <c r="G2342" s="1" t="str">
        <f ca="1">IFERROR(__xludf.DUMMYFUNCTION("""COMPUTED_VALUE"""),"12.8745/77.5182")</f>
        <v>12.8745/77.5182</v>
      </c>
      <c r="H2342" s="1" t="str">
        <f ca="1">IFERROR(__xludf.DUMMYFUNCTION("""COMPUTED_VALUE"""),"Poornapragana Layout")</f>
        <v>Poornapragana Layout</v>
      </c>
      <c r="I2342" s="1"/>
      <c r="J2342" s="1" t="str">
        <f ca="1">IFERROR(__xludf.DUMMYFUNCTION("""COMPUTED_VALUE"""),"147d 21h 49m")</f>
        <v>147d 21h 49m</v>
      </c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13.2">
      <c r="A2343" s="1">
        <f ca="1">IFERROR(__xludf.DUMMYFUNCTION("""COMPUTED_VALUE"""),60)</f>
        <v>60</v>
      </c>
      <c r="B2343" s="1" t="str">
        <f ca="1">IFERROR(__xludf.DUMMYFUNCTION("""COMPUTED_VALUE"""),"W4_KA04C5129_Jetting")</f>
        <v>W4_KA04C5129_Jetting</v>
      </c>
      <c r="C2343" s="1" t="str">
        <f ca="1">IFERROR(__xludf.DUMMYFUNCTION("""COMPUTED_VALUE"""),"w4_ka04c5129_jetting")</f>
        <v>w4_ka04c5129_jetting</v>
      </c>
      <c r="D2343" s="2">
        <f ca="1">IFERROR(__xludf.DUMMYFUNCTION("""COMPUTED_VALUE"""),44769)</f>
        <v>44769</v>
      </c>
      <c r="E2343" s="3">
        <f ca="1">IFERROR(__xludf.DUMMYFUNCTION("""COMPUTED_VALUE"""),0.530740740741748)</f>
        <v>0.53074074074174804</v>
      </c>
      <c r="F2343" s="1">
        <f ca="1">IFERROR(__xludf.DUMMYFUNCTION("""COMPUTED_VALUE"""),26916)</f>
        <v>26916</v>
      </c>
      <c r="G2343" s="1" t="str">
        <f ca="1">IFERROR(__xludf.DUMMYFUNCTION("""COMPUTED_VALUE"""),"12.8745/77.5182")</f>
        <v>12.8745/77.5182</v>
      </c>
      <c r="H2343" s="1" t="str">
        <f ca="1">IFERROR(__xludf.DUMMYFUNCTION("""COMPUTED_VALUE"""),"Poornapragana Layout")</f>
        <v>Poornapragana Layout</v>
      </c>
      <c r="I2343" s="1"/>
      <c r="J2343" s="1" t="str">
        <f ca="1">IFERROR(__xludf.DUMMYFUNCTION("""COMPUTED_VALUE"""),"147d 21h 50m")</f>
        <v>147d 21h 50m</v>
      </c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13.2">
      <c r="A2344" s="1">
        <f ca="1">IFERROR(__xludf.DUMMYFUNCTION("""COMPUTED_VALUE"""),54)</f>
        <v>54</v>
      </c>
      <c r="B2344" s="1" t="str">
        <f ca="1">IFERROR(__xludf.DUMMYFUNCTION("""COMPUTED_VALUE"""),"W4_KA04C5129_Jetting")</f>
        <v>W4_KA04C5129_Jetting</v>
      </c>
      <c r="C2344" s="1" t="str">
        <f ca="1">IFERROR(__xludf.DUMMYFUNCTION("""COMPUTED_VALUE"""),"w4_ka04c5129_jetting")</f>
        <v>w4_ka04c5129_jetting</v>
      </c>
      <c r="D2344" s="2">
        <f ca="1">IFERROR(__xludf.DUMMYFUNCTION("""COMPUTED_VALUE"""),44769)</f>
        <v>44769</v>
      </c>
      <c r="E2344" s="3">
        <f ca="1">IFERROR(__xludf.DUMMYFUNCTION("""COMPUTED_VALUE"""),0.530740740741748)</f>
        <v>0.53074074074174804</v>
      </c>
      <c r="F2344" s="1">
        <f ca="1">IFERROR(__xludf.DUMMYFUNCTION("""COMPUTED_VALUE"""),26916)</f>
        <v>26916</v>
      </c>
      <c r="G2344" s="1" t="str">
        <f ca="1">IFERROR(__xludf.DUMMYFUNCTION("""COMPUTED_VALUE"""),"12.8745/77.5182")</f>
        <v>12.8745/77.5182</v>
      </c>
      <c r="H2344" s="1" t="str">
        <f ca="1">IFERROR(__xludf.DUMMYFUNCTION("""COMPUTED_VALUE"""),"Poornapragana Layout")</f>
        <v>Poornapragana Layout</v>
      </c>
      <c r="I2344" s="1"/>
      <c r="J2344" s="1" t="str">
        <f ca="1">IFERROR(__xludf.DUMMYFUNCTION("""COMPUTED_VALUE"""),"147d 21h 51m")</f>
        <v>147d 21h 51m</v>
      </c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13.2">
      <c r="A2345" s="1">
        <f ca="1">IFERROR(__xludf.DUMMYFUNCTION("""COMPUTED_VALUE"""),67)</f>
        <v>67</v>
      </c>
      <c r="B2345" s="1" t="str">
        <f ca="1">IFERROR(__xludf.DUMMYFUNCTION("""COMPUTED_VALUE"""),"W4_KA04D4601_Jetting")</f>
        <v>W4_KA04D4601_Jetting</v>
      </c>
      <c r="C2345" s="1" t="str">
        <f ca="1">IFERROR(__xludf.DUMMYFUNCTION("""COMPUTED_VALUE"""),"w4_ka04d4601_jetting")</f>
        <v>w4_ka04d4601_jetting</v>
      </c>
      <c r="D2345" s="2">
        <f ca="1">IFERROR(__xludf.DUMMYFUNCTION("""COMPUTED_VALUE"""),44680)</f>
        <v>44680</v>
      </c>
      <c r="E2345" s="3">
        <f ca="1">IFERROR(__xludf.DUMMYFUNCTION("""COMPUTED_VALUE"""),0.279050925924821)</f>
        <v>0.279050925924821</v>
      </c>
      <c r="F2345" s="1">
        <f ca="1">IFERROR(__xludf.DUMMYFUNCTION("""COMPUTED_VALUE"""),25684)</f>
        <v>25684</v>
      </c>
      <c r="G2345" s="1" t="str">
        <f ca="1">IFERROR(__xludf.DUMMYFUNCTION("""COMPUTED_VALUE"""),"12.9554/77.5292")</f>
        <v>12.9554/77.5292</v>
      </c>
      <c r="H2345" s="1" t="str">
        <f ca="1">IFERROR(__xludf.DUMMYFUNCTION("""COMPUTED_VALUE"""),"B.C.C Layout")</f>
        <v>B.C.C Layout</v>
      </c>
      <c r="I2345" s="1"/>
      <c r="J2345" s="1" t="str">
        <f ca="1">IFERROR(__xludf.DUMMYFUNCTION("""COMPUTED_VALUE"""),"0d 00h 00m")</f>
        <v>0d 00h 00m</v>
      </c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13.2">
      <c r="A2346" s="1">
        <f ca="1">IFERROR(__xludf.DUMMYFUNCTION("""COMPUTED_VALUE"""),228)</f>
        <v>228</v>
      </c>
      <c r="B2346" s="1" t="str">
        <f ca="1">IFERROR(__xludf.DUMMYFUNCTION("""COMPUTED_VALUE"""),"W4_KA04D4601_Jetting")</f>
        <v>W4_KA04D4601_Jetting</v>
      </c>
      <c r="C2346" s="1" t="str">
        <f ca="1">IFERROR(__xludf.DUMMYFUNCTION("""COMPUTED_VALUE"""),"w4_ka04d4601_jetting")</f>
        <v>w4_ka04d4601_jetting</v>
      </c>
      <c r="D2346" s="2">
        <f ca="1">IFERROR(__xludf.DUMMYFUNCTION("""COMPUTED_VALUE"""),44738)</f>
        <v>44738</v>
      </c>
      <c r="E2346" s="3">
        <f ca="1">IFERROR(__xludf.DUMMYFUNCTION("""COMPUTED_VALUE"""),0.999270833333866)</f>
        <v>0.99927083333386602</v>
      </c>
      <c r="F2346" s="1">
        <f ca="1">IFERROR(__xludf.DUMMYFUNCTION("""COMPUTED_VALUE"""),25784)</f>
        <v>25784</v>
      </c>
      <c r="G2346" s="1" t="str">
        <f ca="1">IFERROR(__xludf.DUMMYFUNCTION("""COMPUTED_VALUE"""),"12.9553/77.5292")</f>
        <v>12.9553/77.5292</v>
      </c>
      <c r="H2346" s="1" t="str">
        <f ca="1">IFERROR(__xludf.DUMMYFUNCTION("""COMPUTED_VALUE"""),"B.C.C Layout")</f>
        <v>B.C.C Layout</v>
      </c>
      <c r="I2346" s="1"/>
      <c r="J2346" s="1" t="str">
        <f ca="1">IFERROR(__xludf.DUMMYFUNCTION("""COMPUTED_VALUE"""),"0d 00h 00m")</f>
        <v>0d 00h 00m</v>
      </c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13.2">
      <c r="A2347" s="1">
        <f ca="1">IFERROR(__xludf.DUMMYFUNCTION("""COMPUTED_VALUE"""),207)</f>
        <v>207</v>
      </c>
      <c r="B2347" s="1" t="str">
        <f ca="1">IFERROR(__xludf.DUMMYFUNCTION("""COMPUTED_VALUE"""),"W4_KA04D4601_Jetting")</f>
        <v>W4_KA04D4601_Jetting</v>
      </c>
      <c r="C2347" s="1" t="str">
        <f ca="1">IFERROR(__xludf.DUMMYFUNCTION("""COMPUTED_VALUE"""),"w4_ka04d4601_jetting")</f>
        <v>w4_ka04d4601_jetting</v>
      </c>
      <c r="D2347" s="2">
        <f ca="1">IFERROR(__xludf.DUMMYFUNCTION("""COMPUTED_VALUE"""),44768)</f>
        <v>44768</v>
      </c>
      <c r="E2347" s="3">
        <f ca="1">IFERROR(__xludf.DUMMYFUNCTION("""COMPUTED_VALUE"""),0.999155092591536)</f>
        <v>0.99915509259153601</v>
      </c>
      <c r="F2347" s="1">
        <f ca="1">IFERROR(__xludf.DUMMYFUNCTION("""COMPUTED_VALUE"""),26209)</f>
        <v>26209</v>
      </c>
      <c r="G2347" s="1" t="str">
        <f ca="1">IFERROR(__xludf.DUMMYFUNCTION("""COMPUTED_VALUE"""),"12.9661/77.5876")</f>
        <v>12.9661/77.5876</v>
      </c>
      <c r="H2347" s="1" t="str">
        <f ca="1">IFERROR(__xludf.DUMMYFUNCTION("""COMPUTED_VALUE"""),"Not found!")</f>
        <v>Not found!</v>
      </c>
      <c r="I2347" s="1"/>
      <c r="J2347" s="1" t="str">
        <f ca="1">IFERROR(__xludf.DUMMYFUNCTION("""COMPUTED_VALUE"""),"0d 00h 00m")</f>
        <v>0d 00h 00m</v>
      </c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13.2">
      <c r="A2348" s="1">
        <f ca="1">IFERROR(__xludf.DUMMYFUNCTION("""COMPUTED_VALUE"""),189)</f>
        <v>189</v>
      </c>
      <c r="B2348" s="1" t="str">
        <f ca="1">IFERROR(__xludf.DUMMYFUNCTION("""COMPUTED_VALUE"""),"W4_KA04D4601_Jetting")</f>
        <v>W4_KA04D4601_Jetting</v>
      </c>
      <c r="C2348" s="1" t="str">
        <f ca="1">IFERROR(__xludf.DUMMYFUNCTION("""COMPUTED_VALUE"""),"w4_ka04d4601_jetting")</f>
        <v>w4_ka04d4601_jetting</v>
      </c>
      <c r="D2348" s="2">
        <f ca="1">IFERROR(__xludf.DUMMYFUNCTION("""COMPUTED_VALUE"""),44799)</f>
        <v>44799</v>
      </c>
      <c r="E2348" s="3">
        <f ca="1">IFERROR(__xludf.DUMMYFUNCTION("""COMPUTED_VALUE"""),0.999062499999126)</f>
        <v>0.999062499999126</v>
      </c>
      <c r="F2348" s="1">
        <f ca="1">IFERROR(__xludf.DUMMYFUNCTION("""COMPUTED_VALUE"""),26711)</f>
        <v>26711</v>
      </c>
      <c r="G2348" s="1" t="str">
        <f ca="1">IFERROR(__xludf.DUMMYFUNCTION("""COMPUTED_VALUE"""),"12.9554/77.5292")</f>
        <v>12.9554/77.5292</v>
      </c>
      <c r="H2348" s="1" t="str">
        <f ca="1">IFERROR(__xludf.DUMMYFUNCTION("""COMPUTED_VALUE"""),"B.C.C Layout")</f>
        <v>B.C.C Layout</v>
      </c>
      <c r="I2348" s="1"/>
      <c r="J2348" s="1" t="str">
        <f ca="1">IFERROR(__xludf.DUMMYFUNCTION("""COMPUTED_VALUE"""),"0d 00h 00m")</f>
        <v>0d 00h 00m</v>
      </c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13.2">
      <c r="A2349" s="1">
        <f ca="1">IFERROR(__xludf.DUMMYFUNCTION("""COMPUTED_VALUE"""),230)</f>
        <v>230</v>
      </c>
      <c r="B2349" s="1" t="str">
        <f ca="1">IFERROR(__xludf.DUMMYFUNCTION("""COMPUTED_VALUE"""),"W4_KA04D4601_Jetting")</f>
        <v>W4_KA04D4601_Jetting</v>
      </c>
      <c r="C2349" s="1" t="str">
        <f ca="1">IFERROR(__xludf.DUMMYFUNCTION("""COMPUTED_VALUE"""),"w4_ka04d4601_jetting")</f>
        <v>w4_ka04d4601_jetting</v>
      </c>
      <c r="D2349" s="2">
        <f ca="1">IFERROR(__xludf.DUMMYFUNCTION("""COMPUTED_VALUE"""),44830)</f>
        <v>44830</v>
      </c>
      <c r="E2349" s="3">
        <f ca="1">IFERROR(__xludf.DUMMYFUNCTION("""COMPUTED_VALUE"""),0.999259259260725)</f>
        <v>0.99925925926072501</v>
      </c>
      <c r="F2349" s="1">
        <f ca="1">IFERROR(__xludf.DUMMYFUNCTION("""COMPUTED_VALUE"""),27163)</f>
        <v>27163</v>
      </c>
      <c r="G2349" s="1" t="str">
        <f ca="1">IFERROR(__xludf.DUMMYFUNCTION("""COMPUTED_VALUE"""),"12.9552/77.5293")</f>
        <v>12.9552/77.5293</v>
      </c>
      <c r="H2349" s="1" t="str">
        <f ca="1">IFERROR(__xludf.DUMMYFUNCTION("""COMPUTED_VALUE"""),"B.C.C Layout")</f>
        <v>B.C.C Layout</v>
      </c>
      <c r="I2349" s="1"/>
      <c r="J2349" s="1" t="str">
        <f ca="1">IFERROR(__xludf.DUMMYFUNCTION("""COMPUTED_VALUE"""),"0d 00h 00m")</f>
        <v>0d 00h 00m</v>
      </c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13.2">
      <c r="A2350" s="1">
        <f ca="1">IFERROR(__xludf.DUMMYFUNCTION("""COMPUTED_VALUE"""),214)</f>
        <v>214</v>
      </c>
      <c r="B2350" s="1" t="str">
        <f ca="1">IFERROR(__xludf.DUMMYFUNCTION("""COMPUTED_VALUE"""),"W4_KA04D4601_Jetting")</f>
        <v>W4_KA04D4601_Jetting</v>
      </c>
      <c r="C2350" s="1" t="str">
        <f ca="1">IFERROR(__xludf.DUMMYFUNCTION("""COMPUTED_VALUE"""),"w4_ka04d4601_jetting")</f>
        <v>w4_ka04d4601_jetting</v>
      </c>
      <c r="D2350" s="2">
        <f ca="1">IFERROR(__xludf.DUMMYFUNCTION("""COMPUTED_VALUE"""),44860)</f>
        <v>44860</v>
      </c>
      <c r="E2350" s="3">
        <f ca="1">IFERROR(__xludf.DUMMYFUNCTION("""COMPUTED_VALUE"""),0.99921296296452)</f>
        <v>0.99921296296452</v>
      </c>
      <c r="F2350" s="1">
        <f ca="1">IFERROR(__xludf.DUMMYFUNCTION("""COMPUTED_VALUE"""),27618)</f>
        <v>27618</v>
      </c>
      <c r="G2350" s="1" t="str">
        <f ca="1">IFERROR(__xludf.DUMMYFUNCTION("""COMPUTED_VALUE"""),"12.9554/77.5292")</f>
        <v>12.9554/77.5292</v>
      </c>
      <c r="H2350" s="1" t="str">
        <f ca="1">IFERROR(__xludf.DUMMYFUNCTION("""COMPUTED_VALUE"""),"B.C.C Layout")</f>
        <v>B.C.C Layout</v>
      </c>
      <c r="I2350" s="1"/>
      <c r="J2350" s="1" t="str">
        <f ca="1">IFERROR(__xludf.DUMMYFUNCTION("""COMPUTED_VALUE"""),"0d 00h 00m")</f>
        <v>0d 00h 00m</v>
      </c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13.2">
      <c r="A2351" s="1">
        <f ca="1">IFERROR(__xludf.DUMMYFUNCTION("""COMPUTED_VALUE"""),87)</f>
        <v>87</v>
      </c>
      <c r="B2351" s="1" t="str">
        <f ca="1">IFERROR(__xludf.DUMMYFUNCTION("""COMPUTED_VALUE"""),"Wwm_KA53B3470_Suction")</f>
        <v>Wwm_KA53B3470_Suction</v>
      </c>
      <c r="C2351" s="1" t="str">
        <f ca="1">IFERROR(__xludf.DUMMYFUNCTION("""COMPUTED_VALUE"""),"wwm_ka53b3470_suction")</f>
        <v>wwm_ka53b3470_suction</v>
      </c>
      <c r="D2351" s="2">
        <f ca="1">IFERROR(__xludf.DUMMYFUNCTION("""COMPUTED_VALUE"""),44700)</f>
        <v>44700</v>
      </c>
      <c r="E2351" s="3">
        <f ca="1">IFERROR(__xludf.DUMMYFUNCTION("""COMPUTED_VALUE"""),0.700798611109348)</f>
        <v>0.70079861110934805</v>
      </c>
      <c r="F2351" s="1">
        <f ca="1">IFERROR(__xludf.DUMMYFUNCTION("""COMPUTED_VALUE"""),18577)</f>
        <v>18577</v>
      </c>
      <c r="G2351" s="1" t="str">
        <f ca="1">IFERROR(__xludf.DUMMYFUNCTION("""COMPUTED_VALUE"""),"13.0441/77.6430")</f>
        <v>13.0441/77.6430</v>
      </c>
      <c r="H2351" s="1" t="str">
        <f ca="1">IFERROR(__xludf.DUMMYFUNCTION("""COMPUTED_VALUE"""),"Geddalhalli")</f>
        <v>Geddalhalli</v>
      </c>
      <c r="I2351" s="1"/>
      <c r="J2351" s="1" t="str">
        <f ca="1">IFERROR(__xludf.DUMMYFUNCTION("""COMPUTED_VALUE"""),"0d 17h 24m")</f>
        <v>0d 17h 24m</v>
      </c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13.2">
      <c r="A2352" s="1">
        <f ca="1">IFERROR(__xludf.DUMMYFUNCTION("""COMPUTED_VALUE"""),54)</f>
        <v>54</v>
      </c>
      <c r="B2352" s="1" t="str">
        <f ca="1">IFERROR(__xludf.DUMMYFUNCTION("""COMPUTED_VALUE"""),"Wwm_KA53B3470_Suction")</f>
        <v>Wwm_KA53B3470_Suction</v>
      </c>
      <c r="C2352" s="1" t="str">
        <f ca="1">IFERROR(__xludf.DUMMYFUNCTION("""COMPUTED_VALUE"""),"wwm_ka53b3470_suction")</f>
        <v>wwm_ka53b3470_suction</v>
      </c>
      <c r="D2352" s="2">
        <f ca="1">IFERROR(__xludf.DUMMYFUNCTION("""COMPUTED_VALUE"""),44700)</f>
        <v>44700</v>
      </c>
      <c r="E2352" s="3">
        <f ca="1">IFERROR(__xludf.DUMMYFUNCTION("""COMPUTED_VALUE"""),0.700798611109348)</f>
        <v>0.70079861110934805</v>
      </c>
      <c r="F2352" s="1">
        <f ca="1">IFERROR(__xludf.DUMMYFUNCTION("""COMPUTED_VALUE"""),18577)</f>
        <v>18577</v>
      </c>
      <c r="G2352" s="1" t="str">
        <f ca="1">IFERROR(__xludf.DUMMYFUNCTION("""COMPUTED_VALUE"""),"13.0441/77.6430")</f>
        <v>13.0441/77.6430</v>
      </c>
      <c r="H2352" s="1" t="str">
        <f ca="1">IFERROR(__xludf.DUMMYFUNCTION("""COMPUTED_VALUE"""),"Geddalhalli")</f>
        <v>Geddalhalli</v>
      </c>
      <c r="I2352" s="1"/>
      <c r="J2352" s="1" t="str">
        <f ca="1">IFERROR(__xludf.DUMMYFUNCTION("""COMPUTED_VALUE"""),"0d 17h 25m")</f>
        <v>0d 17h 25m</v>
      </c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13.2">
      <c r="A2353" s="1">
        <f ca="1">IFERROR(__xludf.DUMMYFUNCTION("""COMPUTED_VALUE"""),49)</f>
        <v>49</v>
      </c>
      <c r="B2353" s="1" t="str">
        <f ca="1">IFERROR(__xludf.DUMMYFUNCTION("""COMPUTED_VALUE"""),"Wwm_KA53B3470_Suction")</f>
        <v>Wwm_KA53B3470_Suction</v>
      </c>
      <c r="C2353" s="1" t="str">
        <f ca="1">IFERROR(__xludf.DUMMYFUNCTION("""COMPUTED_VALUE"""),"wwm_ka53b3470_suction")</f>
        <v>wwm_ka53b3470_suction</v>
      </c>
      <c r="D2353" s="2">
        <f ca="1">IFERROR(__xludf.DUMMYFUNCTION("""COMPUTED_VALUE"""),44700)</f>
        <v>44700</v>
      </c>
      <c r="E2353" s="3">
        <f ca="1">IFERROR(__xludf.DUMMYFUNCTION("""COMPUTED_VALUE"""),0.700798611109348)</f>
        <v>0.70079861110934805</v>
      </c>
      <c r="F2353" s="1">
        <f ca="1">IFERROR(__xludf.DUMMYFUNCTION("""COMPUTED_VALUE"""),18577)</f>
        <v>18577</v>
      </c>
      <c r="G2353" s="1" t="str">
        <f ca="1">IFERROR(__xludf.DUMMYFUNCTION("""COMPUTED_VALUE"""),"13.0441/77.6430")</f>
        <v>13.0441/77.6430</v>
      </c>
      <c r="H2353" s="1" t="str">
        <f ca="1">IFERROR(__xludf.DUMMYFUNCTION("""COMPUTED_VALUE"""),"Geddalhalli")</f>
        <v>Geddalhalli</v>
      </c>
      <c r="I2353" s="1"/>
      <c r="J2353" s="1" t="str">
        <f ca="1">IFERROR(__xludf.DUMMYFUNCTION("""COMPUTED_VALUE"""),"0d 17h 25m")</f>
        <v>0d 17h 25m</v>
      </c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13.2">
      <c r="A2354" s="1">
        <f ca="1">IFERROR(__xludf.DUMMYFUNCTION("""COMPUTED_VALUE"""),48)</f>
        <v>48</v>
      </c>
      <c r="B2354" s="1" t="str">
        <f ca="1">IFERROR(__xludf.DUMMYFUNCTION("""COMPUTED_VALUE"""),"Wwm_KA53B3470_Suction")</f>
        <v>Wwm_KA53B3470_Suction</v>
      </c>
      <c r="C2354" s="1" t="str">
        <f ca="1">IFERROR(__xludf.DUMMYFUNCTION("""COMPUTED_VALUE"""),"wwm_ka53b3470_suction")</f>
        <v>wwm_ka53b3470_suction</v>
      </c>
      <c r="D2354" s="2">
        <f ca="1">IFERROR(__xludf.DUMMYFUNCTION("""COMPUTED_VALUE"""),44700)</f>
        <v>44700</v>
      </c>
      <c r="E2354" s="3">
        <f ca="1">IFERROR(__xludf.DUMMYFUNCTION("""COMPUTED_VALUE"""),0.700798611109348)</f>
        <v>0.70079861110934805</v>
      </c>
      <c r="F2354" s="1">
        <f ca="1">IFERROR(__xludf.DUMMYFUNCTION("""COMPUTED_VALUE"""),18577)</f>
        <v>18577</v>
      </c>
      <c r="G2354" s="1" t="str">
        <f ca="1">IFERROR(__xludf.DUMMYFUNCTION("""COMPUTED_VALUE"""),"13.0441/77.6430")</f>
        <v>13.0441/77.6430</v>
      </c>
      <c r="H2354" s="1" t="str">
        <f ca="1">IFERROR(__xludf.DUMMYFUNCTION("""COMPUTED_VALUE"""),"Geddalhalli")</f>
        <v>Geddalhalli</v>
      </c>
      <c r="I2354" s="1"/>
      <c r="J2354" s="1" t="str">
        <f ca="1">IFERROR(__xludf.DUMMYFUNCTION("""COMPUTED_VALUE"""),"0d 17h 26m")</f>
        <v>0d 17h 26m</v>
      </c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13.2">
      <c r="A2355" s="1">
        <f ca="1">IFERROR(__xludf.DUMMYFUNCTION("""COMPUTED_VALUE"""),44)</f>
        <v>44</v>
      </c>
      <c r="B2355" s="1" t="str">
        <f ca="1">IFERROR(__xludf.DUMMYFUNCTION("""COMPUTED_VALUE"""),"Wwm_KA53B3470_Suction")</f>
        <v>Wwm_KA53B3470_Suction</v>
      </c>
      <c r="C2355" s="1" t="str">
        <f ca="1">IFERROR(__xludf.DUMMYFUNCTION("""COMPUTED_VALUE"""),"wwm_ka53b3470_suction")</f>
        <v>wwm_ka53b3470_suction</v>
      </c>
      <c r="D2355" s="2">
        <f ca="1">IFERROR(__xludf.DUMMYFUNCTION("""COMPUTED_VALUE"""),44700)</f>
        <v>44700</v>
      </c>
      <c r="E2355" s="3">
        <f ca="1">IFERROR(__xludf.DUMMYFUNCTION("""COMPUTED_VALUE"""),0.700798611109348)</f>
        <v>0.70079861110934805</v>
      </c>
      <c r="F2355" s="1">
        <f ca="1">IFERROR(__xludf.DUMMYFUNCTION("""COMPUTED_VALUE"""),18577)</f>
        <v>18577</v>
      </c>
      <c r="G2355" s="1" t="str">
        <f ca="1">IFERROR(__xludf.DUMMYFUNCTION("""COMPUTED_VALUE"""),"13.0441/77.6430")</f>
        <v>13.0441/77.6430</v>
      </c>
      <c r="H2355" s="1" t="str">
        <f ca="1">IFERROR(__xludf.DUMMYFUNCTION("""COMPUTED_VALUE"""),"Geddalhalli")</f>
        <v>Geddalhalli</v>
      </c>
      <c r="I2355" s="1"/>
      <c r="J2355" s="1" t="str">
        <f ca="1">IFERROR(__xludf.DUMMYFUNCTION("""COMPUTED_VALUE"""),"0d 17h 27m")</f>
        <v>0d 17h 27m</v>
      </c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13.2">
      <c r="A2356" s="1">
        <f ca="1">IFERROR(__xludf.DUMMYFUNCTION("""COMPUTED_VALUE"""),44)</f>
        <v>44</v>
      </c>
      <c r="B2356" s="1" t="str">
        <f ca="1">IFERROR(__xludf.DUMMYFUNCTION("""COMPUTED_VALUE"""),"Wwm_KA53B3470_Suction")</f>
        <v>Wwm_KA53B3470_Suction</v>
      </c>
      <c r="C2356" s="1" t="str">
        <f ca="1">IFERROR(__xludf.DUMMYFUNCTION("""COMPUTED_VALUE"""),"wwm_ka53b3470_suction")</f>
        <v>wwm_ka53b3470_suction</v>
      </c>
      <c r="D2356" s="2">
        <f ca="1">IFERROR(__xludf.DUMMYFUNCTION("""COMPUTED_VALUE"""),44700)</f>
        <v>44700</v>
      </c>
      <c r="E2356" s="3">
        <f ca="1">IFERROR(__xludf.DUMMYFUNCTION("""COMPUTED_VALUE"""),0.700798611109348)</f>
        <v>0.70079861110934805</v>
      </c>
      <c r="F2356" s="1">
        <f ca="1">IFERROR(__xludf.DUMMYFUNCTION("""COMPUTED_VALUE"""),18577)</f>
        <v>18577</v>
      </c>
      <c r="G2356" s="1" t="str">
        <f ca="1">IFERROR(__xludf.DUMMYFUNCTION("""COMPUTED_VALUE"""),"13.0441/77.6430")</f>
        <v>13.0441/77.6430</v>
      </c>
      <c r="H2356" s="1" t="str">
        <f ca="1">IFERROR(__xludf.DUMMYFUNCTION("""COMPUTED_VALUE"""),"Geddalhalli")</f>
        <v>Geddalhalli</v>
      </c>
      <c r="I2356" s="1"/>
      <c r="J2356" s="1" t="str">
        <f ca="1">IFERROR(__xludf.DUMMYFUNCTION("""COMPUTED_VALUE"""),"0d 17h 28m")</f>
        <v>0d 17h 28m</v>
      </c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13.2">
      <c r="A2357" s="1">
        <f ca="1">IFERROR(__xludf.DUMMYFUNCTION("""COMPUTED_VALUE"""),108)</f>
        <v>108</v>
      </c>
      <c r="B2357" s="1" t="str">
        <f ca="1">IFERROR(__xludf.DUMMYFUNCTION("""COMPUTED_VALUE"""),"Wwm_KA53B3471_Suction")</f>
        <v>Wwm_KA53B3471_Suction</v>
      </c>
      <c r="C2357" s="1" t="str">
        <f ca="1">IFERROR(__xludf.DUMMYFUNCTION("""COMPUTED_VALUE"""),"wwm_ka53b3471_suction")</f>
        <v>wwm_ka53b3471_suction</v>
      </c>
      <c r="D2357" s="2">
        <f ca="1">IFERROR(__xludf.DUMMYFUNCTION("""COMPUTED_VALUE"""),44705)</f>
        <v>44705</v>
      </c>
      <c r="E2357" s="3">
        <f ca="1">IFERROR(__xludf.DUMMYFUNCTION("""COMPUTED_VALUE"""),0.474432870370947)</f>
        <v>0.474432870370947</v>
      </c>
      <c r="F2357" s="1">
        <f ca="1">IFERROR(__xludf.DUMMYFUNCTION("""COMPUTED_VALUE"""),40524)</f>
        <v>40524</v>
      </c>
      <c r="G2357" s="1" t="str">
        <f ca="1">IFERROR(__xludf.DUMMYFUNCTION("""COMPUTED_VALUE"""),"13.0425/77.6015")</f>
        <v>13.0425/77.6015</v>
      </c>
      <c r="H2357" s="1" t="str">
        <f ca="1">IFERROR(__xludf.DUMMYFUNCTION("""COMPUTED_VALUE"""),"VishvanÄt Nagenhalli")</f>
        <v>VishvanÄt Nagenhalli</v>
      </c>
      <c r="I2357" s="1"/>
      <c r="J2357" s="1" t="str">
        <f ca="1">IFERROR(__xludf.DUMMYFUNCTION("""COMPUTED_VALUE"""),"0d 00h 00m")</f>
        <v>0d 00h 00m</v>
      </c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13.2">
      <c r="A2358" s="1">
        <f ca="1">IFERROR(__xludf.DUMMYFUNCTION("""COMPUTED_VALUE"""),159)</f>
        <v>159</v>
      </c>
      <c r="B2358" s="1" t="str">
        <f ca="1">IFERROR(__xludf.DUMMYFUNCTION("""COMPUTED_VALUE"""),"Wwm_KA53B3471_Suction")</f>
        <v>Wwm_KA53B3471_Suction</v>
      </c>
      <c r="C2358" s="1" t="str">
        <f ca="1">IFERROR(__xludf.DUMMYFUNCTION("""COMPUTED_VALUE"""),"wwm_ka53b3471_suction")</f>
        <v>wwm_ka53b3471_suction</v>
      </c>
      <c r="D2358" s="2">
        <f ca="1">IFERROR(__xludf.DUMMYFUNCTION("""COMPUTED_VALUE"""),44738)</f>
        <v>44738</v>
      </c>
      <c r="E2358" s="3">
        <f ca="1">IFERROR(__xludf.DUMMYFUNCTION("""COMPUTED_VALUE"""),0.998888888887449)</f>
        <v>0.99888888888744898</v>
      </c>
      <c r="F2358" s="1">
        <f ca="1">IFERROR(__xludf.DUMMYFUNCTION("""COMPUTED_VALUE"""),41227)</f>
        <v>41227</v>
      </c>
      <c r="G2358" s="1" t="str">
        <f ca="1">IFERROR(__xludf.DUMMYFUNCTION("""COMPUTED_VALUE"""),"13.0427/77.6015")</f>
        <v>13.0427/77.6015</v>
      </c>
      <c r="H2358" s="1" t="str">
        <f ca="1">IFERROR(__xludf.DUMMYFUNCTION("""COMPUTED_VALUE"""),"Visvesvaraya Nagenhalli")</f>
        <v>Visvesvaraya Nagenhalli</v>
      </c>
      <c r="I2358" s="1"/>
      <c r="J2358" s="1" t="str">
        <f ca="1">IFERROR(__xludf.DUMMYFUNCTION("""COMPUTED_VALUE"""),"0d 00h 00m")</f>
        <v>0d 00h 00m</v>
      </c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13.2">
      <c r="A2359" s="1">
        <f ca="1">IFERROR(__xludf.DUMMYFUNCTION("""COMPUTED_VALUE"""),215)</f>
        <v>215</v>
      </c>
      <c r="B2359" s="1" t="str">
        <f ca="1">IFERROR(__xludf.DUMMYFUNCTION("""COMPUTED_VALUE"""),"Wwm_KA53B3471_Suction")</f>
        <v>Wwm_KA53B3471_Suction</v>
      </c>
      <c r="C2359" s="1" t="str">
        <f ca="1">IFERROR(__xludf.DUMMYFUNCTION("""COMPUTED_VALUE"""),"wwm_ka53b3471_suction")</f>
        <v>wwm_ka53b3471_suction</v>
      </c>
      <c r="D2359" s="2">
        <f ca="1">IFERROR(__xludf.DUMMYFUNCTION("""COMPUTED_VALUE"""),44768)</f>
        <v>44768</v>
      </c>
      <c r="E2359" s="3">
        <f ca="1">IFERROR(__xludf.DUMMYFUNCTION("""COMPUTED_VALUE"""),0.99921296296452)</f>
        <v>0.99921296296452</v>
      </c>
      <c r="F2359" s="1">
        <f ca="1">IFERROR(__xludf.DUMMYFUNCTION("""COMPUTED_VALUE"""),41902)</f>
        <v>41902</v>
      </c>
      <c r="G2359" s="1" t="str">
        <f ca="1">IFERROR(__xludf.DUMMYFUNCTION("""COMPUTED_VALUE"""),"13.0426/77.6016")</f>
        <v>13.0426/77.6016</v>
      </c>
      <c r="H2359" s="1" t="str">
        <f ca="1">IFERROR(__xludf.DUMMYFUNCTION("""COMPUTED_VALUE"""),"Visvesvaraya Nagenhalli")</f>
        <v>Visvesvaraya Nagenhalli</v>
      </c>
      <c r="I2359" s="1"/>
      <c r="J2359" s="1" t="str">
        <f ca="1">IFERROR(__xludf.DUMMYFUNCTION("""COMPUTED_VALUE"""),"0d 00h 00m")</f>
        <v>0d 00h 00m</v>
      </c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13.2">
      <c r="A2360" s="1">
        <f ca="1">IFERROR(__xludf.DUMMYFUNCTION("""COMPUTED_VALUE"""),98)</f>
        <v>98</v>
      </c>
      <c r="B2360" s="1" t="str">
        <f ca="1">IFERROR(__xludf.DUMMYFUNCTION("""COMPUTED_VALUE"""),"Wwm_KA53B3471_Suction")</f>
        <v>Wwm_KA53B3471_Suction</v>
      </c>
      <c r="C2360" s="1" t="str">
        <f ca="1">IFERROR(__xludf.DUMMYFUNCTION("""COMPUTED_VALUE"""),"wwm_ka53b3471_suction")</f>
        <v>wwm_ka53b3471_suction</v>
      </c>
      <c r="D2360" s="2">
        <f ca="1">IFERROR(__xludf.DUMMYFUNCTION("""COMPUTED_VALUE"""),44782)</f>
        <v>44782</v>
      </c>
      <c r="E2360" s="3">
        <f ca="1">IFERROR(__xludf.DUMMYFUNCTION("""COMPUTED_VALUE"""),0.0373263888905057)</f>
        <v>3.7326388890505699E-2</v>
      </c>
      <c r="F2360" s="1">
        <f ca="1">IFERROR(__xludf.DUMMYFUNCTION("""COMPUTED_VALUE"""),42006)</f>
        <v>42006</v>
      </c>
      <c r="G2360" s="1" t="str">
        <f ca="1">IFERROR(__xludf.DUMMYFUNCTION("""COMPUTED_VALUE"""),"13.0102/77.5666")</f>
        <v>13.0102/77.5666</v>
      </c>
      <c r="H2360" s="1" t="str">
        <f ca="1">IFERROR(__xludf.DUMMYFUNCTION("""COMPUTED_VALUE"""),"Malleshwaram")</f>
        <v>Malleshwaram</v>
      </c>
      <c r="I2360" s="1"/>
      <c r="J2360" s="1" t="str">
        <f ca="1">IFERROR(__xludf.DUMMYFUNCTION("""COMPUTED_VALUE"""),"0d 00h 00m")</f>
        <v>0d 00h 00m</v>
      </c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13.2">
      <c r="A2361" s="1">
        <f ca="1">IFERROR(__xludf.DUMMYFUNCTION("""COMPUTED_VALUE"""),141)</f>
        <v>141</v>
      </c>
      <c r="B2361" s="1" t="str">
        <f ca="1">IFERROR(__xludf.DUMMYFUNCTION("""COMPUTED_VALUE"""),"Wwm_KA53B3471_Suction")</f>
        <v>Wwm_KA53B3471_Suction</v>
      </c>
      <c r="C2361" s="1" t="str">
        <f ca="1">IFERROR(__xludf.DUMMYFUNCTION("""COMPUTED_VALUE"""),"wwm_ka53b3471_suction")</f>
        <v>wwm_ka53b3471_suction</v>
      </c>
      <c r="D2361" s="2">
        <f ca="1">IFERROR(__xludf.DUMMYFUNCTION("""COMPUTED_VALUE"""),44830)</f>
        <v>44830</v>
      </c>
      <c r="E2361" s="3">
        <f ca="1">IFERROR(__xludf.DUMMYFUNCTION("""COMPUTED_VALUE"""),0.168217592592554)</f>
        <v>0.168217592592554</v>
      </c>
      <c r="F2361" s="1">
        <f ca="1">IFERROR(__xludf.DUMMYFUNCTION("""COMPUTED_VALUE"""),42080)</f>
        <v>42080</v>
      </c>
      <c r="G2361" s="1" t="str">
        <f ca="1">IFERROR(__xludf.DUMMYFUNCTION("""COMPUTED_VALUE"""),"13.0429/77.6017")</f>
        <v>13.0429/77.6017</v>
      </c>
      <c r="H2361" s="1" t="str">
        <f ca="1">IFERROR(__xludf.DUMMYFUNCTION("""COMPUTED_VALUE"""),"Visvesvaraya Nagenhalli")</f>
        <v>Visvesvaraya Nagenhalli</v>
      </c>
      <c r="I2361" s="1"/>
      <c r="J2361" s="1" t="str">
        <f ca="1">IFERROR(__xludf.DUMMYFUNCTION("""COMPUTED_VALUE"""),"0d 00h 00m")</f>
        <v>0d 00h 00m</v>
      </c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13.2">
      <c r="A2362" s="1">
        <f ca="1">IFERROR(__xludf.DUMMYFUNCTION("""COMPUTED_VALUE"""),183)</f>
        <v>183</v>
      </c>
      <c r="B2362" s="1" t="str">
        <f ca="1">IFERROR(__xludf.DUMMYFUNCTION("""COMPUTED_VALUE"""),"Wwm_KA53B3471_Suction")</f>
        <v>Wwm_KA53B3471_Suction</v>
      </c>
      <c r="C2362" s="1" t="str">
        <f ca="1">IFERROR(__xludf.DUMMYFUNCTION("""COMPUTED_VALUE"""),"wwm_ka53b3471_suction")</f>
        <v>wwm_ka53b3471_suction</v>
      </c>
      <c r="D2362" s="2">
        <f ca="1">IFERROR(__xludf.DUMMYFUNCTION("""COMPUTED_VALUE"""),44860)</f>
        <v>44860</v>
      </c>
      <c r="E2362" s="3">
        <f ca="1">IFERROR(__xludf.DUMMYFUNCTION("""COMPUTED_VALUE"""),0.999085648149048)</f>
        <v>0.99908564814904799</v>
      </c>
      <c r="F2362" s="1">
        <f ca="1">IFERROR(__xludf.DUMMYFUNCTION("""COMPUTED_VALUE"""),42511)</f>
        <v>42511</v>
      </c>
      <c r="G2362" s="1" t="str">
        <f ca="1">IFERROR(__xludf.DUMMYFUNCTION("""COMPUTED_VALUE"""),"13.0429/77.6017")</f>
        <v>13.0429/77.6017</v>
      </c>
      <c r="H2362" s="1" t="str">
        <f ca="1">IFERROR(__xludf.DUMMYFUNCTION("""COMPUTED_VALUE"""),"Visvesvaraya Nagenhalli")</f>
        <v>Visvesvaraya Nagenhalli</v>
      </c>
      <c r="I2362" s="1"/>
      <c r="J2362" s="1" t="str">
        <f ca="1">IFERROR(__xludf.DUMMYFUNCTION("""COMPUTED_VALUE"""),"0d 00h 00m")</f>
        <v>0d 00h 00m</v>
      </c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13.2">
      <c r="A2363" s="1">
        <f ca="1">IFERROR(__xludf.DUMMYFUNCTION("""COMPUTED_VALUE"""),126)</f>
        <v>126</v>
      </c>
      <c r="B2363" s="1" t="str">
        <f ca="1">IFERROR(__xludf.DUMMYFUNCTION("""COMPUTED_VALUE"""),"Wwm_KA53B3474_Dumping")</f>
        <v>Wwm_KA53B3474_Dumping</v>
      </c>
      <c r="C2363" s="1" t="str">
        <f ca="1">IFERROR(__xludf.DUMMYFUNCTION("""COMPUTED_VALUE"""),"wwm_ka53b3474_dumping")</f>
        <v>wwm_ka53b3474_dumping</v>
      </c>
      <c r="D2363" s="2">
        <f ca="1">IFERROR(__xludf.DUMMYFUNCTION("""COMPUTED_VALUE"""),44707)</f>
        <v>44707</v>
      </c>
      <c r="E2363" s="3">
        <f ca="1">IFERROR(__xludf.DUMMYFUNCTION("""COMPUTED_VALUE"""),0.537650462963938)</f>
        <v>0.53765046296393804</v>
      </c>
      <c r="F2363" s="1">
        <f ca="1">IFERROR(__xludf.DUMMYFUNCTION("""COMPUTED_VALUE"""),11107)</f>
        <v>11107</v>
      </c>
      <c r="G2363" s="1" t="str">
        <f ca="1">IFERROR(__xludf.DUMMYFUNCTION("""COMPUTED_VALUE"""),"13.0424/77.6014")</f>
        <v>13.0424/77.6014</v>
      </c>
      <c r="H2363" s="1" t="str">
        <f ca="1">IFERROR(__xludf.DUMMYFUNCTION("""COMPUTED_VALUE"""),"VishvanÄt Nagenhalli")</f>
        <v>VishvanÄt Nagenhalli</v>
      </c>
      <c r="I2363" s="1"/>
      <c r="J2363" s="1" t="str">
        <f ca="1">IFERROR(__xludf.DUMMYFUNCTION("""COMPUTED_VALUE"""),"27d 23h 54m")</f>
        <v>27d 23h 54m</v>
      </c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13.2">
      <c r="A2364" s="1">
        <f ca="1">IFERROR(__xludf.DUMMYFUNCTION("""COMPUTED_VALUE"""),61)</f>
        <v>61</v>
      </c>
      <c r="B2364" s="1" t="str">
        <f ca="1">IFERROR(__xludf.DUMMYFUNCTION("""COMPUTED_VALUE"""),"Wwm_KA53B3474_Dumping")</f>
        <v>Wwm_KA53B3474_Dumping</v>
      </c>
      <c r="C2364" s="1" t="str">
        <f ca="1">IFERROR(__xludf.DUMMYFUNCTION("""COMPUTED_VALUE"""),"wwm_ka53b3474_dumping")</f>
        <v>wwm_ka53b3474_dumping</v>
      </c>
      <c r="D2364" s="2">
        <f ca="1">IFERROR(__xludf.DUMMYFUNCTION("""COMPUTED_VALUE"""),44709)</f>
        <v>44709</v>
      </c>
      <c r="E2364" s="3">
        <f ca="1">IFERROR(__xludf.DUMMYFUNCTION("""COMPUTED_VALUE"""),0.485543981481896)</f>
        <v>0.48554398148189598</v>
      </c>
      <c r="F2364" s="1">
        <f ca="1">IFERROR(__xludf.DUMMYFUNCTION("""COMPUTED_VALUE"""),11109)</f>
        <v>11109</v>
      </c>
      <c r="G2364" s="1" t="str">
        <f ca="1">IFERROR(__xludf.DUMMYFUNCTION("""COMPUTED_VALUE"""),"13.0419/77.5971")</f>
        <v>13.0419/77.5971</v>
      </c>
      <c r="H2364" s="1" t="str">
        <f ca="1">IFERROR(__xludf.DUMMYFUNCTION("""COMPUTED_VALUE"""),"Gudahalli")</f>
        <v>Gudahalli</v>
      </c>
      <c r="I2364" s="1"/>
      <c r="J2364" s="1" t="str">
        <f ca="1">IFERROR(__xludf.DUMMYFUNCTION("""COMPUTED_VALUE"""),"27d 23h 55m")</f>
        <v>27d 23h 55m</v>
      </c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13.2">
      <c r="A2365" s="1">
        <f ca="1">IFERROR(__xludf.DUMMYFUNCTION("""COMPUTED_VALUE"""),52)</f>
        <v>52</v>
      </c>
      <c r="B2365" s="1" t="str">
        <f ca="1">IFERROR(__xludf.DUMMYFUNCTION("""COMPUTED_VALUE"""),"Wwm_KA53B3474_Dumping")</f>
        <v>Wwm_KA53B3474_Dumping</v>
      </c>
      <c r="C2365" s="1" t="str">
        <f ca="1">IFERROR(__xludf.DUMMYFUNCTION("""COMPUTED_VALUE"""),"wwm_ka53b3474_dumping")</f>
        <v>wwm_ka53b3474_dumping</v>
      </c>
      <c r="D2365" s="2">
        <f ca="1">IFERROR(__xludf.DUMMYFUNCTION("""COMPUTED_VALUE"""),44709)</f>
        <v>44709</v>
      </c>
      <c r="E2365" s="3">
        <f ca="1">IFERROR(__xludf.DUMMYFUNCTION("""COMPUTED_VALUE"""),0.485543981481896)</f>
        <v>0.48554398148189598</v>
      </c>
      <c r="F2365" s="1">
        <f ca="1">IFERROR(__xludf.DUMMYFUNCTION("""COMPUTED_VALUE"""),11109)</f>
        <v>11109</v>
      </c>
      <c r="G2365" s="1" t="str">
        <f ca="1">IFERROR(__xludf.DUMMYFUNCTION("""COMPUTED_VALUE"""),"13.0419/77.5971")</f>
        <v>13.0419/77.5971</v>
      </c>
      <c r="H2365" s="1" t="str">
        <f ca="1">IFERROR(__xludf.DUMMYFUNCTION("""COMPUTED_VALUE"""),"Gudahalli")</f>
        <v>Gudahalli</v>
      </c>
      <c r="I2365" s="1"/>
      <c r="J2365" s="1" t="str">
        <f ca="1">IFERROR(__xludf.DUMMYFUNCTION("""COMPUTED_VALUE"""),"27d 23h 56m")</f>
        <v>27d 23h 56m</v>
      </c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13.2">
      <c r="A2366" s="1">
        <f ca="1">IFERROR(__xludf.DUMMYFUNCTION("""COMPUTED_VALUE"""),51)</f>
        <v>51</v>
      </c>
      <c r="B2366" s="1" t="str">
        <f ca="1">IFERROR(__xludf.DUMMYFUNCTION("""COMPUTED_VALUE"""),"Wwm_KA53B3474_Dumping")</f>
        <v>Wwm_KA53B3474_Dumping</v>
      </c>
      <c r="C2366" s="1" t="str">
        <f ca="1">IFERROR(__xludf.DUMMYFUNCTION("""COMPUTED_VALUE"""),"wwm_ka53b3474_dumping")</f>
        <v>wwm_ka53b3474_dumping</v>
      </c>
      <c r="D2366" s="2">
        <f ca="1">IFERROR(__xludf.DUMMYFUNCTION("""COMPUTED_VALUE"""),44709)</f>
        <v>44709</v>
      </c>
      <c r="E2366" s="3">
        <f ca="1">IFERROR(__xludf.DUMMYFUNCTION("""COMPUTED_VALUE"""),0.485543981481896)</f>
        <v>0.48554398148189598</v>
      </c>
      <c r="F2366" s="1">
        <f ca="1">IFERROR(__xludf.DUMMYFUNCTION("""COMPUTED_VALUE"""),11109)</f>
        <v>11109</v>
      </c>
      <c r="G2366" s="1" t="str">
        <f ca="1">IFERROR(__xludf.DUMMYFUNCTION("""COMPUTED_VALUE"""),"13.0419/77.5971")</f>
        <v>13.0419/77.5971</v>
      </c>
      <c r="H2366" s="1" t="str">
        <f ca="1">IFERROR(__xludf.DUMMYFUNCTION("""COMPUTED_VALUE"""),"Gudahalli")</f>
        <v>Gudahalli</v>
      </c>
      <c r="I2366" s="1"/>
      <c r="J2366" s="1" t="str">
        <f ca="1">IFERROR(__xludf.DUMMYFUNCTION("""COMPUTED_VALUE"""),"27d 23h 56m")</f>
        <v>27d 23h 56m</v>
      </c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13.2">
      <c r="A2367" s="1">
        <f ca="1">IFERROR(__xludf.DUMMYFUNCTION("""COMPUTED_VALUE"""),46)</f>
        <v>46</v>
      </c>
      <c r="B2367" s="1" t="str">
        <f ca="1">IFERROR(__xludf.DUMMYFUNCTION("""COMPUTED_VALUE"""),"Wwm_KA53B3474_Dumping")</f>
        <v>Wwm_KA53B3474_Dumping</v>
      </c>
      <c r="C2367" s="1" t="str">
        <f ca="1">IFERROR(__xludf.DUMMYFUNCTION("""COMPUTED_VALUE"""),"wwm_ka53b3474_dumping")</f>
        <v>wwm_ka53b3474_dumping</v>
      </c>
      <c r="D2367" s="2">
        <f ca="1">IFERROR(__xludf.DUMMYFUNCTION("""COMPUTED_VALUE"""),44709)</f>
        <v>44709</v>
      </c>
      <c r="E2367" s="3">
        <f ca="1">IFERROR(__xludf.DUMMYFUNCTION("""COMPUTED_VALUE"""),0.485543981481896)</f>
        <v>0.48554398148189598</v>
      </c>
      <c r="F2367" s="1">
        <f ca="1">IFERROR(__xludf.DUMMYFUNCTION("""COMPUTED_VALUE"""),11109)</f>
        <v>11109</v>
      </c>
      <c r="G2367" s="1" t="str">
        <f ca="1">IFERROR(__xludf.DUMMYFUNCTION("""COMPUTED_VALUE"""),"13.0419/77.5971")</f>
        <v>13.0419/77.5971</v>
      </c>
      <c r="H2367" s="1" t="str">
        <f ca="1">IFERROR(__xludf.DUMMYFUNCTION("""COMPUTED_VALUE"""),"Gudahalli")</f>
        <v>Gudahalli</v>
      </c>
      <c r="I2367" s="1"/>
      <c r="J2367" s="1" t="str">
        <f ca="1">IFERROR(__xludf.DUMMYFUNCTION("""COMPUTED_VALUE"""),"27d 23h 57m")</f>
        <v>27d 23h 57m</v>
      </c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13.2">
      <c r="A2368" s="1">
        <f ca="1">IFERROR(__xludf.DUMMYFUNCTION("""COMPUTED_VALUE"""),46)</f>
        <v>46</v>
      </c>
      <c r="B2368" s="1" t="str">
        <f ca="1">IFERROR(__xludf.DUMMYFUNCTION("""COMPUTED_VALUE"""),"Wwm_KA53B3474_Dumping")</f>
        <v>Wwm_KA53B3474_Dumping</v>
      </c>
      <c r="C2368" s="1" t="str">
        <f ca="1">IFERROR(__xludf.DUMMYFUNCTION("""COMPUTED_VALUE"""),"wwm_ka53b3474_dumping")</f>
        <v>wwm_ka53b3474_dumping</v>
      </c>
      <c r="D2368" s="2">
        <f ca="1">IFERROR(__xludf.DUMMYFUNCTION("""COMPUTED_VALUE"""),44709)</f>
        <v>44709</v>
      </c>
      <c r="E2368" s="3">
        <f ca="1">IFERROR(__xludf.DUMMYFUNCTION("""COMPUTED_VALUE"""),0.485543981481896)</f>
        <v>0.48554398148189598</v>
      </c>
      <c r="F2368" s="1">
        <f ca="1">IFERROR(__xludf.DUMMYFUNCTION("""COMPUTED_VALUE"""),11109)</f>
        <v>11109</v>
      </c>
      <c r="G2368" s="1" t="str">
        <f ca="1">IFERROR(__xludf.DUMMYFUNCTION("""COMPUTED_VALUE"""),"13.0419/77.5971")</f>
        <v>13.0419/77.5971</v>
      </c>
      <c r="H2368" s="1" t="str">
        <f ca="1">IFERROR(__xludf.DUMMYFUNCTION("""COMPUTED_VALUE"""),"Gudahalli")</f>
        <v>Gudahalli</v>
      </c>
      <c r="I2368" s="1"/>
      <c r="J2368" s="1" t="str">
        <f ca="1">IFERROR(__xludf.DUMMYFUNCTION("""COMPUTED_VALUE"""),"27d 23h 58m")</f>
        <v>27d 23h 58m</v>
      </c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13.2">
      <c r="A2369" s="1">
        <f ca="1">IFERROR(__xludf.DUMMYFUNCTION("""COMPUTED_VALUE"""),126)</f>
        <v>126</v>
      </c>
      <c r="B2369" s="1" t="str">
        <f ca="1">IFERROR(__xludf.DUMMYFUNCTION("""COMPUTED_VALUE"""),"WWM_KA53B3474_DUMPING")</f>
        <v>WWM_KA53B3474_DUMPING</v>
      </c>
      <c r="C2369" s="1" t="str">
        <f ca="1">IFERROR(__xludf.DUMMYFUNCTION("""COMPUTED_VALUE"""),"wwm_ka53b3474_dumping")</f>
        <v>wwm_ka53b3474_dumping</v>
      </c>
      <c r="D2369" s="2">
        <f ca="1">IFERROR(__xludf.DUMMYFUNCTION("""COMPUTED_VALUE"""),44709)</f>
        <v>44709</v>
      </c>
      <c r="E2369" s="3">
        <f ca="1">IFERROR(__xludf.DUMMYFUNCTION("""COMPUTED_VALUE"""),0.485543981481896)</f>
        <v>0.48554398148189598</v>
      </c>
      <c r="F2369" s="1">
        <f ca="1">IFERROR(__xludf.DUMMYFUNCTION("""COMPUTED_VALUE"""),11109)</f>
        <v>11109</v>
      </c>
      <c r="G2369" s="1" t="str">
        <f ca="1">IFERROR(__xludf.DUMMYFUNCTION("""COMPUTED_VALUE"""),"13.0419/77.5971")</f>
        <v>13.0419/77.5971</v>
      </c>
      <c r="H2369" s="1" t="str">
        <f ca="1">IFERROR(__xludf.DUMMYFUNCTION("""COMPUTED_VALUE"""),"Gudahalli")</f>
        <v>Gudahalli</v>
      </c>
      <c r="I2369" s="1"/>
      <c r="J2369" s="1" t="str">
        <f ca="1">IFERROR(__xludf.DUMMYFUNCTION("""COMPUTED_VALUE"""),"0d 00h 38m")</f>
        <v>0d 00h 38m</v>
      </c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13.2">
      <c r="A2370" s="1">
        <f ca="1">IFERROR(__xludf.DUMMYFUNCTION("""COMPUTED_VALUE"""),126)</f>
        <v>126</v>
      </c>
      <c r="B2370" s="1" t="str">
        <f ca="1">IFERROR(__xludf.DUMMYFUNCTION("""COMPUTED_VALUE"""),"WWM_KA53B3474_DUMPING")</f>
        <v>WWM_KA53B3474_DUMPING</v>
      </c>
      <c r="C2370" s="1" t="str">
        <f ca="1">IFERROR(__xludf.DUMMYFUNCTION("""COMPUTED_VALUE"""),"wwm_ka53b3474_dumping")</f>
        <v>wwm_ka53b3474_dumping</v>
      </c>
      <c r="D2370" s="2">
        <f ca="1">IFERROR(__xludf.DUMMYFUNCTION("""COMPUTED_VALUE"""),44709)</f>
        <v>44709</v>
      </c>
      <c r="E2370" s="3">
        <f ca="1">IFERROR(__xludf.DUMMYFUNCTION("""COMPUTED_VALUE"""),0.485543981481896)</f>
        <v>0.48554398148189598</v>
      </c>
      <c r="F2370" s="1">
        <f ca="1">IFERROR(__xludf.DUMMYFUNCTION("""COMPUTED_VALUE"""),11109)</f>
        <v>11109</v>
      </c>
      <c r="G2370" s="1" t="str">
        <f ca="1">IFERROR(__xludf.DUMMYFUNCTION("""COMPUTED_VALUE"""),"13.0419/77.5971")</f>
        <v>13.0419/77.5971</v>
      </c>
      <c r="H2370" s="1" t="str">
        <f ca="1">IFERROR(__xludf.DUMMYFUNCTION("""COMPUTED_VALUE"""),"Gudahalli")</f>
        <v>Gudahalli</v>
      </c>
      <c r="I2370" s="1"/>
      <c r="J2370" s="1" t="str">
        <f ca="1">IFERROR(__xludf.DUMMYFUNCTION("""COMPUTED_VALUE"""),"0d 00h 39m")</f>
        <v>0d 00h 39m</v>
      </c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13.2">
      <c r="A2371" s="1">
        <f ca="1">IFERROR(__xludf.DUMMYFUNCTION("""COMPUTED_VALUE"""),154)</f>
        <v>154</v>
      </c>
      <c r="B2371" s="1" t="str">
        <f ca="1">IFERROR(__xludf.DUMMYFUNCTION("""COMPUTED_VALUE"""),"WWM_KA53B3474_DUMPING")</f>
        <v>WWM_KA53B3474_DUMPING</v>
      </c>
      <c r="C2371" s="1" t="str">
        <f ca="1">IFERROR(__xludf.DUMMYFUNCTION("""COMPUTED_VALUE"""),"wwm_ka53b3474_dumping")</f>
        <v>wwm_ka53b3474_dumping</v>
      </c>
      <c r="D2371" s="2">
        <f ca="1">IFERROR(__xludf.DUMMYFUNCTION("""COMPUTED_VALUE"""),44952)</f>
        <v>44952</v>
      </c>
      <c r="E2371" s="3">
        <f ca="1">IFERROR(__xludf.DUMMYFUNCTION("""COMPUTED_VALUE"""),0.999108796295331)</f>
        <v>0.999108796295331</v>
      </c>
      <c r="F2371" s="1">
        <f ca="1">IFERROR(__xludf.DUMMYFUNCTION("""COMPUTED_VALUE"""),11275)</f>
        <v>11275</v>
      </c>
      <c r="G2371" s="1" t="str">
        <f ca="1">IFERROR(__xludf.DUMMYFUNCTION("""COMPUTED_VALUE"""),"13.0424/77.6014")</f>
        <v>13.0424/77.6014</v>
      </c>
      <c r="H2371" s="1" t="str">
        <f ca="1">IFERROR(__xludf.DUMMYFUNCTION("""COMPUTED_VALUE"""),"Visvesvaraya Nagenhalli")</f>
        <v>Visvesvaraya Nagenhalli</v>
      </c>
      <c r="I2371" s="1"/>
      <c r="J2371" s="1" t="str">
        <f ca="1">IFERROR(__xludf.DUMMYFUNCTION("""COMPUTED_VALUE"""),"0d 00h 42m")</f>
        <v>0d 00h 42m</v>
      </c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13.2">
      <c r="A2372" s="1">
        <f ca="1">IFERROR(__xludf.DUMMYFUNCTION("""COMPUTED_VALUE"""),161)</f>
        <v>161</v>
      </c>
      <c r="B2372" s="1" t="str">
        <f ca="1">IFERROR(__xludf.DUMMYFUNCTION("""COMPUTED_VALUE"""),"WWM_KA53B3474_DUMPING")</f>
        <v>WWM_KA53B3474_DUMPING</v>
      </c>
      <c r="C2372" s="1" t="str">
        <f ca="1">IFERROR(__xludf.DUMMYFUNCTION("""COMPUTED_VALUE"""),"wwm_ka53b3474_dumping")</f>
        <v>wwm_ka53b3474_dumping</v>
      </c>
      <c r="D2372" s="2">
        <f ca="1">IFERROR(__xludf.DUMMYFUNCTION("""COMPUTED_VALUE"""),45042)</f>
        <v>45042</v>
      </c>
      <c r="E2372" s="3">
        <f ca="1">IFERROR(__xludf.DUMMYFUNCTION("""COMPUTED_VALUE"""),0.999155092591536)</f>
        <v>0.99915509259153601</v>
      </c>
      <c r="F2372" s="1">
        <f ca="1">IFERROR(__xludf.DUMMYFUNCTION("""COMPUTED_VALUE"""),11305)</f>
        <v>11305</v>
      </c>
      <c r="G2372" s="1" t="str">
        <f ca="1">IFERROR(__xludf.DUMMYFUNCTION("""COMPUTED_VALUE"""),"13.0425/77.6015")</f>
        <v>13.0425/77.6015</v>
      </c>
      <c r="H2372" s="1" t="str">
        <f ca="1">IFERROR(__xludf.DUMMYFUNCTION("""COMPUTED_VALUE"""),"Visvesvaraya Nagenhalli")</f>
        <v>Visvesvaraya Nagenhalli</v>
      </c>
      <c r="I2372" s="1"/>
      <c r="J2372" s="1" t="str">
        <f ca="1">IFERROR(__xludf.DUMMYFUNCTION("""COMPUTED_VALUE"""),"0d 00h 43m")</f>
        <v>0d 00h 43m</v>
      </c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13.2">
      <c r="A2373" s="1">
        <f ca="1">IFERROR(__xludf.DUMMYFUNCTION("""COMPUTED_VALUE"""),134)</f>
        <v>134</v>
      </c>
      <c r="B2373" s="1" t="str">
        <f ca="1">IFERROR(__xludf.DUMMYFUNCTION("""COMPUTED_VALUE"""),"WWM_KA53B3474_DUMPING")</f>
        <v>WWM_KA53B3474_DUMPING</v>
      </c>
      <c r="C2373" s="1" t="str">
        <f ca="1">IFERROR(__xludf.DUMMYFUNCTION("""COMPUTED_VALUE"""),"wwm_ka53b3474_dumping")</f>
        <v>wwm_ka53b3474_dumping</v>
      </c>
      <c r="D2373" s="2">
        <f ca="1">IFERROR(__xludf.DUMMYFUNCTION("""COMPUTED_VALUE"""),45049)</f>
        <v>45049</v>
      </c>
      <c r="E2373" s="3">
        <f ca="1">IFERROR(__xludf.DUMMYFUNCTION("""COMPUTED_VALUE"""),0.48288194444467)</f>
        <v>0.48288194444466997</v>
      </c>
      <c r="F2373" s="1">
        <f ca="1">IFERROR(__xludf.DUMMYFUNCTION("""COMPUTED_VALUE"""),11318)</f>
        <v>11318</v>
      </c>
      <c r="G2373" s="1" t="str">
        <f ca="1">IFERROR(__xludf.DUMMYFUNCTION("""COMPUTED_VALUE"""),"13.0526/77.6198")</f>
        <v>13.0526/77.6198</v>
      </c>
      <c r="H2373" s="1" t="str">
        <f ca="1">IFERROR(__xludf.DUMMYFUNCTION("""COMPUTED_VALUE"""),"TPVision Office")</f>
        <v>TPVision Office</v>
      </c>
      <c r="I2373" s="1"/>
      <c r="J2373" s="1" t="str">
        <f ca="1">IFERROR(__xludf.DUMMYFUNCTION("""COMPUTED_VALUE"""),"0d 00h 44m")</f>
        <v>0d 00h 44m</v>
      </c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13.2">
      <c r="A2374" s="1">
        <f ca="1">IFERROR(__xludf.DUMMYFUNCTION("""COMPUTED_VALUE"""),162)</f>
        <v>162</v>
      </c>
      <c r="B2374" s="1" t="str">
        <f ca="1">IFERROR(__xludf.DUMMYFUNCTION("""COMPUTED_VALUE"""),"WWM_KA53B3474_DUMPING")</f>
        <v>WWM_KA53B3474_DUMPING</v>
      </c>
      <c r="C2374" s="1" t="str">
        <f ca="1">IFERROR(__xludf.DUMMYFUNCTION("""COMPUTED_VALUE"""),"wwm_ka53b3474_dumping")</f>
        <v>wwm_ka53b3474_dumping</v>
      </c>
      <c r="D2374" s="2">
        <f ca="1">IFERROR(__xludf.DUMMYFUNCTION("""COMPUTED_VALUE"""),45226)</f>
        <v>45226</v>
      </c>
      <c r="E2374" s="3">
        <f ca="1">IFERROR(__xludf.DUMMYFUNCTION("""COMPUTED_VALUE"""),0.99900462962978)</f>
        <v>0.99900462962977998</v>
      </c>
      <c r="F2374" s="1">
        <f ca="1">IFERROR(__xludf.DUMMYFUNCTION("""COMPUTED_VALUE"""),11369)</f>
        <v>11369</v>
      </c>
      <c r="G2374" s="1" t="str">
        <f ca="1">IFERROR(__xludf.DUMMYFUNCTION("""COMPUTED_VALUE"""),"13.0427/77.6019")</f>
        <v>13.0427/77.6019</v>
      </c>
      <c r="H2374" s="1" t="str">
        <f ca="1">IFERROR(__xludf.DUMMYFUNCTION("""COMPUTED_VALUE"""),"Visvesvaraya Nagenhalli")</f>
        <v>Visvesvaraya Nagenhalli</v>
      </c>
      <c r="I2374" s="1"/>
      <c r="J2374" s="1" t="str">
        <f ca="1">IFERROR(__xludf.DUMMYFUNCTION("""COMPUTED_VALUE"""),"0d 00h 45m")</f>
        <v>0d 00h 45m</v>
      </c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13.2">
      <c r="A2375" s="1">
        <f ca="1">IFERROR(__xludf.DUMMYFUNCTION("""COMPUTED_VALUE"""),183)</f>
        <v>183</v>
      </c>
      <c r="B2375" s="1" t="str">
        <f ca="1">IFERROR(__xludf.DUMMYFUNCTION("""COMPUTED_VALUE"""),"WWM_KA53B3474_DUMPING")</f>
        <v>WWM_KA53B3474_DUMPING</v>
      </c>
      <c r="C2375" s="1" t="str">
        <f ca="1">IFERROR(__xludf.DUMMYFUNCTION("""COMPUTED_VALUE"""),"wwm_ka53b3474_dumping")</f>
        <v>wwm_ka53b3474_dumping</v>
      </c>
      <c r="D2375" s="2">
        <f ca="1">IFERROR(__xludf.DUMMYFUNCTION("""COMPUTED_VALUE"""),45317)</f>
        <v>45317</v>
      </c>
      <c r="E2375" s="3">
        <f ca="1">IFERROR(__xludf.DUMMYFUNCTION("""COMPUTED_VALUE"""),0.999131944445252)</f>
        <v>0.999131944445252</v>
      </c>
      <c r="F2375" s="1">
        <f ca="1">IFERROR(__xludf.DUMMYFUNCTION("""COMPUTED_VALUE"""),11735)</f>
        <v>11735</v>
      </c>
      <c r="G2375" s="1" t="str">
        <f ca="1">IFERROR(__xludf.DUMMYFUNCTION("""COMPUTED_VALUE"""),"13.0429/77.6018")</f>
        <v>13.0429/77.6018</v>
      </c>
      <c r="H2375" s="1" t="str">
        <f ca="1">IFERROR(__xludf.DUMMYFUNCTION("""COMPUTED_VALUE"""),"VishvanÄt NÄgenhalli")</f>
        <v>VishvanÄt NÄgenhalli</v>
      </c>
      <c r="I2375" s="1"/>
      <c r="J2375" s="1" t="str">
        <f ca="1">IFERROR(__xludf.DUMMYFUNCTION("""COMPUTED_VALUE"""),"0d 00h 46m")</f>
        <v>0d 00h 46m</v>
      </c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13.2">
      <c r="A2376" s="1">
        <f ca="1">IFERROR(__xludf.DUMMYFUNCTION("""COMPUTED_VALUE"""),50)</f>
        <v>50</v>
      </c>
      <c r="B2376" s="1" t="str">
        <f ca="1">IFERROR(__xludf.DUMMYFUNCTION("""COMPUTED_VALUE"""),"WWM_KA53B3475_Dumping")</f>
        <v>WWM_KA53B3475_Dumping</v>
      </c>
      <c r="C2376" s="1" t="str">
        <f ca="1">IFERROR(__xludf.DUMMYFUNCTION("""COMPUTED_VALUE"""),"wwm_ka53b3475_dumping")</f>
        <v>wwm_ka53b3475_dumping</v>
      </c>
      <c r="D2376" s="2">
        <f ca="1">IFERROR(__xludf.DUMMYFUNCTION("""COMPUTED_VALUE"""),44609)</f>
        <v>44609</v>
      </c>
      <c r="E2376" s="3">
        <f ca="1">IFERROR(__xludf.DUMMYFUNCTION("""COMPUTED_VALUE"""),0.611284722221171)</f>
        <v>0.61128472222117103</v>
      </c>
      <c r="F2376" s="1">
        <f ca="1">IFERROR(__xludf.DUMMYFUNCTION("""COMPUTED_VALUE"""),12299)</f>
        <v>12299</v>
      </c>
      <c r="G2376" s="1" t="str">
        <f ca="1">IFERROR(__xludf.DUMMYFUNCTION("""COMPUTED_VALUE"""),"13.0428/77.6014")</f>
        <v>13.0428/77.6014</v>
      </c>
      <c r="H2376" s="1" t="str">
        <f ca="1">IFERROR(__xludf.DUMMYFUNCTION("""COMPUTED_VALUE"""),"VishvanÄt Nagenahalli")</f>
        <v>VishvanÄt Nagenahalli</v>
      </c>
      <c r="I2376" s="1"/>
      <c r="J2376" s="1" t="str">
        <f ca="1">IFERROR(__xludf.DUMMYFUNCTION("""COMPUTED_VALUE"""),"34d 00h 26m")</f>
        <v>34d 00h 26m</v>
      </c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13.2">
      <c r="A2377" s="1">
        <f ca="1">IFERROR(__xludf.DUMMYFUNCTION("""COMPUTED_VALUE"""),77)</f>
        <v>77</v>
      </c>
      <c r="B2377" s="1" t="str">
        <f ca="1">IFERROR(__xludf.DUMMYFUNCTION("""COMPUTED_VALUE"""),"WWM_KA53B3475_Dumping")</f>
        <v>WWM_KA53B3475_Dumping</v>
      </c>
      <c r="C2377" s="1" t="str">
        <f ca="1">IFERROR(__xludf.DUMMYFUNCTION("""COMPUTED_VALUE"""),"wwm_ka53b3475_dumping")</f>
        <v>wwm_ka53b3475_dumping</v>
      </c>
      <c r="D2377" s="2">
        <f ca="1">IFERROR(__xludf.DUMMYFUNCTION("""COMPUTED_VALUE"""),44722)</f>
        <v>44722</v>
      </c>
      <c r="E2377" s="3">
        <f ca="1">IFERROR(__xludf.DUMMYFUNCTION("""COMPUTED_VALUE"""),0.497615740740002)</f>
        <v>0.49761574074000198</v>
      </c>
      <c r="F2377" s="1">
        <f ca="1">IFERROR(__xludf.DUMMYFUNCTION("""COMPUTED_VALUE"""),12299)</f>
        <v>12299</v>
      </c>
      <c r="G2377" s="1" t="str">
        <f ca="1">IFERROR(__xludf.DUMMYFUNCTION("""COMPUTED_VALUE"""),"13.0413/77.5969")</f>
        <v>13.0413/77.5969</v>
      </c>
      <c r="H2377" s="1" t="str">
        <f ca="1">IFERROR(__xludf.DUMMYFUNCTION("""COMPUTED_VALUE"""),"Gudahalli")</f>
        <v>Gudahalli</v>
      </c>
      <c r="I2377" s="1"/>
      <c r="J2377" s="1" t="str">
        <f ca="1">IFERROR(__xludf.DUMMYFUNCTION("""COMPUTED_VALUE"""),"34d 00h 27m")</f>
        <v>34d 00h 27m</v>
      </c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13.2">
      <c r="A2378" s="1">
        <f ca="1">IFERROR(__xludf.DUMMYFUNCTION("""COMPUTED_VALUE"""),59)</f>
        <v>59</v>
      </c>
      <c r="B2378" s="1" t="str">
        <f ca="1">IFERROR(__xludf.DUMMYFUNCTION("""COMPUTED_VALUE"""),"WWM_KA53B3475_Dumping")</f>
        <v>WWM_KA53B3475_Dumping</v>
      </c>
      <c r="C2378" s="1" t="str">
        <f ca="1">IFERROR(__xludf.DUMMYFUNCTION("""COMPUTED_VALUE"""),"wwm_ka53b3475_dumping")</f>
        <v>wwm_ka53b3475_dumping</v>
      </c>
      <c r="D2378" s="2">
        <f ca="1">IFERROR(__xludf.DUMMYFUNCTION("""COMPUTED_VALUE"""),44722)</f>
        <v>44722</v>
      </c>
      <c r="E2378" s="3">
        <f ca="1">IFERROR(__xludf.DUMMYFUNCTION("""COMPUTED_VALUE"""),0.497615740740002)</f>
        <v>0.49761574074000198</v>
      </c>
      <c r="F2378" s="1">
        <f ca="1">IFERROR(__xludf.DUMMYFUNCTION("""COMPUTED_VALUE"""),12299)</f>
        <v>12299</v>
      </c>
      <c r="G2378" s="1" t="str">
        <f ca="1">IFERROR(__xludf.DUMMYFUNCTION("""COMPUTED_VALUE"""),"13.0413/77.5969")</f>
        <v>13.0413/77.5969</v>
      </c>
      <c r="H2378" s="1" t="str">
        <f ca="1">IFERROR(__xludf.DUMMYFUNCTION("""COMPUTED_VALUE"""),"Gudahalli")</f>
        <v>Gudahalli</v>
      </c>
      <c r="I2378" s="1"/>
      <c r="J2378" s="1" t="str">
        <f ca="1">IFERROR(__xludf.DUMMYFUNCTION("""COMPUTED_VALUE"""),"34d 00h 27m")</f>
        <v>34d 00h 27m</v>
      </c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13.2">
      <c r="A2379" s="1">
        <f ca="1">IFERROR(__xludf.DUMMYFUNCTION("""COMPUTED_VALUE"""),96)</f>
        <v>96</v>
      </c>
      <c r="B2379" s="1" t="str">
        <f ca="1">IFERROR(__xludf.DUMMYFUNCTION("""COMPUTED_VALUE"""),"WWM_KA53B3475_Dumping")</f>
        <v>WWM_KA53B3475_Dumping</v>
      </c>
      <c r="C2379" s="1" t="str">
        <f ca="1">IFERROR(__xludf.DUMMYFUNCTION("""COMPUTED_VALUE"""),"wwm_ka53b3475_dumping")</f>
        <v>wwm_ka53b3475_dumping</v>
      </c>
      <c r="D2379" s="2">
        <f ca="1">IFERROR(__xludf.DUMMYFUNCTION("""COMPUTED_VALUE"""),44780)</f>
        <v>44780</v>
      </c>
      <c r="E2379" s="3">
        <f ca="1">IFERROR(__xludf.DUMMYFUNCTION("""COMPUTED_VALUE"""),0.653784722220734)</f>
        <v>0.65378472222073403</v>
      </c>
      <c r="F2379" s="1">
        <f ca="1">IFERROR(__xludf.DUMMYFUNCTION("""COMPUTED_VALUE"""),12300)</f>
        <v>12300</v>
      </c>
      <c r="G2379" s="1" t="str">
        <f ca="1">IFERROR(__xludf.DUMMYFUNCTION("""COMPUTED_VALUE"""),"13.0427/77.6015")</f>
        <v>13.0427/77.6015</v>
      </c>
      <c r="H2379" s="1" t="str">
        <f ca="1">IFERROR(__xludf.DUMMYFUNCTION("""COMPUTED_VALUE"""),"Visvesvaraya Nagenhalli")</f>
        <v>Visvesvaraya Nagenhalli</v>
      </c>
      <c r="I2379" s="1"/>
      <c r="J2379" s="1" t="str">
        <f ca="1">IFERROR(__xludf.DUMMYFUNCTION("""COMPUTED_VALUE"""),"34d 00h 28m")</f>
        <v>34d 00h 28m</v>
      </c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13.2">
      <c r="A2380" s="1">
        <f ca="1">IFERROR(__xludf.DUMMYFUNCTION("""COMPUTED_VALUE"""),143)</f>
        <v>143</v>
      </c>
      <c r="B2380" s="1" t="str">
        <f ca="1">IFERROR(__xludf.DUMMYFUNCTION("""COMPUTED_VALUE"""),"WWM_KA53B3475_Dumping")</f>
        <v>WWM_KA53B3475_Dumping</v>
      </c>
      <c r="C2380" s="1" t="str">
        <f ca="1">IFERROR(__xludf.DUMMYFUNCTION("""COMPUTED_VALUE"""),"wwm_ka53b3475_dumping")</f>
        <v>wwm_ka53b3475_dumping</v>
      </c>
      <c r="D2380" s="2">
        <f ca="1">IFERROR(__xludf.DUMMYFUNCTION("""COMPUTED_VALUE"""),44830)</f>
        <v>44830</v>
      </c>
      <c r="E2380" s="3">
        <f ca="1">IFERROR(__xludf.DUMMYFUNCTION("""COMPUTED_VALUE"""),0.504039351850224)</f>
        <v>0.50403935185022397</v>
      </c>
      <c r="F2380" s="1">
        <f ca="1">IFERROR(__xludf.DUMMYFUNCTION("""COMPUTED_VALUE"""),12300)</f>
        <v>12300</v>
      </c>
      <c r="G2380" s="1" t="str">
        <f ca="1">IFERROR(__xludf.DUMMYFUNCTION("""COMPUTED_VALUE"""),"13.0426/77.6013")</f>
        <v>13.0426/77.6013</v>
      </c>
      <c r="H2380" s="1" t="str">
        <f ca="1">IFERROR(__xludf.DUMMYFUNCTION("""COMPUTED_VALUE"""),"Visvesvaraya Nagenhalli")</f>
        <v>Visvesvaraya Nagenhalli</v>
      </c>
      <c r="I2380" s="1"/>
      <c r="J2380" s="1" t="str">
        <f ca="1">IFERROR(__xludf.DUMMYFUNCTION("""COMPUTED_VALUE"""),"34d 00h 29m")</f>
        <v>34d 00h 29m</v>
      </c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13.2">
      <c r="A2381" s="1">
        <f ca="1">IFERROR(__xludf.DUMMYFUNCTION("""COMPUTED_VALUE"""),218)</f>
        <v>218</v>
      </c>
      <c r="B2381" s="1" t="str">
        <f ca="1">IFERROR(__xludf.DUMMYFUNCTION("""COMPUTED_VALUE"""),"WWM_KA53B3475_Dumping")</f>
        <v>WWM_KA53B3475_Dumping</v>
      </c>
      <c r="C2381" s="1" t="str">
        <f ca="1">IFERROR(__xludf.DUMMYFUNCTION("""COMPUTED_VALUE"""),"wwm_ka53b3475_dumping")</f>
        <v>wwm_ka53b3475_dumping</v>
      </c>
      <c r="D2381" s="2">
        <f ca="1">IFERROR(__xludf.DUMMYFUNCTION("""COMPUTED_VALUE"""),44860)</f>
        <v>44860</v>
      </c>
      <c r="E2381" s="3">
        <f ca="1">IFERROR(__xludf.DUMMYFUNCTION("""COMPUTED_VALUE"""),0.999236111110803)</f>
        <v>0.99923611111080302</v>
      </c>
      <c r="F2381" s="1">
        <f ca="1">IFERROR(__xludf.DUMMYFUNCTION("""COMPUTED_VALUE"""),12318)</f>
        <v>12318</v>
      </c>
      <c r="G2381" s="1" t="str">
        <f ca="1">IFERROR(__xludf.DUMMYFUNCTION("""COMPUTED_VALUE"""),"13.0425/77.6015")</f>
        <v>13.0425/77.6015</v>
      </c>
      <c r="H2381" s="1" t="str">
        <f ca="1">IFERROR(__xludf.DUMMYFUNCTION("""COMPUTED_VALUE"""),"Visvesvaraya Nagenhalli")</f>
        <v>Visvesvaraya Nagenhalli</v>
      </c>
      <c r="I2381" s="1"/>
      <c r="J2381" s="1" t="str">
        <f ca="1">IFERROR(__xludf.DUMMYFUNCTION("""COMPUTED_VALUE"""),"34d 00h 30m")</f>
        <v>34d 00h 30m</v>
      </c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13.2">
      <c r="A2382" s="1">
        <f ca="1">IFERROR(__xludf.DUMMYFUNCTION("""COMPUTED_VALUE"""),129)</f>
        <v>129</v>
      </c>
      <c r="B2382" s="1" t="str">
        <f ca="1">IFERROR(__xludf.DUMMYFUNCTION("""COMPUTED_VALUE"""),"WWM_KA53B3475_DUMPING")</f>
        <v>WWM_KA53B3475_DUMPING</v>
      </c>
      <c r="C2382" s="1" t="str">
        <f ca="1">IFERROR(__xludf.DUMMYFUNCTION("""COMPUTED_VALUE"""),"wwm_ka53b3475_dumping")</f>
        <v>wwm_ka53b3475_dumping</v>
      </c>
      <c r="D2382" s="2">
        <f ca="1">IFERROR(__xludf.DUMMYFUNCTION("""COMPUTED_VALUE"""),44722)</f>
        <v>44722</v>
      </c>
      <c r="E2382" s="3">
        <f ca="1">IFERROR(__xludf.DUMMYFUNCTION("""COMPUTED_VALUE"""),0.497615740740002)</f>
        <v>0.49761574074000198</v>
      </c>
      <c r="F2382" s="1">
        <f ca="1">IFERROR(__xludf.DUMMYFUNCTION("""COMPUTED_VALUE"""),12299)</f>
        <v>12299</v>
      </c>
      <c r="G2382" s="1" t="str">
        <f ca="1">IFERROR(__xludf.DUMMYFUNCTION("""COMPUTED_VALUE"""),"13.0413/77.5969")</f>
        <v>13.0413/77.5969</v>
      </c>
      <c r="H2382" s="1" t="str">
        <f ca="1">IFERROR(__xludf.DUMMYFUNCTION("""COMPUTED_VALUE"""),"Gudahalli")</f>
        <v>Gudahalli</v>
      </c>
      <c r="I2382" s="1"/>
      <c r="J2382" s="1" t="str">
        <f ca="1">IFERROR(__xludf.DUMMYFUNCTION("""COMPUTED_VALUE"""),"122d 20h 32m")</f>
        <v>122d 20h 32m</v>
      </c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13.2">
      <c r="A2383" s="1">
        <f ca="1">IFERROR(__xludf.DUMMYFUNCTION("""COMPUTED_VALUE"""),158)</f>
        <v>158</v>
      </c>
      <c r="B2383" s="1" t="str">
        <f ca="1">IFERROR(__xludf.DUMMYFUNCTION("""COMPUTED_VALUE"""),"WWM_KA53B3475_DUMPING")</f>
        <v>WWM_KA53B3475_DUMPING</v>
      </c>
      <c r="C2383" s="1" t="str">
        <f ca="1">IFERROR(__xludf.DUMMYFUNCTION("""COMPUTED_VALUE"""),"wwm_ka53b3475_dumping")</f>
        <v>wwm_ka53b3475_dumping</v>
      </c>
      <c r="D2383" s="2">
        <f ca="1">IFERROR(__xludf.DUMMYFUNCTION("""COMPUTED_VALUE"""),44860)</f>
        <v>44860</v>
      </c>
      <c r="E2383" s="3">
        <f ca="1">IFERROR(__xludf.DUMMYFUNCTION("""COMPUTED_VALUE"""),0.999236111110803)</f>
        <v>0.99923611111080302</v>
      </c>
      <c r="F2383" s="1">
        <f ca="1">IFERROR(__xludf.DUMMYFUNCTION("""COMPUTED_VALUE"""),12318)</f>
        <v>12318</v>
      </c>
      <c r="G2383" s="1" t="str">
        <f ca="1">IFERROR(__xludf.DUMMYFUNCTION("""COMPUTED_VALUE"""),"13.0425/77.6015")</f>
        <v>13.0425/77.6015</v>
      </c>
      <c r="H2383" s="1" t="str">
        <f ca="1">IFERROR(__xludf.DUMMYFUNCTION("""COMPUTED_VALUE"""),"Visvesvaraya Nagenhalli")</f>
        <v>Visvesvaraya Nagenhalli</v>
      </c>
      <c r="I2383" s="1"/>
      <c r="J2383" s="1" t="str">
        <f ca="1">IFERROR(__xludf.DUMMYFUNCTION("""COMPUTED_VALUE"""),"122d 20h 33m")</f>
        <v>122d 20h 33m</v>
      </c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13.2">
      <c r="A2384" s="1">
        <f ca="1">IFERROR(__xludf.DUMMYFUNCTION("""COMPUTED_VALUE"""),135)</f>
        <v>135</v>
      </c>
      <c r="B2384" s="1" t="str">
        <f ca="1">IFERROR(__xludf.DUMMYFUNCTION("""COMPUTED_VALUE"""),"WWM_KA53B3475_DUMPING")</f>
        <v>WWM_KA53B3475_DUMPING</v>
      </c>
      <c r="C2384" s="1" t="str">
        <f ca="1">IFERROR(__xludf.DUMMYFUNCTION("""COMPUTED_VALUE"""),"wwm_ka53b3475_dumping")</f>
        <v>wwm_ka53b3475_dumping</v>
      </c>
      <c r="D2384" s="2">
        <f ca="1">IFERROR(__xludf.DUMMYFUNCTION("""COMPUTED_VALUE"""),44937)</f>
        <v>44937</v>
      </c>
      <c r="E2384" s="3">
        <f ca="1">IFERROR(__xludf.DUMMYFUNCTION("""COMPUTED_VALUE"""),0.638541666667151)</f>
        <v>0.63854166666715095</v>
      </c>
      <c r="F2384" s="1">
        <f ca="1">IFERROR(__xludf.DUMMYFUNCTION("""COMPUTED_VALUE"""),12519)</f>
        <v>12519</v>
      </c>
      <c r="G2384" s="1" t="str">
        <f ca="1">IFERROR(__xludf.DUMMYFUNCTION("""COMPUTED_VALUE"""),"13.0428/77.6015")</f>
        <v>13.0428/77.6015</v>
      </c>
      <c r="H2384" s="1" t="str">
        <f ca="1">IFERROR(__xludf.DUMMYFUNCTION("""COMPUTED_VALUE"""),"Visvesvaraya Nagenhalli")</f>
        <v>Visvesvaraya Nagenhalli</v>
      </c>
      <c r="I2384" s="1"/>
      <c r="J2384" s="1" t="str">
        <f ca="1">IFERROR(__xludf.DUMMYFUNCTION("""COMPUTED_VALUE"""),"122d 20h 36m")</f>
        <v>122d 20h 36m</v>
      </c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13.2">
      <c r="A2385" s="1">
        <f ca="1">IFERROR(__xludf.DUMMYFUNCTION("""COMPUTED_VALUE"""),135)</f>
        <v>135</v>
      </c>
      <c r="B2385" s="1" t="str">
        <f ca="1">IFERROR(__xludf.DUMMYFUNCTION("""COMPUTED_VALUE"""),"WWM_KA53B3475_DUMPING")</f>
        <v>WWM_KA53B3475_DUMPING</v>
      </c>
      <c r="C2385" s="1" t="str">
        <f ca="1">IFERROR(__xludf.DUMMYFUNCTION("""COMPUTED_VALUE"""),"wwm_ka53b3475_dumping")</f>
        <v>wwm_ka53b3475_dumping</v>
      </c>
      <c r="D2385" s="2">
        <f ca="1">IFERROR(__xludf.DUMMYFUNCTION("""COMPUTED_VALUE"""),44953)</f>
        <v>44953</v>
      </c>
      <c r="E2385" s="3">
        <f ca="1">IFERROR(__xludf.DUMMYFUNCTION("""COMPUTED_VALUE"""),0.48177083333212)</f>
        <v>0.48177083333212001</v>
      </c>
      <c r="F2385" s="1">
        <f ca="1">IFERROR(__xludf.DUMMYFUNCTION("""COMPUTED_VALUE"""),12519)</f>
        <v>12519</v>
      </c>
      <c r="G2385" s="1" t="str">
        <f ca="1">IFERROR(__xludf.DUMMYFUNCTION("""COMPUTED_VALUE"""),"13.0427/77.6014")</f>
        <v>13.0427/77.6014</v>
      </c>
      <c r="H2385" s="1" t="str">
        <f ca="1">IFERROR(__xludf.DUMMYFUNCTION("""COMPUTED_VALUE"""),"Visvesvaraya Nagenhalli")</f>
        <v>Visvesvaraya Nagenhalli</v>
      </c>
      <c r="I2385" s="1"/>
      <c r="J2385" s="1" t="str">
        <f ca="1">IFERROR(__xludf.DUMMYFUNCTION("""COMPUTED_VALUE"""),"122d 20h 37m")</f>
        <v>122d 20h 37m</v>
      </c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13.2">
      <c r="A2386" s="1">
        <f ca="1">IFERROR(__xludf.DUMMYFUNCTION("""COMPUTED_VALUE"""),139)</f>
        <v>139</v>
      </c>
      <c r="B2386" s="1" t="str">
        <f ca="1">IFERROR(__xludf.DUMMYFUNCTION("""COMPUTED_VALUE"""),"WWM_KA53B3475_DUMPING")</f>
        <v>WWM_KA53B3475_DUMPING</v>
      </c>
      <c r="C2386" s="1" t="str">
        <f ca="1">IFERROR(__xludf.DUMMYFUNCTION("""COMPUTED_VALUE"""),"wwm_ka53b3475_dumping")</f>
        <v>wwm_ka53b3475_dumping</v>
      </c>
      <c r="D2386" s="2">
        <f ca="1">IFERROR(__xludf.DUMMYFUNCTION("""COMPUTED_VALUE"""),45097)</f>
        <v>45097</v>
      </c>
      <c r="E2386" s="3">
        <f ca="1">IFERROR(__xludf.DUMMYFUNCTION("""COMPUTED_VALUE"""),0.454247685185691)</f>
        <v>0.45424768518569097</v>
      </c>
      <c r="F2386" s="1">
        <f ca="1">IFERROR(__xludf.DUMMYFUNCTION("""COMPUTED_VALUE"""),12519)</f>
        <v>12519</v>
      </c>
      <c r="G2386" s="1" t="str">
        <f ca="1">IFERROR(__xludf.DUMMYFUNCTION("""COMPUTED_VALUE"""),"13.0424/77.6013")</f>
        <v>13.0424/77.6013</v>
      </c>
      <c r="H2386" s="1" t="str">
        <f ca="1">IFERROR(__xludf.DUMMYFUNCTION("""COMPUTED_VALUE"""),"Visvesvaraya Nagenhalli")</f>
        <v>Visvesvaraya Nagenhalli</v>
      </c>
      <c r="I2386" s="1"/>
      <c r="J2386" s="1" t="str">
        <f ca="1">IFERROR(__xludf.DUMMYFUNCTION("""COMPUTED_VALUE"""),"122d 20h 38m")</f>
        <v>122d 20h 38m</v>
      </c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13.2">
      <c r="A2387" s="1">
        <f ca="1">IFERROR(__xludf.DUMMYFUNCTION("""COMPUTED_VALUE"""),134)</f>
        <v>134</v>
      </c>
      <c r="B2387" s="1" t="str">
        <f ca="1">IFERROR(__xludf.DUMMYFUNCTION("""COMPUTED_VALUE"""),"WWM_KA53B3475_DUMPING")</f>
        <v>WWM_KA53B3475_DUMPING</v>
      </c>
      <c r="C2387" s="1" t="str">
        <f ca="1">IFERROR(__xludf.DUMMYFUNCTION("""COMPUTED_VALUE"""),"wwm_ka53b3475_dumping")</f>
        <v>wwm_ka53b3475_dumping</v>
      </c>
      <c r="D2387" s="2">
        <f ca="1">IFERROR(__xludf.DUMMYFUNCTION("""COMPUTED_VALUE"""),45097)</f>
        <v>45097</v>
      </c>
      <c r="E2387" s="3">
        <f ca="1">IFERROR(__xludf.DUMMYFUNCTION("""COMPUTED_VALUE"""),0.454247685185691)</f>
        <v>0.45424768518569097</v>
      </c>
      <c r="F2387" s="1">
        <f ca="1">IFERROR(__xludf.DUMMYFUNCTION("""COMPUTED_VALUE"""),12519)</f>
        <v>12519</v>
      </c>
      <c r="G2387" s="1" t="str">
        <f ca="1">IFERROR(__xludf.DUMMYFUNCTION("""COMPUTED_VALUE"""),"13.0424/77.6013")</f>
        <v>13.0424/77.6013</v>
      </c>
      <c r="H2387" s="1" t="str">
        <f ca="1">IFERROR(__xludf.DUMMYFUNCTION("""COMPUTED_VALUE"""),"Visvesvaraya Nagenhalli")</f>
        <v>Visvesvaraya Nagenhalli</v>
      </c>
      <c r="I2387" s="1"/>
      <c r="J2387" s="1" t="str">
        <f ca="1">IFERROR(__xludf.DUMMYFUNCTION("""COMPUTED_VALUE"""),"122d 20h 39m")</f>
        <v>122d 20h 39m</v>
      </c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13.2">
      <c r="A2388" s="1">
        <f ca="1">IFERROR(__xludf.DUMMYFUNCTION("""COMPUTED_VALUE"""),143)</f>
        <v>143</v>
      </c>
      <c r="B2388" s="1" t="str">
        <f ca="1">IFERROR(__xludf.DUMMYFUNCTION("""COMPUTED_VALUE"""),"WWM_KA53B3475_DUMPING")</f>
        <v>WWM_KA53B3475_DUMPING</v>
      </c>
      <c r="C2388" s="1" t="str">
        <f ca="1">IFERROR(__xludf.DUMMYFUNCTION("""COMPUTED_VALUE"""),"wwm_ka53b3475_dumping")</f>
        <v>wwm_ka53b3475_dumping</v>
      </c>
      <c r="D2388" s="2">
        <f ca="1">IFERROR(__xludf.DUMMYFUNCTION("""COMPUTED_VALUE"""),45248)</f>
        <v>45248</v>
      </c>
      <c r="E2388" s="3">
        <f ca="1">IFERROR(__xludf.DUMMYFUNCTION("""COMPUTED_VALUE"""),0.619351851852115)</f>
        <v>0.61935185185211505</v>
      </c>
      <c r="F2388" s="1">
        <f ca="1">IFERROR(__xludf.DUMMYFUNCTION("""COMPUTED_VALUE"""),12519)</f>
        <v>12519</v>
      </c>
      <c r="G2388" s="1" t="str">
        <f ca="1">IFERROR(__xludf.DUMMYFUNCTION("""COMPUTED_VALUE"""),"13.0425/77.6015")</f>
        <v>13.0425/77.6015</v>
      </c>
      <c r="H2388" s="1" t="str">
        <f ca="1">IFERROR(__xludf.DUMMYFUNCTION("""COMPUTED_VALUE"""),"VishvanÄt NÄgenhalli")</f>
        <v>VishvanÄt NÄgenhalli</v>
      </c>
      <c r="I2388" s="1"/>
      <c r="J2388" s="1" t="str">
        <f ca="1">IFERROR(__xludf.DUMMYFUNCTION("""COMPUTED_VALUE"""),"122d 20h 40m")</f>
        <v>122d 20h 40m</v>
      </c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13.2">
      <c r="A2389" s="1">
        <f ca="1">IFERROR(__xludf.DUMMYFUNCTION("""COMPUTED_VALUE"""),94)</f>
        <v>94</v>
      </c>
      <c r="B2389" s="1" t="str">
        <f ca="1">IFERROR(__xludf.DUMMYFUNCTION("""COMPUTED_VALUE"""),"Wwm_KA53B3476_Dumping")</f>
        <v>Wwm_KA53B3476_Dumping</v>
      </c>
      <c r="C2389" s="1" t="str">
        <f ca="1">IFERROR(__xludf.DUMMYFUNCTION("""COMPUTED_VALUE"""),"wwm_ka53b3476_dumping")</f>
        <v>wwm_ka53b3476_dumping</v>
      </c>
      <c r="D2389" s="2">
        <f ca="1">IFERROR(__xludf.DUMMYFUNCTION("""COMPUTED_VALUE"""),44702)</f>
        <v>44702</v>
      </c>
      <c r="E2389" s="3">
        <f ca="1">IFERROR(__xludf.DUMMYFUNCTION("""COMPUTED_VALUE"""),0.457199074073287)</f>
        <v>0.45719907407328703</v>
      </c>
      <c r="F2389" s="1">
        <f ca="1">IFERROR(__xludf.DUMMYFUNCTION("""COMPUTED_VALUE"""),26058)</f>
        <v>26058</v>
      </c>
      <c r="G2389" s="1" t="str">
        <f ca="1">IFERROR(__xludf.DUMMYFUNCTION("""COMPUTED_VALUE"""),"13.0523/77.5795")</f>
        <v>13.0523/77.5795</v>
      </c>
      <c r="H2389" s="1" t="str">
        <f ca="1">IFERROR(__xludf.DUMMYFUNCTION("""COMPUTED_VALUE"""),"RMV Extension")</f>
        <v>RMV Extension</v>
      </c>
      <c r="I2389" s="1"/>
      <c r="J2389" s="1" t="str">
        <f ca="1">IFERROR(__xludf.DUMMYFUNCTION("""COMPUTED_VALUE"""),"0d 00h 00m")</f>
        <v>0d 00h 00m</v>
      </c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13.2">
      <c r="A2390" s="1">
        <f ca="1">IFERROR(__xludf.DUMMYFUNCTION("""COMPUTED_VALUE"""),71)</f>
        <v>71</v>
      </c>
      <c r="B2390" s="1" t="str">
        <f ca="1">IFERROR(__xludf.DUMMYFUNCTION("""COMPUTED_VALUE"""),"Wwm_KA53B3476_Dumping")</f>
        <v>Wwm_KA53B3476_Dumping</v>
      </c>
      <c r="C2390" s="1" t="str">
        <f ca="1">IFERROR(__xludf.DUMMYFUNCTION("""COMPUTED_VALUE"""),"wwm_ka53b3476_dumping")</f>
        <v>wwm_ka53b3476_dumping</v>
      </c>
      <c r="D2390" s="2">
        <f ca="1">IFERROR(__xludf.DUMMYFUNCTION("""COMPUTED_VALUE"""),44716)</f>
        <v>44716</v>
      </c>
      <c r="E2390" s="3">
        <f ca="1">IFERROR(__xludf.DUMMYFUNCTION("""COMPUTED_VALUE"""),0.687928240738983)</f>
        <v>0.68792824073898295</v>
      </c>
      <c r="F2390" s="1">
        <f ca="1">IFERROR(__xludf.DUMMYFUNCTION("""COMPUTED_VALUE"""),26061)</f>
        <v>26061</v>
      </c>
      <c r="G2390" s="1" t="str">
        <f ca="1">IFERROR(__xludf.DUMMYFUNCTION("""COMPUTED_VALUE"""),"13.0426/77.6014")</f>
        <v>13.0426/77.6014</v>
      </c>
      <c r="H2390" s="1" t="str">
        <f ca="1">IFERROR(__xludf.DUMMYFUNCTION("""COMPUTED_VALUE"""),"Visvesvaraya Nagenhalli")</f>
        <v>Visvesvaraya Nagenhalli</v>
      </c>
      <c r="I2390" s="1"/>
      <c r="J2390" s="1" t="str">
        <f ca="1">IFERROR(__xludf.DUMMYFUNCTION("""COMPUTED_VALUE"""),"0d 00h 00m")</f>
        <v>0d 00h 00m</v>
      </c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13.2">
      <c r="A2391" s="1">
        <f ca="1">IFERROR(__xludf.DUMMYFUNCTION("""COMPUTED_VALUE"""),135)</f>
        <v>135</v>
      </c>
      <c r="B2391" s="1" t="str">
        <f ca="1">IFERROR(__xludf.DUMMYFUNCTION("""COMPUTED_VALUE"""),"Wwm_KA53B3476_Dumping")</f>
        <v>Wwm_KA53B3476_Dumping</v>
      </c>
      <c r="C2391" s="1" t="str">
        <f ca="1">IFERROR(__xludf.DUMMYFUNCTION("""COMPUTED_VALUE"""),"wwm_ka53b3476_dumping")</f>
        <v>wwm_ka53b3476_dumping</v>
      </c>
      <c r="D2391" s="2">
        <f ca="1">IFERROR(__xludf.DUMMYFUNCTION("""COMPUTED_VALUE"""),44768)</f>
        <v>44768</v>
      </c>
      <c r="E2391" s="3">
        <f ca="1">IFERROR(__xludf.DUMMYFUNCTION("""COMPUTED_VALUE"""),0.474745370371238)</f>
        <v>0.47474537037123798</v>
      </c>
      <c r="F2391" s="1">
        <f ca="1">IFERROR(__xludf.DUMMYFUNCTION("""COMPUTED_VALUE"""),26084)</f>
        <v>26084</v>
      </c>
      <c r="G2391" s="1" t="str">
        <f ca="1">IFERROR(__xludf.DUMMYFUNCTION("""COMPUTED_VALUE"""),"13.0642/77.6065")</f>
        <v>13.0642/77.6065</v>
      </c>
      <c r="H2391" s="1" t="str">
        <f ca="1">IFERROR(__xludf.DUMMYFUNCTION("""COMPUTED_VALUE"""),"Amruthahalli")</f>
        <v>Amruthahalli</v>
      </c>
      <c r="I2391" s="1"/>
      <c r="J2391" s="1" t="str">
        <f ca="1">IFERROR(__xludf.DUMMYFUNCTION("""COMPUTED_VALUE"""),"0d 00h 00m")</f>
        <v>0d 00h 00m</v>
      </c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13.2">
      <c r="A2392" s="1">
        <f ca="1">IFERROR(__xludf.DUMMYFUNCTION("""COMPUTED_VALUE"""),89)</f>
        <v>89</v>
      </c>
      <c r="B2392" s="1" t="str">
        <f ca="1">IFERROR(__xludf.DUMMYFUNCTION("""COMPUTED_VALUE"""),"Wwm_KA53B3476_Dumping")</f>
        <v>Wwm_KA53B3476_Dumping</v>
      </c>
      <c r="C2392" s="1" t="str">
        <f ca="1">IFERROR(__xludf.DUMMYFUNCTION("""COMPUTED_VALUE"""),"wwm_ka53b3476_dumping")</f>
        <v>wwm_ka53b3476_dumping</v>
      </c>
      <c r="D2392" s="2">
        <f ca="1">IFERROR(__xludf.DUMMYFUNCTION("""COMPUTED_VALUE"""),44774)</f>
        <v>44774</v>
      </c>
      <c r="E2392" s="3">
        <f ca="1">IFERROR(__xludf.DUMMYFUNCTION("""COMPUTED_VALUE"""),0.76553240740759)</f>
        <v>0.76553240740758999</v>
      </c>
      <c r="F2392" s="1">
        <f ca="1">IFERROR(__xludf.DUMMYFUNCTION("""COMPUTED_VALUE"""),26090)</f>
        <v>26090</v>
      </c>
      <c r="G2392" s="1" t="str">
        <f ca="1">IFERROR(__xludf.DUMMYFUNCTION("""COMPUTED_VALUE"""),"13.0585/77.5658")</f>
        <v>13.0585/77.5658</v>
      </c>
      <c r="H2392" s="1" t="str">
        <f ca="1">IFERROR(__xludf.DUMMYFUNCTION("""COMPUTED_VALUE"""),"Shingaikanhalli")</f>
        <v>Shingaikanhalli</v>
      </c>
      <c r="I2392" s="1"/>
      <c r="J2392" s="1" t="str">
        <f ca="1">IFERROR(__xludf.DUMMYFUNCTION("""COMPUTED_VALUE"""),"0d 00h 00m")</f>
        <v>0d 00h 00m</v>
      </c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13.2">
      <c r="A2393" s="1">
        <f ca="1">IFERROR(__xludf.DUMMYFUNCTION("""COMPUTED_VALUE"""),108)</f>
        <v>108</v>
      </c>
      <c r="B2393" s="1" t="str">
        <f ca="1">IFERROR(__xludf.DUMMYFUNCTION("""COMPUTED_VALUE"""),"Wwm_KA53B3476_Dumping")</f>
        <v>Wwm_KA53B3476_Dumping</v>
      </c>
      <c r="C2393" s="1" t="str">
        <f ca="1">IFERROR(__xludf.DUMMYFUNCTION("""COMPUTED_VALUE"""),"wwm_ka53b3476_dumping")</f>
        <v>wwm_ka53b3476_dumping</v>
      </c>
      <c r="D2393" s="2">
        <f ca="1">IFERROR(__xludf.DUMMYFUNCTION("""COMPUTED_VALUE"""),44824)</f>
        <v>44824</v>
      </c>
      <c r="E2393" s="3">
        <f ca="1">IFERROR(__xludf.DUMMYFUNCTION("""COMPUTED_VALUE"""),0.390300925926567)</f>
        <v>0.39030092592656701</v>
      </c>
      <c r="F2393" s="1">
        <f ca="1">IFERROR(__xludf.DUMMYFUNCTION("""COMPUTED_VALUE"""),26095)</f>
        <v>26095</v>
      </c>
      <c r="G2393" s="1" t="str">
        <f ca="1">IFERROR(__xludf.DUMMYFUNCTION("""COMPUTED_VALUE"""),"13.0426/77.6016")</f>
        <v>13.0426/77.6016</v>
      </c>
      <c r="H2393" s="1" t="str">
        <f ca="1">IFERROR(__xludf.DUMMYFUNCTION("""COMPUTED_VALUE"""),"Visvesvaraya Nagenhalli")</f>
        <v>Visvesvaraya Nagenhalli</v>
      </c>
      <c r="I2393" s="1"/>
      <c r="J2393" s="1" t="str">
        <f ca="1">IFERROR(__xludf.DUMMYFUNCTION("""COMPUTED_VALUE"""),"0d 00h 00m")</f>
        <v>0d 00h 00m</v>
      </c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13.2">
      <c r="A2394" s="1">
        <f ca="1">IFERROR(__xludf.DUMMYFUNCTION("""COMPUTED_VALUE"""),171)</f>
        <v>171</v>
      </c>
      <c r="B2394" s="1" t="str">
        <f ca="1">IFERROR(__xludf.DUMMYFUNCTION("""COMPUTED_VALUE"""),"Wwm_KA53B3476_Dumping")</f>
        <v>Wwm_KA53B3476_Dumping</v>
      </c>
      <c r="C2394" s="1" t="str">
        <f ca="1">IFERROR(__xludf.DUMMYFUNCTION("""COMPUTED_VALUE"""),"wwm_ka53b3476_dumping")</f>
        <v>wwm_ka53b3476_dumping</v>
      </c>
      <c r="D2394" s="2">
        <f ca="1">IFERROR(__xludf.DUMMYFUNCTION("""COMPUTED_VALUE"""),44860)</f>
        <v>44860</v>
      </c>
      <c r="E2394" s="3">
        <f ca="1">IFERROR(__xludf.DUMMYFUNCTION("""COMPUTED_VALUE"""),0.999027777776063)</f>
        <v>0.999027777776063</v>
      </c>
      <c r="F2394" s="1">
        <f ca="1">IFERROR(__xludf.DUMMYFUNCTION("""COMPUTED_VALUE"""),26236)</f>
        <v>26236</v>
      </c>
      <c r="G2394" s="1" t="str">
        <f ca="1">IFERROR(__xludf.DUMMYFUNCTION("""COMPUTED_VALUE"""),"13.0425/77.6015")</f>
        <v>13.0425/77.6015</v>
      </c>
      <c r="H2394" s="1" t="str">
        <f ca="1">IFERROR(__xludf.DUMMYFUNCTION("""COMPUTED_VALUE"""),"Visvesvaraya Nagenhalli")</f>
        <v>Visvesvaraya Nagenhalli</v>
      </c>
      <c r="I2394" s="1"/>
      <c r="J2394" s="1" t="str">
        <f ca="1">IFERROR(__xludf.DUMMYFUNCTION("""COMPUTED_VALUE"""),"0d 00h 00m")</f>
        <v>0d 00h 00m</v>
      </c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13.2">
      <c r="A2395" s="1">
        <f ca="1">IFERROR(__xludf.DUMMYFUNCTION("""COMPUTED_VALUE"""),140)</f>
        <v>140</v>
      </c>
      <c r="B2395" s="1" t="str">
        <f ca="1">IFERROR(__xludf.DUMMYFUNCTION("""COMPUTED_VALUE"""),"WWM_KA53B3476_DUMPING")</f>
        <v>WWM_KA53B3476_DUMPING</v>
      </c>
      <c r="C2395" s="1" t="str">
        <f ca="1">IFERROR(__xludf.DUMMYFUNCTION("""COMPUTED_VALUE"""),"wwm_ka53b3476_dumping")</f>
        <v>wwm_ka53b3476_dumping</v>
      </c>
      <c r="D2395" s="2">
        <f ca="1">IFERROR(__xludf.DUMMYFUNCTION("""COMPUTED_VALUE"""),44768)</f>
        <v>44768</v>
      </c>
      <c r="E2395" s="3">
        <f ca="1">IFERROR(__xludf.DUMMYFUNCTION("""COMPUTED_VALUE"""),0.474745370371238)</f>
        <v>0.47474537037123798</v>
      </c>
      <c r="F2395" s="1">
        <f ca="1">IFERROR(__xludf.DUMMYFUNCTION("""COMPUTED_VALUE"""),26084)</f>
        <v>26084</v>
      </c>
      <c r="G2395" s="1" t="str">
        <f ca="1">IFERROR(__xludf.DUMMYFUNCTION("""COMPUTED_VALUE"""),"13.0642/77.6065")</f>
        <v>13.0642/77.6065</v>
      </c>
      <c r="H2395" s="1" t="str">
        <f ca="1">IFERROR(__xludf.DUMMYFUNCTION("""COMPUTED_VALUE"""),"Amruthahalli")</f>
        <v>Amruthahalli</v>
      </c>
      <c r="I2395" s="1"/>
      <c r="J2395" s="1" t="str">
        <f ca="1">IFERROR(__xludf.DUMMYFUNCTION("""COMPUTED_VALUE"""),"0d 00h 00m")</f>
        <v>0d 00h 00m</v>
      </c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13.2">
      <c r="A2396" s="1">
        <f ca="1">IFERROR(__xludf.DUMMYFUNCTION("""COMPUTED_VALUE"""),150)</f>
        <v>150</v>
      </c>
      <c r="B2396" s="1" t="str">
        <f ca="1">IFERROR(__xludf.DUMMYFUNCTION("""COMPUTED_VALUE"""),"WWM_KA53B3476_DUMPING")</f>
        <v>WWM_KA53B3476_DUMPING</v>
      </c>
      <c r="C2396" s="1" t="str">
        <f ca="1">IFERROR(__xludf.DUMMYFUNCTION("""COMPUTED_VALUE"""),"wwm_ka53b3476_dumping")</f>
        <v>wwm_ka53b3476_dumping</v>
      </c>
      <c r="D2396" s="2">
        <f ca="1">IFERROR(__xludf.DUMMYFUNCTION("""COMPUTED_VALUE"""),44860)</f>
        <v>44860</v>
      </c>
      <c r="E2396" s="3">
        <f ca="1">IFERROR(__xludf.DUMMYFUNCTION("""COMPUTED_VALUE"""),0.999027777776063)</f>
        <v>0.999027777776063</v>
      </c>
      <c r="F2396" s="1">
        <f ca="1">IFERROR(__xludf.DUMMYFUNCTION("""COMPUTED_VALUE"""),26236)</f>
        <v>26236</v>
      </c>
      <c r="G2396" s="1" t="str">
        <f ca="1">IFERROR(__xludf.DUMMYFUNCTION("""COMPUTED_VALUE"""),"13.0425/77.6015")</f>
        <v>13.0425/77.6015</v>
      </c>
      <c r="H2396" s="1" t="str">
        <f ca="1">IFERROR(__xludf.DUMMYFUNCTION("""COMPUTED_VALUE"""),"Visvesvaraya Nagenhalli")</f>
        <v>Visvesvaraya Nagenhalli</v>
      </c>
      <c r="I2396" s="1"/>
      <c r="J2396" s="1" t="str">
        <f ca="1">IFERROR(__xludf.DUMMYFUNCTION("""COMPUTED_VALUE"""),"0d 00h 00m")</f>
        <v>0d 00h 00m</v>
      </c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13.2">
      <c r="A2397" s="1">
        <f ca="1">IFERROR(__xludf.DUMMYFUNCTION("""COMPUTED_VALUE"""),160)</f>
        <v>160</v>
      </c>
      <c r="B2397" s="1" t="str">
        <f ca="1">IFERROR(__xludf.DUMMYFUNCTION("""COMPUTED_VALUE"""),"WWM_KA53B3476_DUMPING")</f>
        <v>WWM_KA53B3476_DUMPING</v>
      </c>
      <c r="C2397" s="1" t="str">
        <f ca="1">IFERROR(__xludf.DUMMYFUNCTION("""COMPUTED_VALUE"""),"wwm_ka53b3476_dumping")</f>
        <v>wwm_ka53b3476_dumping</v>
      </c>
      <c r="D2397" s="2">
        <f ca="1">IFERROR(__xludf.DUMMYFUNCTION("""COMPUTED_VALUE"""),44952)</f>
        <v>44952</v>
      </c>
      <c r="E2397" s="3">
        <f ca="1">IFERROR(__xludf.DUMMYFUNCTION("""COMPUTED_VALUE"""),0.999224537037662)</f>
        <v>0.99922453703766201</v>
      </c>
      <c r="F2397" s="1">
        <f ca="1">IFERROR(__xludf.DUMMYFUNCTION("""COMPUTED_VALUE"""),26940)</f>
        <v>26940</v>
      </c>
      <c r="G2397" s="1" t="str">
        <f ca="1">IFERROR(__xludf.DUMMYFUNCTION("""COMPUTED_VALUE"""),"13.0431/77.6017")</f>
        <v>13.0431/77.6017</v>
      </c>
      <c r="H2397" s="1" t="str">
        <f ca="1">IFERROR(__xludf.DUMMYFUNCTION("""COMPUTED_VALUE"""),"Kempapur")</f>
        <v>Kempapur</v>
      </c>
      <c r="I2397" s="1"/>
      <c r="J2397" s="1" t="str">
        <f ca="1">IFERROR(__xludf.DUMMYFUNCTION("""COMPUTED_VALUE"""),"0d 00h 00m")</f>
        <v>0d 00h 00m</v>
      </c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13.2">
      <c r="A2398" s="1">
        <f ca="1">IFERROR(__xludf.DUMMYFUNCTION("""COMPUTED_VALUE"""),162)</f>
        <v>162</v>
      </c>
      <c r="B2398" s="1" t="str">
        <f ca="1">IFERROR(__xludf.DUMMYFUNCTION("""COMPUTED_VALUE"""),"WWM_KA53B3476_DUMPING")</f>
        <v>WWM_KA53B3476_DUMPING</v>
      </c>
      <c r="C2398" s="1" t="str">
        <f ca="1">IFERROR(__xludf.DUMMYFUNCTION("""COMPUTED_VALUE"""),"wwm_ka53b3476_dumping")</f>
        <v>wwm_ka53b3476_dumping</v>
      </c>
      <c r="D2398" s="2">
        <f ca="1">IFERROR(__xludf.DUMMYFUNCTION("""COMPUTED_VALUE"""),45042)</f>
        <v>45042</v>
      </c>
      <c r="E2398" s="3">
        <f ca="1">IFERROR(__xludf.DUMMYFUNCTION("""COMPUTED_VALUE"""),0.999178240741457)</f>
        <v>0.999178240741457</v>
      </c>
      <c r="F2398" s="1">
        <f ca="1">IFERROR(__xludf.DUMMYFUNCTION("""COMPUTED_VALUE"""),17016)</f>
        <v>17016</v>
      </c>
      <c r="G2398" s="1" t="str">
        <f ca="1">IFERROR(__xludf.DUMMYFUNCTION("""COMPUTED_VALUE"""),"13.0430/77.6017")</f>
        <v>13.0430/77.6017</v>
      </c>
      <c r="H2398" s="1" t="str">
        <f ca="1">IFERROR(__xludf.DUMMYFUNCTION("""COMPUTED_VALUE"""),"Visvesvaraya Nagenhalli")</f>
        <v>Visvesvaraya Nagenhalli</v>
      </c>
      <c r="I2398" s="1"/>
      <c r="J2398" s="1" t="str">
        <f ca="1">IFERROR(__xludf.DUMMYFUNCTION("""COMPUTED_VALUE"""),"0d 00h 00m")</f>
        <v>0d 00h 00m</v>
      </c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13.2">
      <c r="A2399" s="1">
        <f ca="1">IFERROR(__xludf.DUMMYFUNCTION("""COMPUTED_VALUE"""),137)</f>
        <v>137</v>
      </c>
      <c r="B2399" s="1" t="str">
        <f ca="1">IFERROR(__xludf.DUMMYFUNCTION("""COMPUTED_VALUE"""),"WWM_KA53B3476_DUMPING")</f>
        <v>WWM_KA53B3476_DUMPING</v>
      </c>
      <c r="C2399" s="1" t="str">
        <f ca="1">IFERROR(__xludf.DUMMYFUNCTION("""COMPUTED_VALUE"""),"wwm_ka53b3476_dumping")</f>
        <v>wwm_ka53b3476_dumping</v>
      </c>
      <c r="D2399" s="2">
        <f ca="1">IFERROR(__xludf.DUMMYFUNCTION("""COMPUTED_VALUE"""),45091)</f>
        <v>45091</v>
      </c>
      <c r="E2399" s="3">
        <f ca="1">IFERROR(__xludf.DUMMYFUNCTION("""COMPUTED_VALUE"""),0.394328703703649)</f>
        <v>0.39432870370364898</v>
      </c>
      <c r="F2399" s="1">
        <f ca="1">IFERROR(__xludf.DUMMYFUNCTION("""COMPUTED_VALUE"""),17943)</f>
        <v>17943</v>
      </c>
      <c r="G2399" s="1" t="str">
        <f ca="1">IFERROR(__xludf.DUMMYFUNCTION("""COMPUTED_VALUE"""),"13.0426/77.6015")</f>
        <v>13.0426/77.6015</v>
      </c>
      <c r="H2399" s="1" t="str">
        <f ca="1">IFERROR(__xludf.DUMMYFUNCTION("""COMPUTED_VALUE"""),"Visvesvaraya Nagenhalli")</f>
        <v>Visvesvaraya Nagenhalli</v>
      </c>
      <c r="I2399" s="1"/>
      <c r="J2399" s="1" t="str">
        <f ca="1">IFERROR(__xludf.DUMMYFUNCTION("""COMPUTED_VALUE"""),"0d 00h 00m")</f>
        <v>0d 00h 00m</v>
      </c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13.2">
      <c r="A2400" s="1">
        <f ca="1">IFERROR(__xludf.DUMMYFUNCTION("""COMPUTED_VALUE"""),170)</f>
        <v>170</v>
      </c>
      <c r="B2400" s="1" t="str">
        <f ca="1">IFERROR(__xludf.DUMMYFUNCTION("""COMPUTED_VALUE"""),"WWM_KA53B3476_DUMPING")</f>
        <v>WWM_KA53B3476_DUMPING</v>
      </c>
      <c r="C2400" s="1" t="str">
        <f ca="1">IFERROR(__xludf.DUMMYFUNCTION("""COMPUTED_VALUE"""),"wwm_ka53b3476_dumping")</f>
        <v>wwm_ka53b3476_dumping</v>
      </c>
      <c r="D2400" s="2">
        <f ca="1">IFERROR(__xludf.DUMMYFUNCTION("""COMPUTED_VALUE"""),45226)</f>
        <v>45226</v>
      </c>
      <c r="E2400" s="3">
        <f ca="1">IFERROR(__xludf.DUMMYFUNCTION("""COMPUTED_VALUE"""),0.99921296296452)</f>
        <v>0.99921296296452</v>
      </c>
      <c r="F2400" s="1">
        <f ca="1">IFERROR(__xludf.DUMMYFUNCTION("""COMPUTED_VALUE"""),18596)</f>
        <v>18596</v>
      </c>
      <c r="G2400" s="1" t="str">
        <f ca="1">IFERROR(__xludf.DUMMYFUNCTION("""COMPUTED_VALUE"""),"13.0424/77.6016")</f>
        <v>13.0424/77.6016</v>
      </c>
      <c r="H2400" s="1" t="str">
        <f ca="1">IFERROR(__xludf.DUMMYFUNCTION("""COMPUTED_VALUE"""),"Visvesvaraya Nagenhalli")</f>
        <v>Visvesvaraya Nagenhalli</v>
      </c>
      <c r="I2400" s="1"/>
      <c r="J2400" s="1" t="str">
        <f ca="1">IFERROR(__xludf.DUMMYFUNCTION("""COMPUTED_VALUE"""),"0d 00h 00m")</f>
        <v>0d 00h 00m</v>
      </c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13.2">
      <c r="A2401" s="1">
        <f ca="1">IFERROR(__xludf.DUMMYFUNCTION("""COMPUTED_VALUE"""),182)</f>
        <v>182</v>
      </c>
      <c r="B2401" s="1" t="str">
        <f ca="1">IFERROR(__xludf.DUMMYFUNCTION("""COMPUTED_VALUE"""),"WWM_KA53B3476_DUMPING")</f>
        <v>WWM_KA53B3476_DUMPING</v>
      </c>
      <c r="C2401" s="1" t="str">
        <f ca="1">IFERROR(__xludf.DUMMYFUNCTION("""COMPUTED_VALUE"""),"wwm_ka53b3476_dumping")</f>
        <v>wwm_ka53b3476_dumping</v>
      </c>
      <c r="D2401" s="2">
        <f ca="1">IFERROR(__xludf.DUMMYFUNCTION("""COMPUTED_VALUE"""),45317)</f>
        <v>45317</v>
      </c>
      <c r="E2401" s="3">
        <f ca="1">IFERROR(__xludf.DUMMYFUNCTION("""COMPUTED_VALUE"""),0.999120370372111)</f>
        <v>0.99912037037211099</v>
      </c>
      <c r="F2401" s="1">
        <f ca="1">IFERROR(__xludf.DUMMYFUNCTION("""COMPUTED_VALUE"""),19039)</f>
        <v>19039</v>
      </c>
      <c r="G2401" s="1" t="str">
        <f ca="1">IFERROR(__xludf.DUMMYFUNCTION("""COMPUTED_VALUE"""),"13.0430/77.6017")</f>
        <v>13.0430/77.6017</v>
      </c>
      <c r="H2401" s="1" t="str">
        <f ca="1">IFERROR(__xludf.DUMMYFUNCTION("""COMPUTED_VALUE"""),"VishvanÄt NÄgenhalli")</f>
        <v>VishvanÄt NÄgenhalli</v>
      </c>
      <c r="I2401" s="1"/>
      <c r="J2401" s="1" t="str">
        <f ca="1">IFERROR(__xludf.DUMMYFUNCTION("""COMPUTED_VALUE"""),"0d 00h 00m")</f>
        <v>0d 00h 00m</v>
      </c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13.2">
      <c r="A2402" s="1">
        <f ca="1">IFERROR(__xludf.DUMMYFUNCTION("""COMPUTED_VALUE"""),66)</f>
        <v>66</v>
      </c>
      <c r="B2402" s="1" t="str">
        <f ca="1">IFERROR(__xludf.DUMMYFUNCTION("""COMPUTED_VALUE"""),"Wwm_KA53B3477_Dumping")</f>
        <v>Wwm_KA53B3477_Dumping</v>
      </c>
      <c r="C2402" s="1" t="str">
        <f ca="1">IFERROR(__xludf.DUMMYFUNCTION("""COMPUTED_VALUE"""),"wwm_ka53b3477_dumping")</f>
        <v>wwm_ka53b3477_dumping</v>
      </c>
      <c r="D2402" s="2">
        <f ca="1">IFERROR(__xludf.DUMMYFUNCTION("""COMPUTED_VALUE"""),44677)</f>
        <v>44677</v>
      </c>
      <c r="E2402" s="3">
        <f ca="1">IFERROR(__xludf.DUMMYFUNCTION("""COMPUTED_VALUE"""),0.501377314812998)</f>
        <v>0.50137731481299797</v>
      </c>
      <c r="F2402" s="1">
        <f ca="1">IFERROR(__xludf.DUMMYFUNCTION("""COMPUTED_VALUE"""),5684)</f>
        <v>5684</v>
      </c>
      <c r="G2402" s="1" t="str">
        <f ca="1">IFERROR(__xludf.DUMMYFUNCTION("""COMPUTED_VALUE"""),"13.0476/77.5786")</f>
        <v>13.0476/77.5786</v>
      </c>
      <c r="H2402" s="1" t="str">
        <f ca="1">IFERROR(__xludf.DUMMYFUNCTION("""COMPUTED_VALUE"""),"RMV Extension")</f>
        <v>RMV Extension</v>
      </c>
      <c r="I2402" s="1"/>
      <c r="J2402" s="1" t="str">
        <f ca="1">IFERROR(__xludf.DUMMYFUNCTION("""COMPUTED_VALUE"""),"201d 00h 38m")</f>
        <v>201d 00h 38m</v>
      </c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13.2">
      <c r="A2403" s="1">
        <f ca="1">IFERROR(__xludf.DUMMYFUNCTION("""COMPUTED_VALUE"""),70)</f>
        <v>70</v>
      </c>
      <c r="B2403" s="1" t="str">
        <f ca="1">IFERROR(__xludf.DUMMYFUNCTION("""COMPUTED_VALUE"""),"Wwm_KA53B3477_Dumping")</f>
        <v>Wwm_KA53B3477_Dumping</v>
      </c>
      <c r="C2403" s="1" t="str">
        <f ca="1">IFERROR(__xludf.DUMMYFUNCTION("""COMPUTED_VALUE"""),"wwm_ka53b3477_dumping")</f>
        <v>wwm_ka53b3477_dumping</v>
      </c>
      <c r="D2403" s="2">
        <f ca="1">IFERROR(__xludf.DUMMYFUNCTION("""COMPUTED_VALUE"""),44716)</f>
        <v>44716</v>
      </c>
      <c r="E2403" s="3">
        <f ca="1">IFERROR(__xludf.DUMMYFUNCTION("""COMPUTED_VALUE"""),0.411319444443506)</f>
        <v>0.41131944444350599</v>
      </c>
      <c r="F2403" s="1">
        <f ca="1">IFERROR(__xludf.DUMMYFUNCTION("""COMPUTED_VALUE"""),5802)</f>
        <v>5802</v>
      </c>
      <c r="G2403" s="1" t="str">
        <f ca="1">IFERROR(__xludf.DUMMYFUNCTION("""COMPUTED_VALUE"""),"13.0427/77.5872")</f>
        <v>13.0427/77.5872</v>
      </c>
      <c r="H2403" s="1" t="str">
        <f ca="1">IFERROR(__xludf.DUMMYFUNCTION("""COMPUTED_VALUE"""),"Hebbal Kere")</f>
        <v>Hebbal Kere</v>
      </c>
      <c r="I2403" s="1"/>
      <c r="J2403" s="1" t="str">
        <f ca="1">IFERROR(__xludf.DUMMYFUNCTION("""COMPUTED_VALUE"""),"201d 00h 39m")</f>
        <v>201d 00h 39m</v>
      </c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13.2">
      <c r="A2404" s="1">
        <f ca="1">IFERROR(__xludf.DUMMYFUNCTION("""COMPUTED_VALUE"""),56)</f>
        <v>56</v>
      </c>
      <c r="B2404" s="1" t="str">
        <f ca="1">IFERROR(__xludf.DUMMYFUNCTION("""COMPUTED_VALUE"""),"Wwm_KA53B3477_Dumping")</f>
        <v>Wwm_KA53B3477_Dumping</v>
      </c>
      <c r="C2404" s="1" t="str">
        <f ca="1">IFERROR(__xludf.DUMMYFUNCTION("""COMPUTED_VALUE"""),"wwm_ka53b3477_dumping")</f>
        <v>wwm_ka53b3477_dumping</v>
      </c>
      <c r="D2404" s="2">
        <f ca="1">IFERROR(__xludf.DUMMYFUNCTION("""COMPUTED_VALUE"""),44716)</f>
        <v>44716</v>
      </c>
      <c r="E2404" s="3">
        <f ca="1">IFERROR(__xludf.DUMMYFUNCTION("""COMPUTED_VALUE"""),0.411319444443506)</f>
        <v>0.41131944444350599</v>
      </c>
      <c r="F2404" s="1">
        <f ca="1">IFERROR(__xludf.DUMMYFUNCTION("""COMPUTED_VALUE"""),5802)</f>
        <v>5802</v>
      </c>
      <c r="G2404" s="1" t="str">
        <f ca="1">IFERROR(__xludf.DUMMYFUNCTION("""COMPUTED_VALUE"""),"13.0427/77.5872")</f>
        <v>13.0427/77.5872</v>
      </c>
      <c r="H2404" s="1" t="str">
        <f ca="1">IFERROR(__xludf.DUMMYFUNCTION("""COMPUTED_VALUE"""),"Hebbal Kere")</f>
        <v>Hebbal Kere</v>
      </c>
      <c r="I2404" s="1"/>
      <c r="J2404" s="1" t="str">
        <f ca="1">IFERROR(__xludf.DUMMYFUNCTION("""COMPUTED_VALUE"""),"201d 00h 40m")</f>
        <v>201d 00h 40m</v>
      </c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13.2">
      <c r="A2405" s="1">
        <f ca="1">IFERROR(__xludf.DUMMYFUNCTION("""COMPUTED_VALUE"""),55)</f>
        <v>55</v>
      </c>
      <c r="B2405" s="1" t="str">
        <f ca="1">IFERROR(__xludf.DUMMYFUNCTION("""COMPUTED_VALUE"""),"Wwm_KA53B3477_Dumping")</f>
        <v>Wwm_KA53B3477_Dumping</v>
      </c>
      <c r="C2405" s="1" t="str">
        <f ca="1">IFERROR(__xludf.DUMMYFUNCTION("""COMPUTED_VALUE"""),"wwm_ka53b3477_dumping")</f>
        <v>wwm_ka53b3477_dumping</v>
      </c>
      <c r="D2405" s="2">
        <f ca="1">IFERROR(__xludf.DUMMYFUNCTION("""COMPUTED_VALUE"""),44716)</f>
        <v>44716</v>
      </c>
      <c r="E2405" s="3">
        <f ca="1">IFERROR(__xludf.DUMMYFUNCTION("""COMPUTED_VALUE"""),0.411319444443506)</f>
        <v>0.41131944444350599</v>
      </c>
      <c r="F2405" s="1">
        <f ca="1">IFERROR(__xludf.DUMMYFUNCTION("""COMPUTED_VALUE"""),5802)</f>
        <v>5802</v>
      </c>
      <c r="G2405" s="1" t="str">
        <f ca="1">IFERROR(__xludf.DUMMYFUNCTION("""COMPUTED_VALUE"""),"13.0427/77.5872")</f>
        <v>13.0427/77.5872</v>
      </c>
      <c r="H2405" s="1" t="str">
        <f ca="1">IFERROR(__xludf.DUMMYFUNCTION("""COMPUTED_VALUE"""),"Hebbal Kere")</f>
        <v>Hebbal Kere</v>
      </c>
      <c r="I2405" s="1"/>
      <c r="J2405" s="1" t="str">
        <f ca="1">IFERROR(__xludf.DUMMYFUNCTION("""COMPUTED_VALUE"""),"201d 00h 41m")</f>
        <v>201d 00h 41m</v>
      </c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13.2">
      <c r="A2406" s="1">
        <f ca="1">IFERROR(__xludf.DUMMYFUNCTION("""COMPUTED_VALUE"""),47)</f>
        <v>47</v>
      </c>
      <c r="B2406" s="1" t="str">
        <f ca="1">IFERROR(__xludf.DUMMYFUNCTION("""COMPUTED_VALUE"""),"Wwm_KA53B3477_Dumping")</f>
        <v>Wwm_KA53B3477_Dumping</v>
      </c>
      <c r="C2406" s="1" t="str">
        <f ca="1">IFERROR(__xludf.DUMMYFUNCTION("""COMPUTED_VALUE"""),"wwm_ka53b3477_dumping")</f>
        <v>wwm_ka53b3477_dumping</v>
      </c>
      <c r="D2406" s="2">
        <f ca="1">IFERROR(__xludf.DUMMYFUNCTION("""COMPUTED_VALUE"""),44716)</f>
        <v>44716</v>
      </c>
      <c r="E2406" s="3">
        <f ca="1">IFERROR(__xludf.DUMMYFUNCTION("""COMPUTED_VALUE"""),0.411319444443506)</f>
        <v>0.41131944444350599</v>
      </c>
      <c r="F2406" s="1">
        <f ca="1">IFERROR(__xludf.DUMMYFUNCTION("""COMPUTED_VALUE"""),5802)</f>
        <v>5802</v>
      </c>
      <c r="G2406" s="1" t="str">
        <f ca="1">IFERROR(__xludf.DUMMYFUNCTION("""COMPUTED_VALUE"""),"13.0427/77.5872")</f>
        <v>13.0427/77.5872</v>
      </c>
      <c r="H2406" s="1" t="str">
        <f ca="1">IFERROR(__xludf.DUMMYFUNCTION("""COMPUTED_VALUE"""),"Hebbal Kere")</f>
        <v>Hebbal Kere</v>
      </c>
      <c r="I2406" s="1"/>
      <c r="J2406" s="1" t="str">
        <f ca="1">IFERROR(__xludf.DUMMYFUNCTION("""COMPUTED_VALUE"""),"201d 00h 42m")</f>
        <v>201d 00h 42m</v>
      </c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13.2">
      <c r="A2407" s="1">
        <f ca="1">IFERROR(__xludf.DUMMYFUNCTION("""COMPUTED_VALUE"""),47)</f>
        <v>47</v>
      </c>
      <c r="B2407" s="1" t="str">
        <f ca="1">IFERROR(__xludf.DUMMYFUNCTION("""COMPUTED_VALUE"""),"Wwm_KA53B3477_Dumping")</f>
        <v>Wwm_KA53B3477_Dumping</v>
      </c>
      <c r="C2407" s="1" t="str">
        <f ca="1">IFERROR(__xludf.DUMMYFUNCTION("""COMPUTED_VALUE"""),"wwm_ka53b3477_dumping")</f>
        <v>wwm_ka53b3477_dumping</v>
      </c>
      <c r="D2407" s="2">
        <f ca="1">IFERROR(__xludf.DUMMYFUNCTION("""COMPUTED_VALUE"""),44716)</f>
        <v>44716</v>
      </c>
      <c r="E2407" s="3">
        <f ca="1">IFERROR(__xludf.DUMMYFUNCTION("""COMPUTED_VALUE"""),0.411319444443506)</f>
        <v>0.41131944444350599</v>
      </c>
      <c r="F2407" s="1">
        <f ca="1">IFERROR(__xludf.DUMMYFUNCTION("""COMPUTED_VALUE"""),5802)</f>
        <v>5802</v>
      </c>
      <c r="G2407" s="1" t="str">
        <f ca="1">IFERROR(__xludf.DUMMYFUNCTION("""COMPUTED_VALUE"""),"13.0427/77.5872")</f>
        <v>13.0427/77.5872</v>
      </c>
      <c r="H2407" s="1" t="str">
        <f ca="1">IFERROR(__xludf.DUMMYFUNCTION("""COMPUTED_VALUE"""),"Hebbal Kere")</f>
        <v>Hebbal Kere</v>
      </c>
      <c r="I2407" s="1"/>
      <c r="J2407" s="1" t="str">
        <f ca="1">IFERROR(__xludf.DUMMYFUNCTION("""COMPUTED_VALUE"""),"201d 00h 43m")</f>
        <v>201d 00h 43m</v>
      </c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13.2">
      <c r="A2408" s="1">
        <f ca="1">IFERROR(__xludf.DUMMYFUNCTION("""COMPUTED_VALUE"""),128)</f>
        <v>128</v>
      </c>
      <c r="B2408" s="1" t="str">
        <f ca="1">IFERROR(__xludf.DUMMYFUNCTION("""COMPUTED_VALUE"""),"WWM_KA53B3477_DUMPING")</f>
        <v>WWM_KA53B3477_DUMPING</v>
      </c>
      <c r="C2408" s="1" t="str">
        <f ca="1">IFERROR(__xludf.DUMMYFUNCTION("""COMPUTED_VALUE"""),"wwm_ka53b3477_dumping")</f>
        <v>wwm_ka53b3477_dumping</v>
      </c>
      <c r="D2408" s="2">
        <f ca="1">IFERROR(__xludf.DUMMYFUNCTION("""COMPUTED_VALUE"""),44716)</f>
        <v>44716</v>
      </c>
      <c r="E2408" s="3">
        <f ca="1">IFERROR(__xludf.DUMMYFUNCTION("""COMPUTED_VALUE"""),0.411319444443506)</f>
        <v>0.41131944444350599</v>
      </c>
      <c r="F2408" s="1">
        <f ca="1">IFERROR(__xludf.DUMMYFUNCTION("""COMPUTED_VALUE"""),5802)</f>
        <v>5802</v>
      </c>
      <c r="G2408" s="1" t="str">
        <f ca="1">IFERROR(__xludf.DUMMYFUNCTION("""COMPUTED_VALUE"""),"13.0427/77.5872")</f>
        <v>13.0427/77.5872</v>
      </c>
      <c r="H2408" s="1" t="str">
        <f ca="1">IFERROR(__xludf.DUMMYFUNCTION("""COMPUTED_VALUE"""),"Hebbal Kere")</f>
        <v>Hebbal Kere</v>
      </c>
      <c r="I2408" s="1"/>
      <c r="J2408" s="1" t="str">
        <f ca="1">IFERROR(__xludf.DUMMYFUNCTION("""COMPUTED_VALUE"""),"105d 01h 55m")</f>
        <v>105d 01h 55m</v>
      </c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13.2">
      <c r="A2409" s="1">
        <f ca="1">IFERROR(__xludf.DUMMYFUNCTION("""COMPUTED_VALUE"""),127)</f>
        <v>127</v>
      </c>
      <c r="B2409" s="1" t="str">
        <f ca="1">IFERROR(__xludf.DUMMYFUNCTION("""COMPUTED_VALUE"""),"WWM_KA53B3477_DUMPING")</f>
        <v>WWM_KA53B3477_DUMPING</v>
      </c>
      <c r="C2409" s="1" t="str">
        <f ca="1">IFERROR(__xludf.DUMMYFUNCTION("""COMPUTED_VALUE"""),"wwm_ka53b3477_dumping")</f>
        <v>wwm_ka53b3477_dumping</v>
      </c>
      <c r="D2409" s="2">
        <f ca="1">IFERROR(__xludf.DUMMYFUNCTION("""COMPUTED_VALUE"""),44716)</f>
        <v>44716</v>
      </c>
      <c r="E2409" s="3">
        <f ca="1">IFERROR(__xludf.DUMMYFUNCTION("""COMPUTED_VALUE"""),0.411319444443506)</f>
        <v>0.41131944444350599</v>
      </c>
      <c r="F2409" s="1">
        <f ca="1">IFERROR(__xludf.DUMMYFUNCTION("""COMPUTED_VALUE"""),5802)</f>
        <v>5802</v>
      </c>
      <c r="G2409" s="1" t="str">
        <f ca="1">IFERROR(__xludf.DUMMYFUNCTION("""COMPUTED_VALUE"""),"13.0427/77.5872")</f>
        <v>13.0427/77.5872</v>
      </c>
      <c r="H2409" s="1" t="str">
        <f ca="1">IFERROR(__xludf.DUMMYFUNCTION("""COMPUTED_VALUE"""),"Hebbal Kere")</f>
        <v>Hebbal Kere</v>
      </c>
      <c r="I2409" s="1"/>
      <c r="J2409" s="1" t="str">
        <f ca="1">IFERROR(__xludf.DUMMYFUNCTION("""COMPUTED_VALUE"""),"105d 01h 56m")</f>
        <v>105d 01h 56m</v>
      </c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13.2">
      <c r="A2410" s="1">
        <f ca="1">IFERROR(__xludf.DUMMYFUNCTION("""COMPUTED_VALUE"""),123)</f>
        <v>123</v>
      </c>
      <c r="B2410" s="1" t="str">
        <f ca="1">IFERROR(__xludf.DUMMYFUNCTION("""COMPUTED_VALUE"""),"WWM_KA53B3477_DUMPING")</f>
        <v>WWM_KA53B3477_DUMPING</v>
      </c>
      <c r="C2410" s="1" t="str">
        <f ca="1">IFERROR(__xludf.DUMMYFUNCTION("""COMPUTED_VALUE"""),"wwm_ka53b3477_dumping")</f>
        <v>wwm_ka53b3477_dumping</v>
      </c>
      <c r="D2410" s="2">
        <f ca="1">IFERROR(__xludf.DUMMYFUNCTION("""COMPUTED_VALUE"""),44716)</f>
        <v>44716</v>
      </c>
      <c r="E2410" s="3">
        <f ca="1">IFERROR(__xludf.DUMMYFUNCTION("""COMPUTED_VALUE"""),0.411319444443506)</f>
        <v>0.41131944444350599</v>
      </c>
      <c r="F2410" s="1">
        <f ca="1">IFERROR(__xludf.DUMMYFUNCTION("""COMPUTED_VALUE"""),5802)</f>
        <v>5802</v>
      </c>
      <c r="G2410" s="1" t="str">
        <f ca="1">IFERROR(__xludf.DUMMYFUNCTION("""COMPUTED_VALUE"""),"13.0427/77.5872")</f>
        <v>13.0427/77.5872</v>
      </c>
      <c r="H2410" s="1" t="str">
        <f ca="1">IFERROR(__xludf.DUMMYFUNCTION("""COMPUTED_VALUE"""),"Hebbal Kere")</f>
        <v>Hebbal Kere</v>
      </c>
      <c r="I2410" s="1"/>
      <c r="J2410" s="1" t="str">
        <f ca="1">IFERROR(__xludf.DUMMYFUNCTION("""COMPUTED_VALUE"""),"105d 01h 59m")</f>
        <v>105d 01h 59m</v>
      </c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13.2">
      <c r="A2411" s="1">
        <f ca="1">IFERROR(__xludf.DUMMYFUNCTION("""COMPUTED_VALUE"""),123)</f>
        <v>123</v>
      </c>
      <c r="B2411" s="1" t="str">
        <f ca="1">IFERROR(__xludf.DUMMYFUNCTION("""COMPUTED_VALUE"""),"WWM_KA53B3477_DUMPING")</f>
        <v>WWM_KA53B3477_DUMPING</v>
      </c>
      <c r="C2411" s="1" t="str">
        <f ca="1">IFERROR(__xludf.DUMMYFUNCTION("""COMPUTED_VALUE"""),"wwm_ka53b3477_dumping")</f>
        <v>wwm_ka53b3477_dumping</v>
      </c>
      <c r="D2411" s="2">
        <f ca="1">IFERROR(__xludf.DUMMYFUNCTION("""COMPUTED_VALUE"""),44716)</f>
        <v>44716</v>
      </c>
      <c r="E2411" s="3">
        <f ca="1">IFERROR(__xludf.DUMMYFUNCTION("""COMPUTED_VALUE"""),0.411319444443506)</f>
        <v>0.41131944444350599</v>
      </c>
      <c r="F2411" s="1">
        <f ca="1">IFERROR(__xludf.DUMMYFUNCTION("""COMPUTED_VALUE"""),5802)</f>
        <v>5802</v>
      </c>
      <c r="G2411" s="1" t="str">
        <f ca="1">IFERROR(__xludf.DUMMYFUNCTION("""COMPUTED_VALUE"""),"13.0427/77.5872")</f>
        <v>13.0427/77.5872</v>
      </c>
      <c r="H2411" s="1" t="str">
        <f ca="1">IFERROR(__xludf.DUMMYFUNCTION("""COMPUTED_VALUE"""),"Hebbal Kere")</f>
        <v>Hebbal Kere</v>
      </c>
      <c r="I2411" s="1"/>
      <c r="J2411" s="1" t="str">
        <f ca="1">IFERROR(__xludf.DUMMYFUNCTION("""COMPUTED_VALUE"""),"105d 02h 00m")</f>
        <v>105d 02h 00m</v>
      </c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13.2">
      <c r="A2412" s="1">
        <f ca="1">IFERROR(__xludf.DUMMYFUNCTION("""COMPUTED_VALUE"""),142)</f>
        <v>142</v>
      </c>
      <c r="B2412" s="1" t="str">
        <f ca="1">IFERROR(__xludf.DUMMYFUNCTION("""COMPUTED_VALUE"""),"WWM_KA53B3477_DUMPING")</f>
        <v>WWM_KA53B3477_DUMPING</v>
      </c>
      <c r="C2412" s="1" t="str">
        <f ca="1">IFERROR(__xludf.DUMMYFUNCTION("""COMPUTED_VALUE"""),"wwm_ka53b3477_dumping")</f>
        <v>wwm_ka53b3477_dumping</v>
      </c>
      <c r="D2412" s="2">
        <f ca="1">IFERROR(__xludf.DUMMYFUNCTION("""COMPUTED_VALUE"""),45128)</f>
        <v>45128</v>
      </c>
      <c r="E2412" s="3">
        <f ca="1">IFERROR(__xludf.DUMMYFUNCTION("""COMPUTED_VALUE"""),0.450902777778537)</f>
        <v>0.45090277777853699</v>
      </c>
      <c r="F2412" s="1">
        <f ca="1">IFERROR(__xludf.DUMMYFUNCTION("""COMPUTED_VALUE"""),5804)</f>
        <v>5804</v>
      </c>
      <c r="G2412" s="1" t="str">
        <f ca="1">IFERROR(__xludf.DUMMYFUNCTION("""COMPUTED_VALUE"""),"13.0425/77.6015")</f>
        <v>13.0425/77.6015</v>
      </c>
      <c r="H2412" s="1" t="str">
        <f ca="1">IFERROR(__xludf.DUMMYFUNCTION("""COMPUTED_VALUE"""),"Visvesvaraya Nagenhalli")</f>
        <v>Visvesvaraya Nagenhalli</v>
      </c>
      <c r="I2412" s="1"/>
      <c r="J2412" s="1" t="str">
        <f ca="1">IFERROR(__xludf.DUMMYFUNCTION("""COMPUTED_VALUE"""),"105d 02h 01m")</f>
        <v>105d 02h 01m</v>
      </c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13.2">
      <c r="A2413" s="1">
        <f ca="1">IFERROR(__xludf.DUMMYFUNCTION("""COMPUTED_VALUE"""),137)</f>
        <v>137</v>
      </c>
      <c r="B2413" s="1" t="str">
        <f ca="1">IFERROR(__xludf.DUMMYFUNCTION("""COMPUTED_VALUE"""),"WWM_KA53B3477_DUMPING")</f>
        <v>WWM_KA53B3477_DUMPING</v>
      </c>
      <c r="C2413" s="1" t="str">
        <f ca="1">IFERROR(__xludf.DUMMYFUNCTION("""COMPUTED_VALUE"""),"wwm_ka53b3477_dumping")</f>
        <v>wwm_ka53b3477_dumping</v>
      </c>
      <c r="D2413" s="2">
        <f ca="1">IFERROR(__xludf.DUMMYFUNCTION("""COMPUTED_VALUE"""),45128)</f>
        <v>45128</v>
      </c>
      <c r="E2413" s="3">
        <f ca="1">IFERROR(__xludf.DUMMYFUNCTION("""COMPUTED_VALUE"""),0.450902777778537)</f>
        <v>0.45090277777853699</v>
      </c>
      <c r="F2413" s="1">
        <f ca="1">IFERROR(__xludf.DUMMYFUNCTION("""COMPUTED_VALUE"""),5804)</f>
        <v>5804</v>
      </c>
      <c r="G2413" s="1" t="str">
        <f ca="1">IFERROR(__xludf.DUMMYFUNCTION("""COMPUTED_VALUE"""),"13.0425/77.6015")</f>
        <v>13.0425/77.6015</v>
      </c>
      <c r="H2413" s="1" t="str">
        <f ca="1">IFERROR(__xludf.DUMMYFUNCTION("""COMPUTED_VALUE"""),"Visvesvaraya Nagenhalli")</f>
        <v>Visvesvaraya Nagenhalli</v>
      </c>
      <c r="I2413" s="1"/>
      <c r="J2413" s="1" t="str">
        <f ca="1">IFERROR(__xludf.DUMMYFUNCTION("""COMPUTED_VALUE"""),"105d 02h 02m")</f>
        <v>105d 02h 02m</v>
      </c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13.2">
      <c r="A2414" s="1">
        <f ca="1">IFERROR(__xludf.DUMMYFUNCTION("""COMPUTED_VALUE"""),144)</f>
        <v>144</v>
      </c>
      <c r="B2414" s="1" t="str">
        <f ca="1">IFERROR(__xludf.DUMMYFUNCTION("""COMPUTED_VALUE"""),"WWM_KA53B3477_DUMPING")</f>
        <v>WWM_KA53B3477_DUMPING</v>
      </c>
      <c r="C2414" s="1" t="str">
        <f ca="1">IFERROR(__xludf.DUMMYFUNCTION("""COMPUTED_VALUE"""),"wwm_ka53b3477_dumping")</f>
        <v>wwm_ka53b3477_dumping</v>
      </c>
      <c r="D2414" s="2">
        <f ca="1">IFERROR(__xludf.DUMMYFUNCTION("""COMPUTED_VALUE"""),45266)</f>
        <v>45266</v>
      </c>
      <c r="E2414" s="3">
        <f ca="1">IFERROR(__xludf.DUMMYFUNCTION("""COMPUTED_VALUE"""),0.395381944443215)</f>
        <v>0.39538194444321501</v>
      </c>
      <c r="F2414" s="1">
        <f ca="1">IFERROR(__xludf.DUMMYFUNCTION("""COMPUTED_VALUE"""),5806)</f>
        <v>5806</v>
      </c>
      <c r="G2414" s="1" t="str">
        <f ca="1">IFERROR(__xludf.DUMMYFUNCTION("""COMPUTED_VALUE"""),"13.0426/77.6016")</f>
        <v>13.0426/77.6016</v>
      </c>
      <c r="H2414" s="1" t="str">
        <f ca="1">IFERROR(__xludf.DUMMYFUNCTION("""COMPUTED_VALUE"""),"VishvanÄt NÄgenhalli")</f>
        <v>VishvanÄt NÄgenhalli</v>
      </c>
      <c r="I2414" s="1"/>
      <c r="J2414" s="1" t="str">
        <f ca="1">IFERROR(__xludf.DUMMYFUNCTION("""COMPUTED_VALUE"""),"105d 02h 03m")</f>
        <v>105d 02h 03m</v>
      </c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13.2">
      <c r="A2415" s="1">
        <f ca="1">IFERROR(__xludf.DUMMYFUNCTION("""COMPUTED_VALUE"""),24)</f>
        <v>24</v>
      </c>
      <c r="B2415" s="1" t="str">
        <f ca="1">IFERROR(__xludf.DUMMYFUNCTION("""COMPUTED_VALUE"""),"Wwm_KC1_KA04AA5948_Desilting")</f>
        <v>Wwm_KC1_KA04AA5948_Desilting</v>
      </c>
      <c r="C2415" s="1" t="str">
        <f ca="1">IFERROR(__xludf.DUMMYFUNCTION("""COMPUTED_VALUE"""),"wwm_kc1_ka04aa5948_desilting")</f>
        <v>wwm_kc1_ka04aa5948_desilting</v>
      </c>
      <c r="D2415" s="2">
        <f ca="1">IFERROR(__xludf.DUMMYFUNCTION("""COMPUTED_VALUE"""),44035)</f>
        <v>44035</v>
      </c>
      <c r="E2415" s="3">
        <f ca="1">IFERROR(__xludf.DUMMYFUNCTION("""COMPUTED_VALUE"""),0.556006944443652)</f>
        <v>0.55600694444365195</v>
      </c>
      <c r="F2415" s="1">
        <f ca="1">IFERROR(__xludf.DUMMYFUNCTION("""COMPUTED_VALUE"""),48091)</f>
        <v>48091</v>
      </c>
      <c r="G2415" s="1" t="str">
        <f ca="1">IFERROR(__xludf.DUMMYFUNCTION("""COMPUTED_VALUE"""),"12.9006/77.5857")</f>
        <v>12.9006/77.5857</v>
      </c>
      <c r="H2415" s="1" t="str">
        <f ca="1">IFERROR(__xludf.DUMMYFUNCTION("""COMPUTED_VALUE"""),"Hotel Nandhini J.P.Nagar")</f>
        <v>Hotel Nandhini J.P.Nagar</v>
      </c>
      <c r="I2415" s="1"/>
      <c r="J2415" s="1" t="str">
        <f ca="1">IFERROR(__xludf.DUMMYFUNCTION("""COMPUTED_VALUE"""),"881d 21h 10m")</f>
        <v>881d 21h 10m</v>
      </c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13.2">
      <c r="A2416" s="1">
        <f ca="1">IFERROR(__xludf.DUMMYFUNCTION("""COMPUTED_VALUE"""),24)</f>
        <v>24</v>
      </c>
      <c r="B2416" s="1" t="str">
        <f ca="1">IFERROR(__xludf.DUMMYFUNCTION("""COMPUTED_VALUE"""),"Wwm_KC1_KA04AA5948_Desilting")</f>
        <v>Wwm_KC1_KA04AA5948_Desilting</v>
      </c>
      <c r="C2416" s="1" t="str">
        <f ca="1">IFERROR(__xludf.DUMMYFUNCTION("""COMPUTED_VALUE"""),"wwm_kc1_ka04aa5948_desilting")</f>
        <v>wwm_kc1_ka04aa5948_desilting</v>
      </c>
      <c r="D2416" s="2">
        <f ca="1">IFERROR(__xludf.DUMMYFUNCTION("""COMPUTED_VALUE"""),44035)</f>
        <v>44035</v>
      </c>
      <c r="E2416" s="3">
        <f ca="1">IFERROR(__xludf.DUMMYFUNCTION("""COMPUTED_VALUE"""),0.556006944443652)</f>
        <v>0.55600694444365195</v>
      </c>
      <c r="F2416" s="1">
        <f ca="1">IFERROR(__xludf.DUMMYFUNCTION("""COMPUTED_VALUE"""),48091)</f>
        <v>48091</v>
      </c>
      <c r="G2416" s="1" t="str">
        <f ca="1">IFERROR(__xludf.DUMMYFUNCTION("""COMPUTED_VALUE"""),"12.9006/77.5857")</f>
        <v>12.9006/77.5857</v>
      </c>
      <c r="H2416" s="1" t="str">
        <f ca="1">IFERROR(__xludf.DUMMYFUNCTION("""COMPUTED_VALUE"""),"Hotel Nandhini J.P.Nagar")</f>
        <v>Hotel Nandhini J.P.Nagar</v>
      </c>
      <c r="I2416" s="1"/>
      <c r="J2416" s="1" t="str">
        <f ca="1">IFERROR(__xludf.DUMMYFUNCTION("""COMPUTED_VALUE"""),"881d 21h 11m")</f>
        <v>881d 21h 11m</v>
      </c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13.2">
      <c r="A2417" s="1">
        <f ca="1">IFERROR(__xludf.DUMMYFUNCTION("""COMPUTED_VALUE"""),24)</f>
        <v>24</v>
      </c>
      <c r="B2417" s="1" t="str">
        <f ca="1">IFERROR(__xludf.DUMMYFUNCTION("""COMPUTED_VALUE"""),"Wwm_KC1_KA04AA5948_Desilting")</f>
        <v>Wwm_KC1_KA04AA5948_Desilting</v>
      </c>
      <c r="C2417" s="1" t="str">
        <f ca="1">IFERROR(__xludf.DUMMYFUNCTION("""COMPUTED_VALUE"""),"wwm_kc1_ka04aa5948_desilting")</f>
        <v>wwm_kc1_ka04aa5948_desilting</v>
      </c>
      <c r="D2417" s="2">
        <f ca="1">IFERROR(__xludf.DUMMYFUNCTION("""COMPUTED_VALUE"""),44035)</f>
        <v>44035</v>
      </c>
      <c r="E2417" s="3">
        <f ca="1">IFERROR(__xludf.DUMMYFUNCTION("""COMPUTED_VALUE"""),0.556006944443652)</f>
        <v>0.55600694444365195</v>
      </c>
      <c r="F2417" s="1">
        <f ca="1">IFERROR(__xludf.DUMMYFUNCTION("""COMPUTED_VALUE"""),48091)</f>
        <v>48091</v>
      </c>
      <c r="G2417" s="1" t="str">
        <f ca="1">IFERROR(__xludf.DUMMYFUNCTION("""COMPUTED_VALUE"""),"12.9006/77.5857")</f>
        <v>12.9006/77.5857</v>
      </c>
      <c r="H2417" s="1" t="str">
        <f ca="1">IFERROR(__xludf.DUMMYFUNCTION("""COMPUTED_VALUE"""),"Hotel Nandhini J.P.Nagar")</f>
        <v>Hotel Nandhini J.P.Nagar</v>
      </c>
      <c r="I2417" s="1"/>
      <c r="J2417" s="1" t="str">
        <f ca="1">IFERROR(__xludf.DUMMYFUNCTION("""COMPUTED_VALUE"""),"881d 21h 12m")</f>
        <v>881d 21h 12m</v>
      </c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13.2">
      <c r="A2418" s="1">
        <f ca="1">IFERROR(__xludf.DUMMYFUNCTION("""COMPUTED_VALUE"""),24)</f>
        <v>24</v>
      </c>
      <c r="B2418" s="1" t="str">
        <f ca="1">IFERROR(__xludf.DUMMYFUNCTION("""COMPUTED_VALUE"""),"Wwm_KC1_KA04AA5948_Desilting")</f>
        <v>Wwm_KC1_KA04AA5948_Desilting</v>
      </c>
      <c r="C2418" s="1" t="str">
        <f ca="1">IFERROR(__xludf.DUMMYFUNCTION("""COMPUTED_VALUE"""),"wwm_kc1_ka04aa5948_desilting")</f>
        <v>wwm_kc1_ka04aa5948_desilting</v>
      </c>
      <c r="D2418" s="2">
        <f ca="1">IFERROR(__xludf.DUMMYFUNCTION("""COMPUTED_VALUE"""),44035)</f>
        <v>44035</v>
      </c>
      <c r="E2418" s="3">
        <f ca="1">IFERROR(__xludf.DUMMYFUNCTION("""COMPUTED_VALUE"""),0.556006944443652)</f>
        <v>0.55600694444365195</v>
      </c>
      <c r="F2418" s="1">
        <f ca="1">IFERROR(__xludf.DUMMYFUNCTION("""COMPUTED_VALUE"""),48091)</f>
        <v>48091</v>
      </c>
      <c r="G2418" s="1" t="str">
        <f ca="1">IFERROR(__xludf.DUMMYFUNCTION("""COMPUTED_VALUE"""),"12.9006/77.5857")</f>
        <v>12.9006/77.5857</v>
      </c>
      <c r="H2418" s="1" t="str">
        <f ca="1">IFERROR(__xludf.DUMMYFUNCTION("""COMPUTED_VALUE"""),"Hotel Nandhini J.P.Nagar")</f>
        <v>Hotel Nandhini J.P.Nagar</v>
      </c>
      <c r="I2418" s="1"/>
      <c r="J2418" s="1" t="str">
        <f ca="1">IFERROR(__xludf.DUMMYFUNCTION("""COMPUTED_VALUE"""),"881d 21h 13m")</f>
        <v>881d 21h 13m</v>
      </c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13.2">
      <c r="A2419" s="1">
        <f ca="1">IFERROR(__xludf.DUMMYFUNCTION("""COMPUTED_VALUE"""),24)</f>
        <v>24</v>
      </c>
      <c r="B2419" s="1" t="str">
        <f ca="1">IFERROR(__xludf.DUMMYFUNCTION("""COMPUTED_VALUE"""),"Wwm_KC1_KA04AA5948_Desilting")</f>
        <v>Wwm_KC1_KA04AA5948_Desilting</v>
      </c>
      <c r="C2419" s="1" t="str">
        <f ca="1">IFERROR(__xludf.DUMMYFUNCTION("""COMPUTED_VALUE"""),"wwm_kc1_ka04aa5948_desilting")</f>
        <v>wwm_kc1_ka04aa5948_desilting</v>
      </c>
      <c r="D2419" s="2">
        <f ca="1">IFERROR(__xludf.DUMMYFUNCTION("""COMPUTED_VALUE"""),44035)</f>
        <v>44035</v>
      </c>
      <c r="E2419" s="3">
        <f ca="1">IFERROR(__xludf.DUMMYFUNCTION("""COMPUTED_VALUE"""),0.556006944443652)</f>
        <v>0.55600694444365195</v>
      </c>
      <c r="F2419" s="1">
        <f ca="1">IFERROR(__xludf.DUMMYFUNCTION("""COMPUTED_VALUE"""),48091)</f>
        <v>48091</v>
      </c>
      <c r="G2419" s="1" t="str">
        <f ca="1">IFERROR(__xludf.DUMMYFUNCTION("""COMPUTED_VALUE"""),"12.9006/77.5857")</f>
        <v>12.9006/77.5857</v>
      </c>
      <c r="H2419" s="1" t="str">
        <f ca="1">IFERROR(__xludf.DUMMYFUNCTION("""COMPUTED_VALUE"""),"Hotel Nandhini J.P.Nagar")</f>
        <v>Hotel Nandhini J.P.Nagar</v>
      </c>
      <c r="I2419" s="1"/>
      <c r="J2419" s="1" t="str">
        <f ca="1">IFERROR(__xludf.DUMMYFUNCTION("""COMPUTED_VALUE"""),"881d 21h 13m")</f>
        <v>881d 21h 13m</v>
      </c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13.2">
      <c r="A2420" s="1">
        <f ca="1">IFERROR(__xludf.DUMMYFUNCTION("""COMPUTED_VALUE"""),24)</f>
        <v>24</v>
      </c>
      <c r="B2420" s="1" t="str">
        <f ca="1">IFERROR(__xludf.DUMMYFUNCTION("""COMPUTED_VALUE"""),"Wwm_KC1_KA04AA5948_Desilting")</f>
        <v>Wwm_KC1_KA04AA5948_Desilting</v>
      </c>
      <c r="C2420" s="1" t="str">
        <f ca="1">IFERROR(__xludf.DUMMYFUNCTION("""COMPUTED_VALUE"""),"wwm_kc1_ka04aa5948_desilting")</f>
        <v>wwm_kc1_ka04aa5948_desilting</v>
      </c>
      <c r="D2420" s="2">
        <f ca="1">IFERROR(__xludf.DUMMYFUNCTION("""COMPUTED_VALUE"""),44035)</f>
        <v>44035</v>
      </c>
      <c r="E2420" s="3">
        <f ca="1">IFERROR(__xludf.DUMMYFUNCTION("""COMPUTED_VALUE"""),0.556006944443652)</f>
        <v>0.55600694444365195</v>
      </c>
      <c r="F2420" s="1">
        <f ca="1">IFERROR(__xludf.DUMMYFUNCTION("""COMPUTED_VALUE"""),48091)</f>
        <v>48091</v>
      </c>
      <c r="G2420" s="1" t="str">
        <f ca="1">IFERROR(__xludf.DUMMYFUNCTION("""COMPUTED_VALUE"""),"12.9006/77.5857")</f>
        <v>12.9006/77.5857</v>
      </c>
      <c r="H2420" s="1" t="str">
        <f ca="1">IFERROR(__xludf.DUMMYFUNCTION("""COMPUTED_VALUE"""),"Hotel Nandhini J.P.Nagar")</f>
        <v>Hotel Nandhini J.P.Nagar</v>
      </c>
      <c r="I2420" s="1"/>
      <c r="J2420" s="1" t="str">
        <f ca="1">IFERROR(__xludf.DUMMYFUNCTION("""COMPUTED_VALUE"""),"881d 21h 14m")</f>
        <v>881d 21h 14m</v>
      </c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13.2">
      <c r="A2421" s="1">
        <f ca="1">IFERROR(__xludf.DUMMYFUNCTION("""COMPUTED_VALUE"""),118)</f>
        <v>118</v>
      </c>
      <c r="B2421" s="1" t="str">
        <f ca="1">IFERROR(__xludf.DUMMYFUNCTION("""COMPUTED_VALUE"""),"WWM_KC1_KA04AA5948_DESILTING")</f>
        <v>WWM_KC1_KA04AA5948_DESILTING</v>
      </c>
      <c r="C2421" s="1" t="str">
        <f ca="1">IFERROR(__xludf.DUMMYFUNCTION("""COMPUTED_VALUE"""),"wwm_kc1_ka04aa5948_desilting")</f>
        <v>wwm_kc1_ka04aa5948_desilting</v>
      </c>
      <c r="D2421" s="2">
        <f ca="1">IFERROR(__xludf.DUMMYFUNCTION("""COMPUTED_VALUE"""),44035)</f>
        <v>44035</v>
      </c>
      <c r="E2421" s="3">
        <f ca="1">IFERROR(__xludf.DUMMYFUNCTION("""COMPUTED_VALUE"""),0.556006944443652)</f>
        <v>0.55600694444365195</v>
      </c>
      <c r="F2421" s="1">
        <f ca="1">IFERROR(__xludf.DUMMYFUNCTION("""COMPUTED_VALUE"""),48091)</f>
        <v>48091</v>
      </c>
      <c r="G2421" s="1" t="str">
        <f ca="1">IFERROR(__xludf.DUMMYFUNCTION("""COMPUTED_VALUE"""),"12.9006/77.5857")</f>
        <v>12.9006/77.5857</v>
      </c>
      <c r="H2421" s="1" t="str">
        <f ca="1">IFERROR(__xludf.DUMMYFUNCTION("""COMPUTED_VALUE"""),"Hotel Nandhini J.P.Nagar")</f>
        <v>Hotel Nandhini J.P.Nagar</v>
      </c>
      <c r="I2421" s="1"/>
      <c r="J2421" s="1" t="str">
        <f ca="1">IFERROR(__xludf.DUMMYFUNCTION("""COMPUTED_VALUE"""),"1335d 22h 03m")</f>
        <v>1335d 22h 03m</v>
      </c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13.2">
      <c r="A2422" s="1">
        <f ca="1">IFERROR(__xludf.DUMMYFUNCTION("""COMPUTED_VALUE"""),118)</f>
        <v>118</v>
      </c>
      <c r="B2422" s="1" t="str">
        <f ca="1">IFERROR(__xludf.DUMMYFUNCTION("""COMPUTED_VALUE"""),"WWM_KC1_KA04AA5948_DESILTING")</f>
        <v>WWM_KC1_KA04AA5948_DESILTING</v>
      </c>
      <c r="C2422" s="1" t="str">
        <f ca="1">IFERROR(__xludf.DUMMYFUNCTION("""COMPUTED_VALUE"""),"wwm_kc1_ka04aa5948_desilting")</f>
        <v>wwm_kc1_ka04aa5948_desilting</v>
      </c>
      <c r="D2422" s="2">
        <f ca="1">IFERROR(__xludf.DUMMYFUNCTION("""COMPUTED_VALUE"""),44035)</f>
        <v>44035</v>
      </c>
      <c r="E2422" s="3">
        <f ca="1">IFERROR(__xludf.DUMMYFUNCTION("""COMPUTED_VALUE"""),0.556006944443652)</f>
        <v>0.55600694444365195</v>
      </c>
      <c r="F2422" s="1">
        <f ca="1">IFERROR(__xludf.DUMMYFUNCTION("""COMPUTED_VALUE"""),48091)</f>
        <v>48091</v>
      </c>
      <c r="G2422" s="1" t="str">
        <f ca="1">IFERROR(__xludf.DUMMYFUNCTION("""COMPUTED_VALUE"""),"12.9006/77.5857")</f>
        <v>12.9006/77.5857</v>
      </c>
      <c r="H2422" s="1" t="str">
        <f ca="1">IFERROR(__xludf.DUMMYFUNCTION("""COMPUTED_VALUE"""),"Hotel Nandhini J.P.Nagar")</f>
        <v>Hotel Nandhini J.P.Nagar</v>
      </c>
      <c r="I2422" s="1"/>
      <c r="J2422" s="1" t="str">
        <f ca="1">IFERROR(__xludf.DUMMYFUNCTION("""COMPUTED_VALUE"""),"1335d 22h 04m")</f>
        <v>1335d 22h 04m</v>
      </c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13.2">
      <c r="A2423" s="1">
        <f ca="1">IFERROR(__xludf.DUMMYFUNCTION("""COMPUTED_VALUE"""),115)</f>
        <v>115</v>
      </c>
      <c r="B2423" s="1" t="str">
        <f ca="1">IFERROR(__xludf.DUMMYFUNCTION("""COMPUTED_VALUE"""),"WWM_KC1_KA04AA5948_DESILTING")</f>
        <v>WWM_KC1_KA04AA5948_DESILTING</v>
      </c>
      <c r="C2423" s="1" t="str">
        <f ca="1">IFERROR(__xludf.DUMMYFUNCTION("""COMPUTED_VALUE"""),"wwm_kc1_ka04aa5948_desilting")</f>
        <v>wwm_kc1_ka04aa5948_desilting</v>
      </c>
      <c r="D2423" s="2">
        <f ca="1">IFERROR(__xludf.DUMMYFUNCTION("""COMPUTED_VALUE"""),44035)</f>
        <v>44035</v>
      </c>
      <c r="E2423" s="3">
        <f ca="1">IFERROR(__xludf.DUMMYFUNCTION("""COMPUTED_VALUE"""),0.556006944443652)</f>
        <v>0.55600694444365195</v>
      </c>
      <c r="F2423" s="1">
        <f ca="1">IFERROR(__xludf.DUMMYFUNCTION("""COMPUTED_VALUE"""),48091)</f>
        <v>48091</v>
      </c>
      <c r="G2423" s="1" t="str">
        <f ca="1">IFERROR(__xludf.DUMMYFUNCTION("""COMPUTED_VALUE"""),"12.9006/77.5857")</f>
        <v>12.9006/77.5857</v>
      </c>
      <c r="H2423" s="1" t="str">
        <f ca="1">IFERROR(__xludf.DUMMYFUNCTION("""COMPUTED_VALUE"""),"Hotel Nandhini J.P.Nagar")</f>
        <v>Hotel Nandhini J.P.Nagar</v>
      </c>
      <c r="I2423" s="1"/>
      <c r="J2423" s="1" t="str">
        <f ca="1">IFERROR(__xludf.DUMMYFUNCTION("""COMPUTED_VALUE"""),"1335d 22h 07m")</f>
        <v>1335d 22h 07m</v>
      </c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13.2">
      <c r="A2424" s="1">
        <f ca="1">IFERROR(__xludf.DUMMYFUNCTION("""COMPUTED_VALUE"""),115)</f>
        <v>115</v>
      </c>
      <c r="B2424" s="1" t="str">
        <f ca="1">IFERROR(__xludf.DUMMYFUNCTION("""COMPUTED_VALUE"""),"WWM_KC1_KA04AA5948_DESILTING")</f>
        <v>WWM_KC1_KA04AA5948_DESILTING</v>
      </c>
      <c r="C2424" s="1" t="str">
        <f ca="1">IFERROR(__xludf.DUMMYFUNCTION("""COMPUTED_VALUE"""),"wwm_kc1_ka04aa5948_desilting")</f>
        <v>wwm_kc1_ka04aa5948_desilting</v>
      </c>
      <c r="D2424" s="2">
        <f ca="1">IFERROR(__xludf.DUMMYFUNCTION("""COMPUTED_VALUE"""),44035)</f>
        <v>44035</v>
      </c>
      <c r="E2424" s="3">
        <f ca="1">IFERROR(__xludf.DUMMYFUNCTION("""COMPUTED_VALUE"""),0.556006944443652)</f>
        <v>0.55600694444365195</v>
      </c>
      <c r="F2424" s="1">
        <f ca="1">IFERROR(__xludf.DUMMYFUNCTION("""COMPUTED_VALUE"""),48091)</f>
        <v>48091</v>
      </c>
      <c r="G2424" s="1" t="str">
        <f ca="1">IFERROR(__xludf.DUMMYFUNCTION("""COMPUTED_VALUE"""),"12.9006/77.5857")</f>
        <v>12.9006/77.5857</v>
      </c>
      <c r="H2424" s="1" t="str">
        <f ca="1">IFERROR(__xludf.DUMMYFUNCTION("""COMPUTED_VALUE"""),"Hotel Nandhini J.P.Nagar")</f>
        <v>Hotel Nandhini J.P.Nagar</v>
      </c>
      <c r="I2424" s="1"/>
      <c r="J2424" s="1" t="str">
        <f ca="1">IFERROR(__xludf.DUMMYFUNCTION("""COMPUTED_VALUE"""),"1335d 22h 08m")</f>
        <v>1335d 22h 08m</v>
      </c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13.2">
      <c r="A2425" s="1">
        <f ca="1">IFERROR(__xludf.DUMMYFUNCTION("""COMPUTED_VALUE"""),115)</f>
        <v>115</v>
      </c>
      <c r="B2425" s="1" t="str">
        <f ca="1">IFERROR(__xludf.DUMMYFUNCTION("""COMPUTED_VALUE"""),"WWM_KC1_KA04AA5948_DESILTING")</f>
        <v>WWM_KC1_KA04AA5948_DESILTING</v>
      </c>
      <c r="C2425" s="1" t="str">
        <f ca="1">IFERROR(__xludf.DUMMYFUNCTION("""COMPUTED_VALUE"""),"wwm_kc1_ka04aa5948_desilting")</f>
        <v>wwm_kc1_ka04aa5948_desilting</v>
      </c>
      <c r="D2425" s="2">
        <f ca="1">IFERROR(__xludf.DUMMYFUNCTION("""COMPUTED_VALUE"""),44035)</f>
        <v>44035</v>
      </c>
      <c r="E2425" s="3">
        <f ca="1">IFERROR(__xludf.DUMMYFUNCTION("""COMPUTED_VALUE"""),0.556006944443652)</f>
        <v>0.55600694444365195</v>
      </c>
      <c r="F2425" s="1">
        <f ca="1">IFERROR(__xludf.DUMMYFUNCTION("""COMPUTED_VALUE"""),48091)</f>
        <v>48091</v>
      </c>
      <c r="G2425" s="1" t="str">
        <f ca="1">IFERROR(__xludf.DUMMYFUNCTION("""COMPUTED_VALUE"""),"12.9006/77.5857")</f>
        <v>12.9006/77.5857</v>
      </c>
      <c r="H2425" s="1" t="str">
        <f ca="1">IFERROR(__xludf.DUMMYFUNCTION("""COMPUTED_VALUE"""),"Hotel Nandhini J.P.Nagar")</f>
        <v>Hotel Nandhini J.P.Nagar</v>
      </c>
      <c r="I2425" s="1"/>
      <c r="J2425" s="1" t="str">
        <f ca="1">IFERROR(__xludf.DUMMYFUNCTION("""COMPUTED_VALUE"""),"1335d 22h 09m")</f>
        <v>1335d 22h 09m</v>
      </c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13.2">
      <c r="A2426" s="1">
        <f ca="1">IFERROR(__xludf.DUMMYFUNCTION("""COMPUTED_VALUE"""),115)</f>
        <v>115</v>
      </c>
      <c r="B2426" s="1" t="str">
        <f ca="1">IFERROR(__xludf.DUMMYFUNCTION("""COMPUTED_VALUE"""),"WWM_KC1_KA04AA5948_DESILTING")</f>
        <v>WWM_KC1_KA04AA5948_DESILTING</v>
      </c>
      <c r="C2426" s="1" t="str">
        <f ca="1">IFERROR(__xludf.DUMMYFUNCTION("""COMPUTED_VALUE"""),"wwm_kc1_ka04aa5948_desilting")</f>
        <v>wwm_kc1_ka04aa5948_desilting</v>
      </c>
      <c r="D2426" s="2">
        <f ca="1">IFERROR(__xludf.DUMMYFUNCTION("""COMPUTED_VALUE"""),44035)</f>
        <v>44035</v>
      </c>
      <c r="E2426" s="3">
        <f ca="1">IFERROR(__xludf.DUMMYFUNCTION("""COMPUTED_VALUE"""),0.556006944443652)</f>
        <v>0.55600694444365195</v>
      </c>
      <c r="F2426" s="1">
        <f ca="1">IFERROR(__xludf.DUMMYFUNCTION("""COMPUTED_VALUE"""),48091)</f>
        <v>48091</v>
      </c>
      <c r="G2426" s="1" t="str">
        <f ca="1">IFERROR(__xludf.DUMMYFUNCTION("""COMPUTED_VALUE"""),"12.9006/77.5857")</f>
        <v>12.9006/77.5857</v>
      </c>
      <c r="H2426" s="1" t="str">
        <f ca="1">IFERROR(__xludf.DUMMYFUNCTION("""COMPUTED_VALUE"""),"Hotel Nandhini J.P.Nagar")</f>
        <v>Hotel Nandhini J.P.Nagar</v>
      </c>
      <c r="I2426" s="1"/>
      <c r="J2426" s="1" t="str">
        <f ca="1">IFERROR(__xludf.DUMMYFUNCTION("""COMPUTED_VALUE"""),"1335d 22h 10m")</f>
        <v>1335d 22h 10m</v>
      </c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13.2">
      <c r="A2427" s="1">
        <f ca="1">IFERROR(__xludf.DUMMYFUNCTION("""COMPUTED_VALUE"""),115)</f>
        <v>115</v>
      </c>
      <c r="B2427" s="1" t="str">
        <f ca="1">IFERROR(__xludf.DUMMYFUNCTION("""COMPUTED_VALUE"""),"WWM_KC1_KA04AA5948_DESILTING")</f>
        <v>WWM_KC1_KA04AA5948_DESILTING</v>
      </c>
      <c r="C2427" s="1" t="str">
        <f ca="1">IFERROR(__xludf.DUMMYFUNCTION("""COMPUTED_VALUE"""),"wwm_kc1_ka04aa5948_desilting")</f>
        <v>wwm_kc1_ka04aa5948_desilting</v>
      </c>
      <c r="D2427" s="2">
        <f ca="1">IFERROR(__xludf.DUMMYFUNCTION("""COMPUTED_VALUE"""),44035)</f>
        <v>44035</v>
      </c>
      <c r="E2427" s="3">
        <f ca="1">IFERROR(__xludf.DUMMYFUNCTION("""COMPUTED_VALUE"""),0.556006944443652)</f>
        <v>0.55600694444365195</v>
      </c>
      <c r="F2427" s="1">
        <f ca="1">IFERROR(__xludf.DUMMYFUNCTION("""COMPUTED_VALUE"""),48091)</f>
        <v>48091</v>
      </c>
      <c r="G2427" s="1" t="str">
        <f ca="1">IFERROR(__xludf.DUMMYFUNCTION("""COMPUTED_VALUE"""),"12.9006/77.5857")</f>
        <v>12.9006/77.5857</v>
      </c>
      <c r="H2427" s="1" t="str">
        <f ca="1">IFERROR(__xludf.DUMMYFUNCTION("""COMPUTED_VALUE"""),"Hotel Nandhini J.P.Nagar")</f>
        <v>Hotel Nandhini J.P.Nagar</v>
      </c>
      <c r="I2427" s="1"/>
      <c r="J2427" s="1" t="str">
        <f ca="1">IFERROR(__xludf.DUMMYFUNCTION("""COMPUTED_VALUE"""),"1335d 22h 12m")</f>
        <v>1335d 22h 12m</v>
      </c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13.2">
      <c r="A2428" s="1">
        <f ca="1">IFERROR(__xludf.DUMMYFUNCTION("""COMPUTED_VALUE"""),139)</f>
        <v>139</v>
      </c>
      <c r="B2428" s="1" t="str">
        <f ca="1">IFERROR(__xludf.DUMMYFUNCTION("""COMPUTED_VALUE"""),"Wwm_KC1_KA04AA9020_Desilting")</f>
        <v>Wwm_KC1_KA04AA9020_Desilting</v>
      </c>
      <c r="C2428" s="1" t="str">
        <f ca="1">IFERROR(__xludf.DUMMYFUNCTION("""COMPUTED_VALUE"""),"wwm_kc1_ka04aa9020_desiltimg")</f>
        <v>wwm_kc1_ka04aa9020_desiltimg</v>
      </c>
      <c r="D2428" s="2">
        <f ca="1">IFERROR(__xludf.DUMMYFUNCTION("""COMPUTED_VALUE"""),44707)</f>
        <v>44707</v>
      </c>
      <c r="E2428" s="3">
        <f ca="1">IFERROR(__xludf.DUMMYFUNCTION("""COMPUTED_VALUE"""),0.724918981482915)</f>
        <v>0.724918981482915</v>
      </c>
      <c r="F2428" s="1">
        <f ca="1">IFERROR(__xludf.DUMMYFUNCTION("""COMPUTED_VALUE"""),14383)</f>
        <v>14383</v>
      </c>
      <c r="G2428" s="1" t="str">
        <f ca="1">IFERROR(__xludf.DUMMYFUNCTION("""COMPUTED_VALUE"""),"12.9581/77.6687")</f>
        <v>12.9581/77.6687</v>
      </c>
      <c r="H2428" s="1" t="str">
        <f ca="1">IFERROR(__xludf.DUMMYFUNCTION("""COMPUTED_VALUE"""),"Matthan Hotel")</f>
        <v>Matthan Hotel</v>
      </c>
      <c r="I2428" s="1"/>
      <c r="J2428" s="1" t="str">
        <f ca="1">IFERROR(__xludf.DUMMYFUNCTION("""COMPUTED_VALUE"""),"0d 23h 44m")</f>
        <v>0d 23h 44m</v>
      </c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13.2">
      <c r="A2429" s="1">
        <f ca="1">IFERROR(__xludf.DUMMYFUNCTION("""COMPUTED_VALUE"""),119)</f>
        <v>119</v>
      </c>
      <c r="B2429" s="1" t="str">
        <f ca="1">IFERROR(__xludf.DUMMYFUNCTION("""COMPUTED_VALUE"""),"Wwm_KC1_KA04AA9020_Desilting")</f>
        <v>Wwm_KC1_KA04AA9020_Desilting</v>
      </c>
      <c r="C2429" s="1" t="str">
        <f ca="1">IFERROR(__xludf.DUMMYFUNCTION("""COMPUTED_VALUE"""),"wwm_kc1_ka04aa9020_desiltimg")</f>
        <v>wwm_kc1_ka04aa9020_desiltimg</v>
      </c>
      <c r="D2429" s="2">
        <f ca="1">IFERROR(__xludf.DUMMYFUNCTION("""COMPUTED_VALUE"""),44737)</f>
        <v>44737</v>
      </c>
      <c r="E2429" s="3">
        <f ca="1">IFERROR(__xludf.DUMMYFUNCTION("""COMPUTED_VALUE"""),0.41857638888905)</f>
        <v>0.41857638888905002</v>
      </c>
      <c r="F2429" s="1">
        <f ca="1">IFERROR(__xludf.DUMMYFUNCTION("""COMPUTED_VALUE"""),14406)</f>
        <v>14406</v>
      </c>
      <c r="G2429" s="1" t="str">
        <f ca="1">IFERROR(__xludf.DUMMYFUNCTION("""COMPUTED_VALUE"""),"12.9486/77.6823")</f>
        <v>12.9486/77.6823</v>
      </c>
      <c r="H2429" s="1" t="str">
        <f ca="1">IFERROR(__xludf.DUMMYFUNCTION("""COMPUTED_VALUE"""),"Varthur Road")</f>
        <v>Varthur Road</v>
      </c>
      <c r="I2429" s="1"/>
      <c r="J2429" s="1" t="str">
        <f ca="1">IFERROR(__xludf.DUMMYFUNCTION("""COMPUTED_VALUE"""),"0d 23h 45m")</f>
        <v>0d 23h 45m</v>
      </c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13.2">
      <c r="A2430" s="1">
        <f ca="1">IFERROR(__xludf.DUMMYFUNCTION("""COMPUTED_VALUE"""),138)</f>
        <v>138</v>
      </c>
      <c r="B2430" s="1" t="str">
        <f ca="1">IFERROR(__xludf.DUMMYFUNCTION("""COMPUTED_VALUE"""),"Wwm_KC1_KA04AA9020_Desilting")</f>
        <v>Wwm_KC1_KA04AA9020_Desilting</v>
      </c>
      <c r="C2430" s="1" t="str">
        <f ca="1">IFERROR(__xludf.DUMMYFUNCTION("""COMPUTED_VALUE"""),"wwm_kc1_ka04aa9020_desiltimg")</f>
        <v>wwm_kc1_ka04aa9020_desiltimg</v>
      </c>
      <c r="D2430" s="2">
        <f ca="1">IFERROR(__xludf.DUMMYFUNCTION("""COMPUTED_VALUE"""),44768)</f>
        <v>44768</v>
      </c>
      <c r="E2430" s="3">
        <f ca="1">IFERROR(__xludf.DUMMYFUNCTION("""COMPUTED_VALUE"""),0.550879629630799)</f>
        <v>0.55087962963079895</v>
      </c>
      <c r="F2430" s="1">
        <f ca="1">IFERROR(__xludf.DUMMYFUNCTION("""COMPUTED_VALUE"""),14443)</f>
        <v>14443</v>
      </c>
      <c r="G2430" s="1" t="str">
        <f ca="1">IFERROR(__xludf.DUMMYFUNCTION("""COMPUTED_VALUE"""),"12.9563/77.6432")</f>
        <v>12.9563/77.6432</v>
      </c>
      <c r="H2430" s="1" t="str">
        <f ca="1">IFERROR(__xludf.DUMMYFUNCTION("""COMPUTED_VALUE"""),"Hare Krishna Residency")</f>
        <v>Hare Krishna Residency</v>
      </c>
      <c r="I2430" s="1"/>
      <c r="J2430" s="1" t="str">
        <f ca="1">IFERROR(__xludf.DUMMYFUNCTION("""COMPUTED_VALUE"""),"0d 23h 46m")</f>
        <v>0d 23h 46m</v>
      </c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13.2">
      <c r="A2431" s="1">
        <f ca="1">IFERROR(__xludf.DUMMYFUNCTION("""COMPUTED_VALUE"""),99)</f>
        <v>99</v>
      </c>
      <c r="B2431" s="1" t="str">
        <f ca="1">IFERROR(__xludf.DUMMYFUNCTION("""COMPUTED_VALUE"""),"Wwm_KC1_KA04AA9020_Desilting")</f>
        <v>Wwm_KC1_KA04AA9020_Desilting</v>
      </c>
      <c r="C2431" s="1" t="str">
        <f ca="1">IFERROR(__xludf.DUMMYFUNCTION("""COMPUTED_VALUE"""),"wwm_kc1_ka04aa9020_desiltimg")</f>
        <v>wwm_kc1_ka04aa9020_desiltimg</v>
      </c>
      <c r="D2431" s="2">
        <f ca="1">IFERROR(__xludf.DUMMYFUNCTION("""COMPUTED_VALUE"""),44782)</f>
        <v>44782</v>
      </c>
      <c r="E2431" s="3">
        <f ca="1">IFERROR(__xludf.DUMMYFUNCTION("""COMPUTED_VALUE"""),0.165266203704959)</f>
        <v>0.16526620370495901</v>
      </c>
      <c r="F2431" s="1">
        <f ca="1">IFERROR(__xludf.DUMMYFUNCTION("""COMPUTED_VALUE"""),14465)</f>
        <v>14465</v>
      </c>
      <c r="G2431" s="1" t="str">
        <f ca="1">IFERROR(__xludf.DUMMYFUNCTION("""COMPUTED_VALUE"""),"12.9560/77.6432")</f>
        <v>12.9560/77.6432</v>
      </c>
      <c r="H2431" s="1" t="str">
        <f ca="1">IFERROR(__xludf.DUMMYFUNCTION("""COMPUTED_VALUE"""),"Hare Krishna Residency")</f>
        <v>Hare Krishna Residency</v>
      </c>
      <c r="I2431" s="1"/>
      <c r="J2431" s="1" t="str">
        <f ca="1">IFERROR(__xludf.DUMMYFUNCTION("""COMPUTED_VALUE"""),"0d 23h 47m")</f>
        <v>0d 23h 47m</v>
      </c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13.2">
      <c r="A2432" s="1">
        <f ca="1">IFERROR(__xludf.DUMMYFUNCTION("""COMPUTED_VALUE"""),65)</f>
        <v>65</v>
      </c>
      <c r="B2432" s="1" t="str">
        <f ca="1">IFERROR(__xludf.DUMMYFUNCTION("""COMPUTED_VALUE"""),"Wwm_KC1_KA04AA9020_Desilting")</f>
        <v>Wwm_KC1_KA04AA9020_Desilting</v>
      </c>
      <c r="C2432" s="1" t="str">
        <f ca="1">IFERROR(__xludf.DUMMYFUNCTION("""COMPUTED_VALUE"""),"wwm_kc1_ka04aa9020_desiltimg")</f>
        <v>wwm_kc1_ka04aa9020_desiltimg</v>
      </c>
      <c r="D2432" s="2">
        <f ca="1">IFERROR(__xludf.DUMMYFUNCTION("""COMPUTED_VALUE"""),44782)</f>
        <v>44782</v>
      </c>
      <c r="E2432" s="3">
        <f ca="1">IFERROR(__xludf.DUMMYFUNCTION("""COMPUTED_VALUE"""),0.165266203704959)</f>
        <v>0.16526620370495901</v>
      </c>
      <c r="F2432" s="1">
        <f ca="1">IFERROR(__xludf.DUMMYFUNCTION("""COMPUTED_VALUE"""),14465)</f>
        <v>14465</v>
      </c>
      <c r="G2432" s="1" t="str">
        <f ca="1">IFERROR(__xludf.DUMMYFUNCTION("""COMPUTED_VALUE"""),"12.9560/77.6432")</f>
        <v>12.9560/77.6432</v>
      </c>
      <c r="H2432" s="1" t="str">
        <f ca="1">IFERROR(__xludf.DUMMYFUNCTION("""COMPUTED_VALUE"""),"Hare Krishna Residency")</f>
        <v>Hare Krishna Residency</v>
      </c>
      <c r="I2432" s="1"/>
      <c r="J2432" s="1" t="str">
        <f ca="1">IFERROR(__xludf.DUMMYFUNCTION("""COMPUTED_VALUE"""),"0d 23h 47m")</f>
        <v>0d 23h 47m</v>
      </c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13.2">
      <c r="A2433" s="1">
        <f ca="1">IFERROR(__xludf.DUMMYFUNCTION("""COMPUTED_VALUE"""),88)</f>
        <v>88</v>
      </c>
      <c r="B2433" s="1" t="str">
        <f ca="1">IFERROR(__xludf.DUMMYFUNCTION("""COMPUTED_VALUE"""),"Wwm_KC1_KA04AA9020_Desilting")</f>
        <v>Wwm_KC1_KA04AA9020_Desilting</v>
      </c>
      <c r="C2433" s="1" t="str">
        <f ca="1">IFERROR(__xludf.DUMMYFUNCTION("""COMPUTED_VALUE"""),"wwm_kc1_ka04aa9020_desiltimg")</f>
        <v>wwm_kc1_ka04aa9020_desiltimg</v>
      </c>
      <c r="D2433" s="2">
        <f ca="1">IFERROR(__xludf.DUMMYFUNCTION("""COMPUTED_VALUE"""),44851)</f>
        <v>44851</v>
      </c>
      <c r="E2433" s="3">
        <f ca="1">IFERROR(__xludf.DUMMYFUNCTION("""COMPUTED_VALUE"""),0.562268518518976)</f>
        <v>0.56226851851897597</v>
      </c>
      <c r="F2433" s="1">
        <f ca="1">IFERROR(__xludf.DUMMYFUNCTION("""COMPUTED_VALUE"""),14495)</f>
        <v>14495</v>
      </c>
      <c r="G2433" s="1" t="str">
        <f ca="1">IFERROR(__xludf.DUMMYFUNCTION("""COMPUTED_VALUE"""),"12.9841/77.5903")</f>
        <v>12.9841/77.5903</v>
      </c>
      <c r="H2433" s="1" t="str">
        <f ca="1">IFERROR(__xludf.DUMMYFUNCTION("""COMPUTED_VALUE"""),"Paraag")</f>
        <v>Paraag</v>
      </c>
      <c r="I2433" s="1"/>
      <c r="J2433" s="1" t="str">
        <f ca="1">IFERROR(__xludf.DUMMYFUNCTION("""COMPUTED_VALUE"""),"0d 23h 48m")</f>
        <v>0d 23h 48m</v>
      </c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13.2">
      <c r="A2434" s="1">
        <f ca="1">IFERROR(__xludf.DUMMYFUNCTION("""COMPUTED_VALUE"""),83)</f>
        <v>83</v>
      </c>
      <c r="B2434" s="1" t="str">
        <f ca="1">IFERROR(__xludf.DUMMYFUNCTION("""COMPUTED_VALUE"""),"Wwm_KC1_KA53B3463_Dumptanker")</f>
        <v>Wwm_KC1_KA53B3463_Dumptanker</v>
      </c>
      <c r="C2434" s="1" t="str">
        <f ca="1">IFERROR(__xludf.DUMMYFUNCTION("""COMPUTED_VALUE"""),"wwm_kc1_ka53b3463_dumptanker")</f>
        <v>wwm_kc1_ka53b3463_dumptanker</v>
      </c>
      <c r="D2434" s="2">
        <f ca="1">IFERROR(__xludf.DUMMYFUNCTION("""COMPUTED_VALUE"""),44697)</f>
        <v>44697</v>
      </c>
      <c r="E2434" s="3">
        <f ca="1">IFERROR(__xludf.DUMMYFUNCTION("""COMPUTED_VALUE"""),0.966840277778828)</f>
        <v>0.96684027777882797</v>
      </c>
      <c r="F2434" s="1">
        <f ca="1">IFERROR(__xludf.DUMMYFUNCTION("""COMPUTED_VALUE"""),14379)</f>
        <v>14379</v>
      </c>
      <c r="G2434" s="1" t="str">
        <f ca="1">IFERROR(__xludf.DUMMYFUNCTION("""COMPUTED_VALUE"""),"12.9560/77.6434")</f>
        <v>12.9560/77.6434</v>
      </c>
      <c r="H2434" s="1" t="str">
        <f ca="1">IFERROR(__xludf.DUMMYFUNCTION("""COMPUTED_VALUE"""),"Hare Krishna Residency")</f>
        <v>Hare Krishna Residency</v>
      </c>
      <c r="I2434" s="1"/>
      <c r="J2434" s="1" t="str">
        <f ca="1">IFERROR(__xludf.DUMMYFUNCTION("""COMPUTED_VALUE"""),"168d 03h 38m")</f>
        <v>168d 03h 38m</v>
      </c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13.2">
      <c r="A2435" s="1">
        <f ca="1">IFERROR(__xludf.DUMMYFUNCTION("""COMPUTED_VALUE"""),59)</f>
        <v>59</v>
      </c>
      <c r="B2435" s="1" t="str">
        <f ca="1">IFERROR(__xludf.DUMMYFUNCTION("""COMPUTED_VALUE"""),"Wwm_KC1_KA53B3463_Dumptanker")</f>
        <v>Wwm_KC1_KA53B3463_Dumptanker</v>
      </c>
      <c r="C2435" s="1" t="str">
        <f ca="1">IFERROR(__xludf.DUMMYFUNCTION("""COMPUTED_VALUE"""),"wwm_kc1_ka53b3463_dumptanker")</f>
        <v>wwm_kc1_ka53b3463_dumptanker</v>
      </c>
      <c r="D2435" s="2">
        <f ca="1">IFERROR(__xludf.DUMMYFUNCTION("""COMPUTED_VALUE"""),44708)</f>
        <v>44708</v>
      </c>
      <c r="E2435" s="3">
        <f ca="1">IFERROR(__xludf.DUMMYFUNCTION("""COMPUTED_VALUE"""),0.380046296297223)</f>
        <v>0.38004629629722297</v>
      </c>
      <c r="F2435" s="1">
        <f ca="1">IFERROR(__xludf.DUMMYFUNCTION("""COMPUTED_VALUE"""),14379)</f>
        <v>14379</v>
      </c>
      <c r="G2435" s="1" t="str">
        <f ca="1">IFERROR(__xludf.DUMMYFUNCTION("""COMPUTED_VALUE"""),"12.9560/77.6437")</f>
        <v>12.9560/77.6437</v>
      </c>
      <c r="H2435" s="1" t="str">
        <f ca="1">IFERROR(__xludf.DUMMYFUNCTION("""COMPUTED_VALUE"""),"Hare Krishna Residency")</f>
        <v>Hare Krishna Residency</v>
      </c>
      <c r="I2435" s="1"/>
      <c r="J2435" s="1" t="str">
        <f ca="1">IFERROR(__xludf.DUMMYFUNCTION("""COMPUTED_VALUE"""),"168d 03h 39m")</f>
        <v>168d 03h 39m</v>
      </c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13.2">
      <c r="A2436" s="1">
        <f ca="1">IFERROR(__xludf.DUMMYFUNCTION("""COMPUTED_VALUE"""),82)</f>
        <v>82</v>
      </c>
      <c r="B2436" s="1" t="str">
        <f ca="1">IFERROR(__xludf.DUMMYFUNCTION("""COMPUTED_VALUE"""),"Wwm_KC1_KA53B3463_Dumptanker")</f>
        <v>Wwm_KC1_KA53B3463_Dumptanker</v>
      </c>
      <c r="C2436" s="1" t="str">
        <f ca="1">IFERROR(__xludf.DUMMYFUNCTION("""COMPUTED_VALUE"""),"wwm_kc1_ka53b3463_dumptanker")</f>
        <v>wwm_kc1_ka53b3463_dumptanker</v>
      </c>
      <c r="D2436" s="2">
        <f ca="1">IFERROR(__xludf.DUMMYFUNCTION("""COMPUTED_VALUE"""),44749)</f>
        <v>44749</v>
      </c>
      <c r="E2436" s="3">
        <f ca="1">IFERROR(__xludf.DUMMYFUNCTION("""COMPUTED_VALUE"""),0.286724537036207)</f>
        <v>0.28672453703620698</v>
      </c>
      <c r="F2436" s="1">
        <f ca="1">IFERROR(__xludf.DUMMYFUNCTION("""COMPUTED_VALUE"""),14402)</f>
        <v>14402</v>
      </c>
      <c r="G2436" s="1" t="str">
        <f ca="1">IFERROR(__xludf.DUMMYFUNCTION("""COMPUTED_VALUE"""),"12.9563/77.6433")</f>
        <v>12.9563/77.6433</v>
      </c>
      <c r="H2436" s="1" t="str">
        <f ca="1">IFERROR(__xludf.DUMMYFUNCTION("""COMPUTED_VALUE"""),"Hare Krishna Residency")</f>
        <v>Hare Krishna Residency</v>
      </c>
      <c r="I2436" s="1"/>
      <c r="J2436" s="1" t="str">
        <f ca="1">IFERROR(__xludf.DUMMYFUNCTION("""COMPUTED_VALUE"""),"168d 03h 40m")</f>
        <v>168d 03h 40m</v>
      </c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13.2">
      <c r="A2437" s="1">
        <f ca="1">IFERROR(__xludf.DUMMYFUNCTION("""COMPUTED_VALUE"""),70)</f>
        <v>70</v>
      </c>
      <c r="B2437" s="1" t="str">
        <f ca="1">IFERROR(__xludf.DUMMYFUNCTION("""COMPUTED_VALUE"""),"Wwm_KC1_KA53B3463_Dumptanker")</f>
        <v>Wwm_KC1_KA53B3463_Dumptanker</v>
      </c>
      <c r="C2437" s="1" t="str">
        <f ca="1">IFERROR(__xludf.DUMMYFUNCTION("""COMPUTED_VALUE"""),"wwm_kc1_ka53b3463_dumptanker")</f>
        <v>wwm_kc1_ka53b3463_dumptanker</v>
      </c>
      <c r="D2437" s="2">
        <f ca="1">IFERROR(__xludf.DUMMYFUNCTION("""COMPUTED_VALUE"""),44749)</f>
        <v>44749</v>
      </c>
      <c r="E2437" s="3">
        <f ca="1">IFERROR(__xludf.DUMMYFUNCTION("""COMPUTED_VALUE"""),0.286724537036207)</f>
        <v>0.28672453703620698</v>
      </c>
      <c r="F2437" s="1">
        <f ca="1">IFERROR(__xludf.DUMMYFUNCTION("""COMPUTED_VALUE"""),14402)</f>
        <v>14402</v>
      </c>
      <c r="G2437" s="1" t="str">
        <f ca="1">IFERROR(__xludf.DUMMYFUNCTION("""COMPUTED_VALUE"""),"12.9563/77.6433")</f>
        <v>12.9563/77.6433</v>
      </c>
      <c r="H2437" s="1" t="str">
        <f ca="1">IFERROR(__xludf.DUMMYFUNCTION("""COMPUTED_VALUE"""),"Hare Krishna Residency")</f>
        <v>Hare Krishna Residency</v>
      </c>
      <c r="I2437" s="1"/>
      <c r="J2437" s="1" t="str">
        <f ca="1">IFERROR(__xludf.DUMMYFUNCTION("""COMPUTED_VALUE"""),"168d 03h 40m")</f>
        <v>168d 03h 40m</v>
      </c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13.2">
      <c r="A2438" s="1">
        <f ca="1">IFERROR(__xludf.DUMMYFUNCTION("""COMPUTED_VALUE"""),53)</f>
        <v>53</v>
      </c>
      <c r="B2438" s="1" t="str">
        <f ca="1">IFERROR(__xludf.DUMMYFUNCTION("""COMPUTED_VALUE"""),"Wwm_KC1_KA53B3463_Dumptanker")</f>
        <v>Wwm_KC1_KA53B3463_Dumptanker</v>
      </c>
      <c r="C2438" s="1" t="str">
        <f ca="1">IFERROR(__xludf.DUMMYFUNCTION("""COMPUTED_VALUE"""),"wwm_kc1_ka53b3463_dumptanker")</f>
        <v>wwm_kc1_ka53b3463_dumptanker</v>
      </c>
      <c r="D2438" s="2">
        <f ca="1">IFERROR(__xludf.DUMMYFUNCTION("""COMPUTED_VALUE"""),44749)</f>
        <v>44749</v>
      </c>
      <c r="E2438" s="3">
        <f ca="1">IFERROR(__xludf.DUMMYFUNCTION("""COMPUTED_VALUE"""),0.286724537036207)</f>
        <v>0.28672453703620698</v>
      </c>
      <c r="F2438" s="1">
        <f ca="1">IFERROR(__xludf.DUMMYFUNCTION("""COMPUTED_VALUE"""),14402)</f>
        <v>14402</v>
      </c>
      <c r="G2438" s="1" t="str">
        <f ca="1">IFERROR(__xludf.DUMMYFUNCTION("""COMPUTED_VALUE"""),"12.9563/77.6433")</f>
        <v>12.9563/77.6433</v>
      </c>
      <c r="H2438" s="1" t="str">
        <f ca="1">IFERROR(__xludf.DUMMYFUNCTION("""COMPUTED_VALUE"""),"Hare Krishna Residency")</f>
        <v>Hare Krishna Residency</v>
      </c>
      <c r="I2438" s="1"/>
      <c r="J2438" s="1" t="str">
        <f ca="1">IFERROR(__xludf.DUMMYFUNCTION("""COMPUTED_VALUE"""),"168d 03h 41m")</f>
        <v>168d 03h 41m</v>
      </c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13.2">
      <c r="A2439" s="1">
        <f ca="1">IFERROR(__xludf.DUMMYFUNCTION("""COMPUTED_VALUE"""),51)</f>
        <v>51</v>
      </c>
      <c r="B2439" s="1" t="str">
        <f ca="1">IFERROR(__xludf.DUMMYFUNCTION("""COMPUTED_VALUE"""),"Wwm_KC1_KA53B3463_Dumptanker")</f>
        <v>Wwm_KC1_KA53B3463_Dumptanker</v>
      </c>
      <c r="C2439" s="1" t="str">
        <f ca="1">IFERROR(__xludf.DUMMYFUNCTION("""COMPUTED_VALUE"""),"wwm_kc1_ka53b3463_dumptanker")</f>
        <v>wwm_kc1_ka53b3463_dumptanker</v>
      </c>
      <c r="D2439" s="2">
        <f ca="1">IFERROR(__xludf.DUMMYFUNCTION("""COMPUTED_VALUE"""),44749)</f>
        <v>44749</v>
      </c>
      <c r="E2439" s="3">
        <f ca="1">IFERROR(__xludf.DUMMYFUNCTION("""COMPUTED_VALUE"""),0.286724537036207)</f>
        <v>0.28672453703620698</v>
      </c>
      <c r="F2439" s="1">
        <f ca="1">IFERROR(__xludf.DUMMYFUNCTION("""COMPUTED_VALUE"""),14402)</f>
        <v>14402</v>
      </c>
      <c r="G2439" s="1" t="str">
        <f ca="1">IFERROR(__xludf.DUMMYFUNCTION("""COMPUTED_VALUE"""),"12.9563/77.6433")</f>
        <v>12.9563/77.6433</v>
      </c>
      <c r="H2439" s="1" t="str">
        <f ca="1">IFERROR(__xludf.DUMMYFUNCTION("""COMPUTED_VALUE"""),"Hare Krishna Residency")</f>
        <v>Hare Krishna Residency</v>
      </c>
      <c r="I2439" s="1"/>
      <c r="J2439" s="1" t="str">
        <f ca="1">IFERROR(__xludf.DUMMYFUNCTION("""COMPUTED_VALUE"""),"168d 03h 42m")</f>
        <v>168d 03h 42m</v>
      </c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13.2">
      <c r="A2440" s="1">
        <f ca="1">IFERROR(__xludf.DUMMYFUNCTION("""COMPUTED_VALUE"""),47)</f>
        <v>47</v>
      </c>
      <c r="B2440" s="1" t="str">
        <f ca="1">IFERROR(__xludf.DUMMYFUNCTION("""COMPUTED_VALUE"""),"Wwm_KC1_KA53B3464_Jetting")</f>
        <v>Wwm_KC1_KA53B3464_Jetting</v>
      </c>
      <c r="C2440" s="1" t="str">
        <f ca="1">IFERROR(__xludf.DUMMYFUNCTION("""COMPUTED_VALUE"""),"wwm_kc1_ka53b3464_jetting")</f>
        <v>wwm_kc1_ka53b3464_jetting</v>
      </c>
      <c r="D2440" s="2">
        <f ca="1">IFERROR(__xludf.DUMMYFUNCTION("""COMPUTED_VALUE"""),44602)</f>
        <v>44602</v>
      </c>
      <c r="E2440" s="3">
        <f ca="1">IFERROR(__xludf.DUMMYFUNCTION("""COMPUTED_VALUE"""),0.300150462964666)</f>
        <v>0.30015046296466602</v>
      </c>
      <c r="F2440" s="1">
        <f ca="1">IFERROR(__xludf.DUMMYFUNCTION("""COMPUTED_VALUE"""),13623)</f>
        <v>13623</v>
      </c>
      <c r="G2440" s="1" t="str">
        <f ca="1">IFERROR(__xludf.DUMMYFUNCTION("""COMPUTED_VALUE"""),"12.9561/77.6436")</f>
        <v>12.9561/77.6436</v>
      </c>
      <c r="H2440" s="1" t="str">
        <f ca="1">IFERROR(__xludf.DUMMYFUNCTION("""COMPUTED_VALUE"""),"Hare Krishna Residency")</f>
        <v>Hare Krishna Residency</v>
      </c>
      <c r="I2440" s="1"/>
      <c r="J2440" s="1" t="str">
        <f ca="1">IFERROR(__xludf.DUMMYFUNCTION("""COMPUTED_VALUE"""),"2d 17h 50m")</f>
        <v>2d 17h 50m</v>
      </c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13.2">
      <c r="A2441" s="1">
        <f ca="1">IFERROR(__xludf.DUMMYFUNCTION("""COMPUTED_VALUE"""),41)</f>
        <v>41</v>
      </c>
      <c r="B2441" s="1" t="str">
        <f ca="1">IFERROR(__xludf.DUMMYFUNCTION("""COMPUTED_VALUE"""),"Wwm_KC1_KA53B3464_Jetting")</f>
        <v>Wwm_KC1_KA53B3464_Jetting</v>
      </c>
      <c r="C2441" s="1" t="str">
        <f ca="1">IFERROR(__xludf.DUMMYFUNCTION("""COMPUTED_VALUE"""),"wwm_kc1_ka53b3464_jetting")</f>
        <v>wwm_kc1_ka53b3464_jetting</v>
      </c>
      <c r="D2441" s="2">
        <f ca="1">IFERROR(__xludf.DUMMYFUNCTION("""COMPUTED_VALUE"""),44602)</f>
        <v>44602</v>
      </c>
      <c r="E2441" s="3">
        <f ca="1">IFERROR(__xludf.DUMMYFUNCTION("""COMPUTED_VALUE"""),0.300150462964666)</f>
        <v>0.30015046296466602</v>
      </c>
      <c r="F2441" s="1">
        <f ca="1">IFERROR(__xludf.DUMMYFUNCTION("""COMPUTED_VALUE"""),13623)</f>
        <v>13623</v>
      </c>
      <c r="G2441" s="1" t="str">
        <f ca="1">IFERROR(__xludf.DUMMYFUNCTION("""COMPUTED_VALUE"""),"12.9561/77.6436")</f>
        <v>12.9561/77.6436</v>
      </c>
      <c r="H2441" s="1" t="str">
        <f ca="1">IFERROR(__xludf.DUMMYFUNCTION("""COMPUTED_VALUE"""),"Hare Krishna Residency")</f>
        <v>Hare Krishna Residency</v>
      </c>
      <c r="I2441" s="1"/>
      <c r="J2441" s="1" t="str">
        <f ca="1">IFERROR(__xludf.DUMMYFUNCTION("""COMPUTED_VALUE"""),"2d 17h 52m")</f>
        <v>2d 17h 52m</v>
      </c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13.2">
      <c r="A2442" s="1">
        <f ca="1">IFERROR(__xludf.DUMMYFUNCTION("""COMPUTED_VALUE"""),41)</f>
        <v>41</v>
      </c>
      <c r="B2442" s="1" t="str">
        <f ca="1">IFERROR(__xludf.DUMMYFUNCTION("""COMPUTED_VALUE"""),"Wwm_KC1_KA53B3464_Jetting")</f>
        <v>Wwm_KC1_KA53B3464_Jetting</v>
      </c>
      <c r="C2442" s="1" t="str">
        <f ca="1">IFERROR(__xludf.DUMMYFUNCTION("""COMPUTED_VALUE"""),"wwm_kc1_ka53b3464_jetting")</f>
        <v>wwm_kc1_ka53b3464_jetting</v>
      </c>
      <c r="D2442" s="2">
        <f ca="1">IFERROR(__xludf.DUMMYFUNCTION("""COMPUTED_VALUE"""),44602)</f>
        <v>44602</v>
      </c>
      <c r="E2442" s="3">
        <f ca="1">IFERROR(__xludf.DUMMYFUNCTION("""COMPUTED_VALUE"""),0.300150462964666)</f>
        <v>0.30015046296466602</v>
      </c>
      <c r="F2442" s="1">
        <f ca="1">IFERROR(__xludf.DUMMYFUNCTION("""COMPUTED_VALUE"""),13623)</f>
        <v>13623</v>
      </c>
      <c r="G2442" s="1" t="str">
        <f ca="1">IFERROR(__xludf.DUMMYFUNCTION("""COMPUTED_VALUE"""),"12.9561/77.6436")</f>
        <v>12.9561/77.6436</v>
      </c>
      <c r="H2442" s="1" t="str">
        <f ca="1">IFERROR(__xludf.DUMMYFUNCTION("""COMPUTED_VALUE"""),"Hare Krishna Residency")</f>
        <v>Hare Krishna Residency</v>
      </c>
      <c r="I2442" s="1"/>
      <c r="J2442" s="1" t="str">
        <f ca="1">IFERROR(__xludf.DUMMYFUNCTION("""COMPUTED_VALUE"""),"2d 17h 52m")</f>
        <v>2d 17h 52m</v>
      </c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13.2">
      <c r="A2443" s="1">
        <f ca="1">IFERROR(__xludf.DUMMYFUNCTION("""COMPUTED_VALUE"""),41)</f>
        <v>41</v>
      </c>
      <c r="B2443" s="1" t="str">
        <f ca="1">IFERROR(__xludf.DUMMYFUNCTION("""COMPUTED_VALUE"""),"Wwm_KC1_KA53B3464_Jetting")</f>
        <v>Wwm_KC1_KA53B3464_Jetting</v>
      </c>
      <c r="C2443" s="1" t="str">
        <f ca="1">IFERROR(__xludf.DUMMYFUNCTION("""COMPUTED_VALUE"""),"wwm_kc1_ka53b3464_jetting")</f>
        <v>wwm_kc1_ka53b3464_jetting</v>
      </c>
      <c r="D2443" s="2">
        <f ca="1">IFERROR(__xludf.DUMMYFUNCTION("""COMPUTED_VALUE"""),44602)</f>
        <v>44602</v>
      </c>
      <c r="E2443" s="3">
        <f ca="1">IFERROR(__xludf.DUMMYFUNCTION("""COMPUTED_VALUE"""),0.300150462964666)</f>
        <v>0.30015046296466602</v>
      </c>
      <c r="F2443" s="1">
        <f ca="1">IFERROR(__xludf.DUMMYFUNCTION("""COMPUTED_VALUE"""),13623)</f>
        <v>13623</v>
      </c>
      <c r="G2443" s="1" t="str">
        <f ca="1">IFERROR(__xludf.DUMMYFUNCTION("""COMPUTED_VALUE"""),"12.9561/77.6436")</f>
        <v>12.9561/77.6436</v>
      </c>
      <c r="H2443" s="1" t="str">
        <f ca="1">IFERROR(__xludf.DUMMYFUNCTION("""COMPUTED_VALUE"""),"Hare Krishna Residency")</f>
        <v>Hare Krishna Residency</v>
      </c>
      <c r="I2443" s="1"/>
      <c r="J2443" s="1" t="str">
        <f ca="1">IFERROR(__xludf.DUMMYFUNCTION("""COMPUTED_VALUE"""),"2d 17h 53m")</f>
        <v>2d 17h 53m</v>
      </c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13.2">
      <c r="A2444" s="1">
        <f ca="1">IFERROR(__xludf.DUMMYFUNCTION("""COMPUTED_VALUE"""),39)</f>
        <v>39</v>
      </c>
      <c r="B2444" s="1" t="str">
        <f ca="1">IFERROR(__xludf.DUMMYFUNCTION("""COMPUTED_VALUE"""),"Wwm_KC1_KA53B3464_Jetting")</f>
        <v>Wwm_KC1_KA53B3464_Jetting</v>
      </c>
      <c r="C2444" s="1" t="str">
        <f ca="1">IFERROR(__xludf.DUMMYFUNCTION("""COMPUTED_VALUE"""),"wwm_kc1_ka53b3464_jetting")</f>
        <v>wwm_kc1_ka53b3464_jetting</v>
      </c>
      <c r="D2444" s="2">
        <f ca="1">IFERROR(__xludf.DUMMYFUNCTION("""COMPUTED_VALUE"""),44602)</f>
        <v>44602</v>
      </c>
      <c r="E2444" s="3">
        <f ca="1">IFERROR(__xludf.DUMMYFUNCTION("""COMPUTED_VALUE"""),0.300150462964666)</f>
        <v>0.30015046296466602</v>
      </c>
      <c r="F2444" s="1">
        <f ca="1">IFERROR(__xludf.DUMMYFUNCTION("""COMPUTED_VALUE"""),13623)</f>
        <v>13623</v>
      </c>
      <c r="G2444" s="1" t="str">
        <f ca="1">IFERROR(__xludf.DUMMYFUNCTION("""COMPUTED_VALUE"""),"12.9561/77.6436")</f>
        <v>12.9561/77.6436</v>
      </c>
      <c r="H2444" s="1" t="str">
        <f ca="1">IFERROR(__xludf.DUMMYFUNCTION("""COMPUTED_VALUE"""),"Hare Krishna Residency")</f>
        <v>Hare Krishna Residency</v>
      </c>
      <c r="I2444" s="1"/>
      <c r="J2444" s="1" t="str">
        <f ca="1">IFERROR(__xludf.DUMMYFUNCTION("""COMPUTED_VALUE"""),"2d 17h 54m")</f>
        <v>2d 17h 54m</v>
      </c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13.2">
      <c r="A2445" s="1">
        <f ca="1">IFERROR(__xludf.DUMMYFUNCTION("""COMPUTED_VALUE"""),39)</f>
        <v>39</v>
      </c>
      <c r="B2445" s="1" t="str">
        <f ca="1">IFERROR(__xludf.DUMMYFUNCTION("""COMPUTED_VALUE"""),"Wwm_KC1_KA53B3464_Jetting")</f>
        <v>Wwm_KC1_KA53B3464_Jetting</v>
      </c>
      <c r="C2445" s="1" t="str">
        <f ca="1">IFERROR(__xludf.DUMMYFUNCTION("""COMPUTED_VALUE"""),"wwm_kc1_ka53b3464_jetting")</f>
        <v>wwm_kc1_ka53b3464_jetting</v>
      </c>
      <c r="D2445" s="2">
        <f ca="1">IFERROR(__xludf.DUMMYFUNCTION("""COMPUTED_VALUE"""),44602)</f>
        <v>44602</v>
      </c>
      <c r="E2445" s="3">
        <f ca="1">IFERROR(__xludf.DUMMYFUNCTION("""COMPUTED_VALUE"""),0.300150462964666)</f>
        <v>0.30015046296466602</v>
      </c>
      <c r="F2445" s="1">
        <f ca="1">IFERROR(__xludf.DUMMYFUNCTION("""COMPUTED_VALUE"""),13623)</f>
        <v>13623</v>
      </c>
      <c r="G2445" s="1" t="str">
        <f ca="1">IFERROR(__xludf.DUMMYFUNCTION("""COMPUTED_VALUE"""),"12.9561/77.6436")</f>
        <v>12.9561/77.6436</v>
      </c>
      <c r="H2445" s="1" t="str">
        <f ca="1">IFERROR(__xludf.DUMMYFUNCTION("""COMPUTED_VALUE"""),"Hare Krishna Residency")</f>
        <v>Hare Krishna Residency</v>
      </c>
      <c r="I2445" s="1"/>
      <c r="J2445" s="1" t="str">
        <f ca="1">IFERROR(__xludf.DUMMYFUNCTION("""COMPUTED_VALUE"""),"2d 17h 55m")</f>
        <v>2d 17h 55m</v>
      </c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13.2">
      <c r="A2446" s="1">
        <f ca="1">IFERROR(__xludf.DUMMYFUNCTION("""COMPUTED_VALUE"""),218)</f>
        <v>218</v>
      </c>
      <c r="B2446" s="1" t="str">
        <f ca="1">IFERROR(__xludf.DUMMYFUNCTION("""COMPUTED_VALUE"""),"WWM_KC1_KA53B3468_Jetting")</f>
        <v>WWM_KC1_KA53B3468_Jetting</v>
      </c>
      <c r="C2446" s="1" t="str">
        <f ca="1">IFERROR(__xludf.DUMMYFUNCTION("""COMPUTED_VALUE"""),"wwm_kc1_ka53b3468_jetting")</f>
        <v>wwm_kc1_ka53b3468_jetting</v>
      </c>
      <c r="D2446" s="2">
        <f ca="1">IFERROR(__xludf.DUMMYFUNCTION("""COMPUTED_VALUE"""),44707)</f>
        <v>44707</v>
      </c>
      <c r="E2446" s="3">
        <f ca="1">IFERROR(__xludf.DUMMYFUNCTION("""COMPUTED_VALUE"""),0.999259259260725)</f>
        <v>0.99925925926072501</v>
      </c>
      <c r="F2446" s="1">
        <f ca="1">IFERROR(__xludf.DUMMYFUNCTION("""COMPUTED_VALUE"""),1609344)</f>
        <v>1609344</v>
      </c>
      <c r="G2446" s="1" t="str">
        <f ca="1">IFERROR(__xludf.DUMMYFUNCTION("""COMPUTED_VALUE"""),"12.9562/77.6433")</f>
        <v>12.9562/77.6433</v>
      </c>
      <c r="H2446" s="1" t="str">
        <f ca="1">IFERROR(__xludf.DUMMYFUNCTION("""COMPUTED_VALUE"""),"Hare Krishna Residency")</f>
        <v>Hare Krishna Residency</v>
      </c>
      <c r="I2446" s="1"/>
      <c r="J2446" s="1" t="str">
        <f ca="1">IFERROR(__xludf.DUMMYFUNCTION("""COMPUTED_VALUE"""),"0d 00h 00m")</f>
        <v>0d 00h 00m</v>
      </c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13.2">
      <c r="A2447" s="1">
        <f ca="1">IFERROR(__xludf.DUMMYFUNCTION("""COMPUTED_VALUE"""),155)</f>
        <v>155</v>
      </c>
      <c r="B2447" s="1" t="str">
        <f ca="1">IFERROR(__xludf.DUMMYFUNCTION("""COMPUTED_VALUE"""),"WWM_KC1_KA53B3468_Jetting")</f>
        <v>WWM_KC1_KA53B3468_Jetting</v>
      </c>
      <c r="C2447" s="1" t="str">
        <f ca="1">IFERROR(__xludf.DUMMYFUNCTION("""COMPUTED_VALUE"""),"wwm_kc1_ka53b3468_jetting")</f>
        <v>wwm_kc1_ka53b3468_jetting</v>
      </c>
      <c r="D2447" s="2">
        <f ca="1">IFERROR(__xludf.DUMMYFUNCTION("""COMPUTED_VALUE"""),44738)</f>
        <v>44738</v>
      </c>
      <c r="E2447" s="3">
        <f ca="1">IFERROR(__xludf.DUMMYFUNCTION("""COMPUTED_VALUE"""),0.996574074073578)</f>
        <v>0.99657407407357801</v>
      </c>
      <c r="F2447" s="1">
        <f ca="1">IFERROR(__xludf.DUMMYFUNCTION("""COMPUTED_VALUE"""),1609344)</f>
        <v>1609344</v>
      </c>
      <c r="G2447" s="1" t="str">
        <f ca="1">IFERROR(__xludf.DUMMYFUNCTION("""COMPUTED_VALUE"""),"12.9564/77.6433")</f>
        <v>12.9564/77.6433</v>
      </c>
      <c r="H2447" s="1" t="str">
        <f ca="1">IFERROR(__xludf.DUMMYFUNCTION("""COMPUTED_VALUE"""),"Hare Krishna Residency")</f>
        <v>Hare Krishna Residency</v>
      </c>
      <c r="I2447" s="1"/>
      <c r="J2447" s="1" t="str">
        <f ca="1">IFERROR(__xludf.DUMMYFUNCTION("""COMPUTED_VALUE"""),"0d 00h 00m")</f>
        <v>0d 00h 00m</v>
      </c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13.2">
      <c r="A2448" s="1">
        <f ca="1">IFERROR(__xludf.DUMMYFUNCTION("""COMPUTED_VALUE"""),153)</f>
        <v>153</v>
      </c>
      <c r="B2448" s="1" t="str">
        <f ca="1">IFERROR(__xludf.DUMMYFUNCTION("""COMPUTED_VALUE"""),"WWM_KC1_KA53B3468_Jetting")</f>
        <v>WWM_KC1_KA53B3468_Jetting</v>
      </c>
      <c r="C2448" s="1" t="str">
        <f ca="1">IFERROR(__xludf.DUMMYFUNCTION("""COMPUTED_VALUE"""),"wwm_kc1_ka53b3468_jetting")</f>
        <v>wwm_kc1_ka53b3468_jetting</v>
      </c>
      <c r="D2448" s="2">
        <f ca="1">IFERROR(__xludf.DUMMYFUNCTION("""COMPUTED_VALUE"""),44768)</f>
        <v>44768</v>
      </c>
      <c r="E2448" s="3">
        <f ca="1">IFERROR(__xludf.DUMMYFUNCTION("""COMPUTED_VALUE"""),0.804108796295622)</f>
        <v>0.80410879629562204</v>
      </c>
      <c r="F2448" s="1">
        <f ca="1">IFERROR(__xludf.DUMMYFUNCTION("""COMPUTED_VALUE"""),1609358)</f>
        <v>1609358</v>
      </c>
      <c r="G2448" s="1" t="str">
        <f ca="1">IFERROR(__xludf.DUMMYFUNCTION("""COMPUTED_VALUE"""),"13.0693/77.5938")</f>
        <v>13.0693/77.5938</v>
      </c>
      <c r="H2448" s="1" t="str">
        <f ca="1">IFERROR(__xludf.DUMMYFUNCTION("""COMPUTED_VALUE"""),"Satya Comforts Serviced Apartments")</f>
        <v>Satya Comforts Serviced Apartments</v>
      </c>
      <c r="I2448" s="1"/>
      <c r="J2448" s="1" t="str">
        <f ca="1">IFERROR(__xludf.DUMMYFUNCTION("""COMPUTED_VALUE"""),"0d 00h 00m")</f>
        <v>0d 00h 00m</v>
      </c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13.2">
      <c r="A2449" s="1">
        <f ca="1">IFERROR(__xludf.DUMMYFUNCTION("""COMPUTED_VALUE"""),188)</f>
        <v>188</v>
      </c>
      <c r="B2449" s="1" t="str">
        <f ca="1">IFERROR(__xludf.DUMMYFUNCTION("""COMPUTED_VALUE"""),"WWM_KC1_KA53B3468_Jetting")</f>
        <v>WWM_KC1_KA53B3468_Jetting</v>
      </c>
      <c r="C2449" s="1" t="str">
        <f ca="1">IFERROR(__xludf.DUMMYFUNCTION("""COMPUTED_VALUE"""),"wwm_kc1_ka53b3468_jetting")</f>
        <v>wwm_kc1_ka53b3468_jetting</v>
      </c>
      <c r="D2449" s="2">
        <f ca="1">IFERROR(__xludf.DUMMYFUNCTION("""COMPUTED_VALUE"""),44799)</f>
        <v>44799</v>
      </c>
      <c r="E2449" s="3">
        <f ca="1">IFERROR(__xludf.DUMMYFUNCTION("""COMPUTED_VALUE"""),0.999062499999126)</f>
        <v>0.999062499999126</v>
      </c>
      <c r="F2449" s="1">
        <f ca="1">IFERROR(__xludf.DUMMYFUNCTION("""COMPUTED_VALUE"""),1609344)</f>
        <v>1609344</v>
      </c>
      <c r="G2449" s="1"/>
      <c r="H2449" s="1"/>
      <c r="I2449" s="1"/>
      <c r="J2449" s="1" t="str">
        <f ca="1">IFERROR(__xludf.DUMMYFUNCTION("""COMPUTED_VALUE"""),"0d 00h 00m")</f>
        <v>0d 00h 00m</v>
      </c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13.2">
      <c r="A2450" s="1">
        <f ca="1">IFERROR(__xludf.DUMMYFUNCTION("""COMPUTED_VALUE"""),122)</f>
        <v>122</v>
      </c>
      <c r="B2450" s="1" t="str">
        <f ca="1">IFERROR(__xludf.DUMMYFUNCTION("""COMPUTED_VALUE"""),"WWM_KC1_KA53B3468_Jetting")</f>
        <v>WWM_KC1_KA53B3468_Jetting</v>
      </c>
      <c r="C2450" s="1" t="str">
        <f ca="1">IFERROR(__xludf.DUMMYFUNCTION("""COMPUTED_VALUE"""),"wwm_kc1_ka53b3468_jetting")</f>
        <v>wwm_kc1_ka53b3468_jetting</v>
      </c>
      <c r="D2450" s="2">
        <f ca="1">IFERROR(__xludf.DUMMYFUNCTION("""COMPUTED_VALUE"""),44827)</f>
        <v>44827</v>
      </c>
      <c r="E2450" s="3">
        <f ca="1">IFERROR(__xludf.DUMMYFUNCTION("""COMPUTED_VALUE"""),0.13601851851854)</f>
        <v>0.13601851851853999</v>
      </c>
      <c r="F2450" s="1">
        <f ca="1">IFERROR(__xludf.DUMMYFUNCTION("""COMPUTED_VALUE"""),1609344)</f>
        <v>1609344</v>
      </c>
      <c r="G2450" s="1"/>
      <c r="H2450" s="1"/>
      <c r="I2450" s="1"/>
      <c r="J2450" s="1" t="str">
        <f ca="1">IFERROR(__xludf.DUMMYFUNCTION("""COMPUTED_VALUE"""),"0d 00h 00m")</f>
        <v>0d 00h 00m</v>
      </c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13.2">
      <c r="A2451" s="1">
        <f ca="1">IFERROR(__xludf.DUMMYFUNCTION("""COMPUTED_VALUE"""),106)</f>
        <v>106</v>
      </c>
      <c r="B2451" s="1" t="str">
        <f ca="1">IFERROR(__xludf.DUMMYFUNCTION("""COMPUTED_VALUE"""),"WWM_KC1_KA53B3468_Jetting")</f>
        <v>WWM_KC1_KA53B3468_Jetting</v>
      </c>
      <c r="C2451" s="1" t="str">
        <f ca="1">IFERROR(__xludf.DUMMYFUNCTION("""COMPUTED_VALUE"""),"wwm_kc1_ka53b3468_jetting")</f>
        <v>wwm_kc1_ka53b3468_jetting</v>
      </c>
      <c r="D2451" s="2">
        <f ca="1">IFERROR(__xludf.DUMMYFUNCTION("""COMPUTED_VALUE"""),44858)</f>
        <v>44858</v>
      </c>
      <c r="E2451" s="3">
        <f ca="1">IFERROR(__xludf.DUMMYFUNCTION("""COMPUTED_VALUE"""),0.767210648147738)</f>
        <v>0.76721064814773798</v>
      </c>
      <c r="F2451" s="1">
        <f ca="1">IFERROR(__xludf.DUMMYFUNCTION("""COMPUTED_VALUE"""),1609344)</f>
        <v>1609344</v>
      </c>
      <c r="G2451" s="1"/>
      <c r="H2451" s="1"/>
      <c r="I2451" s="1"/>
      <c r="J2451" s="1" t="str">
        <f ca="1">IFERROR(__xludf.DUMMYFUNCTION("""COMPUTED_VALUE"""),"0d 00h 00m")</f>
        <v>0d 00h 00m</v>
      </c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13.2">
      <c r="A2452" s="1">
        <f ca="1">IFERROR(__xludf.DUMMYFUNCTION("""COMPUTED_VALUE"""),72)</f>
        <v>72</v>
      </c>
      <c r="B2452" s="1" t="str">
        <f ca="1">IFERROR(__xludf.DUMMYFUNCTION("""COMPUTED_VALUE"""),"WWM_KC2_KA53B3469_Jetting")</f>
        <v>WWM_KC2_KA53B3469_Jetting</v>
      </c>
      <c r="C2452" s="1" t="str">
        <f ca="1">IFERROR(__xludf.DUMMYFUNCTION("""COMPUTED_VALUE"""),"wwm_kc2_ka53b3469_jetting")</f>
        <v>wwm_kc2_ka53b3469_jetting</v>
      </c>
      <c r="D2452" s="2">
        <f ca="1">IFERROR(__xludf.DUMMYFUNCTION("""COMPUTED_VALUE"""),44689)</f>
        <v>44689</v>
      </c>
      <c r="E2452" s="3">
        <f ca="1">IFERROR(__xludf.DUMMYFUNCTION("""COMPUTED_VALUE"""),0.752048611109785)</f>
        <v>0.75204861110978505</v>
      </c>
      <c r="F2452" s="1">
        <f ca="1">IFERROR(__xludf.DUMMYFUNCTION("""COMPUTED_VALUE"""),85269)</f>
        <v>85269</v>
      </c>
      <c r="G2452" s="1" t="str">
        <f ca="1">IFERROR(__xludf.DUMMYFUNCTION("""COMPUTED_VALUE"""),"12.9561/77.6437")</f>
        <v>12.9561/77.6437</v>
      </c>
      <c r="H2452" s="1" t="str">
        <f ca="1">IFERROR(__xludf.DUMMYFUNCTION("""COMPUTED_VALUE"""),"Hare Krishna Residency")</f>
        <v>Hare Krishna Residency</v>
      </c>
      <c r="I2452" s="1"/>
      <c r="J2452" s="1" t="str">
        <f ca="1">IFERROR(__xludf.DUMMYFUNCTION("""COMPUTED_VALUE"""),"0d 00h 00m")</f>
        <v>0d 00h 00m</v>
      </c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13.2">
      <c r="A2453" s="1">
        <f ca="1">IFERROR(__xludf.DUMMYFUNCTION("""COMPUTED_VALUE"""),103)</f>
        <v>103</v>
      </c>
      <c r="B2453" s="1" t="str">
        <f ca="1">IFERROR(__xludf.DUMMYFUNCTION("""COMPUTED_VALUE"""),"WWM_KC2_KA53B3469_Jetting")</f>
        <v>WWM_KC2_KA53B3469_Jetting</v>
      </c>
      <c r="C2453" s="1" t="str">
        <f ca="1">IFERROR(__xludf.DUMMYFUNCTION("""COMPUTED_VALUE"""),"wwm_kc2_ka53b3469_jetting")</f>
        <v>wwm_kc2_ka53b3469_jetting</v>
      </c>
      <c r="D2453" s="2">
        <f ca="1">IFERROR(__xludf.DUMMYFUNCTION("""COMPUTED_VALUE"""),44734)</f>
        <v>44734</v>
      </c>
      <c r="E2453" s="3">
        <f ca="1">IFERROR(__xludf.DUMMYFUNCTION("""COMPUTED_VALUE"""),0.397187499998835)</f>
        <v>0.39718749999883501</v>
      </c>
      <c r="F2453" s="1">
        <f ca="1">IFERROR(__xludf.DUMMYFUNCTION("""COMPUTED_VALUE"""),85351)</f>
        <v>85351</v>
      </c>
      <c r="G2453" s="1" t="str">
        <f ca="1">IFERROR(__xludf.DUMMYFUNCTION("""COMPUTED_VALUE"""),"12.9562/77.6435")</f>
        <v>12.9562/77.6435</v>
      </c>
      <c r="H2453" s="1" t="str">
        <f ca="1">IFERROR(__xludf.DUMMYFUNCTION("""COMPUTED_VALUE"""),"Hare Krishna Residency")</f>
        <v>Hare Krishna Residency</v>
      </c>
      <c r="I2453" s="1"/>
      <c r="J2453" s="1" t="str">
        <f ca="1">IFERROR(__xludf.DUMMYFUNCTION("""COMPUTED_VALUE"""),"0d 00h 00m")</f>
        <v>0d 00h 00m</v>
      </c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13.2">
      <c r="A2454" s="1">
        <f ca="1">IFERROR(__xludf.DUMMYFUNCTION("""COMPUTED_VALUE"""),77)</f>
        <v>77</v>
      </c>
      <c r="B2454" s="1" t="str">
        <f ca="1">IFERROR(__xludf.DUMMYFUNCTION("""COMPUTED_VALUE"""),"WWM_KC2_KA53B3469_Jetting")</f>
        <v>WWM_KC2_KA53B3469_Jetting</v>
      </c>
      <c r="C2454" s="1" t="str">
        <f ca="1">IFERROR(__xludf.DUMMYFUNCTION("""COMPUTED_VALUE"""),"wwm_kc2_ka53b3469_jetting")</f>
        <v>wwm_kc2_ka53b3469_jetting</v>
      </c>
      <c r="D2454" s="2">
        <f ca="1">IFERROR(__xludf.DUMMYFUNCTION("""COMPUTED_VALUE"""),44743)</f>
        <v>44743</v>
      </c>
      <c r="E2454" s="3">
        <f ca="1">IFERROR(__xludf.DUMMYFUNCTION("""COMPUTED_VALUE"""),0.40505787037182)</f>
        <v>0.40505787037182001</v>
      </c>
      <c r="F2454" s="1">
        <f ca="1">IFERROR(__xludf.DUMMYFUNCTION("""COMPUTED_VALUE"""),85351)</f>
        <v>85351</v>
      </c>
      <c r="G2454" s="1" t="str">
        <f ca="1">IFERROR(__xludf.DUMMYFUNCTION("""COMPUTED_VALUE"""),"12.9560/77.6432")</f>
        <v>12.9560/77.6432</v>
      </c>
      <c r="H2454" s="1" t="str">
        <f ca="1">IFERROR(__xludf.DUMMYFUNCTION("""COMPUTED_VALUE"""),"Hare Krishna Residency")</f>
        <v>Hare Krishna Residency</v>
      </c>
      <c r="I2454" s="1"/>
      <c r="J2454" s="1" t="str">
        <f ca="1">IFERROR(__xludf.DUMMYFUNCTION("""COMPUTED_VALUE"""),"0d 00h 00m")</f>
        <v>0d 00h 00m</v>
      </c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13.2">
      <c r="A2455" s="1">
        <f ca="1">IFERROR(__xludf.DUMMYFUNCTION("""COMPUTED_VALUE"""),170)</f>
        <v>170</v>
      </c>
      <c r="B2455" s="1" t="str">
        <f ca="1">IFERROR(__xludf.DUMMYFUNCTION("""COMPUTED_VALUE"""),"WWM_KC2_KA53B3469_Jetting")</f>
        <v>WWM_KC2_KA53B3469_Jetting</v>
      </c>
      <c r="C2455" s="1" t="str">
        <f ca="1">IFERROR(__xludf.DUMMYFUNCTION("""COMPUTED_VALUE"""),"wwm_kc2_ka53b3469_jetting")</f>
        <v>wwm_kc2_ka53b3469_jetting</v>
      </c>
      <c r="D2455" s="2">
        <f ca="1">IFERROR(__xludf.DUMMYFUNCTION("""COMPUTED_VALUE"""),44799)</f>
        <v>44799</v>
      </c>
      <c r="E2455" s="3">
        <f ca="1">IFERROR(__xludf.DUMMYFUNCTION("""COMPUTED_VALUE"""),0.998946759260434)</f>
        <v>0.99894675926043397</v>
      </c>
      <c r="F2455" s="1">
        <f ca="1">IFERROR(__xludf.DUMMYFUNCTION("""COMPUTED_VALUE"""),85982)</f>
        <v>85982</v>
      </c>
      <c r="G2455" s="1" t="str">
        <f ca="1">IFERROR(__xludf.DUMMYFUNCTION("""COMPUTED_VALUE"""),"12.9562/77.6434")</f>
        <v>12.9562/77.6434</v>
      </c>
      <c r="H2455" s="1" t="str">
        <f ca="1">IFERROR(__xludf.DUMMYFUNCTION("""COMPUTED_VALUE"""),"Hare Krishna Residency")</f>
        <v>Hare Krishna Residency</v>
      </c>
      <c r="I2455" s="1"/>
      <c r="J2455" s="1" t="str">
        <f ca="1">IFERROR(__xludf.DUMMYFUNCTION("""COMPUTED_VALUE"""),"0d 00h 00m")</f>
        <v>0d 00h 00m</v>
      </c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13.2">
      <c r="A2456" s="1">
        <f ca="1">IFERROR(__xludf.DUMMYFUNCTION("""COMPUTED_VALUE"""),115)</f>
        <v>115</v>
      </c>
      <c r="B2456" s="1" t="str">
        <f ca="1">IFERROR(__xludf.DUMMYFUNCTION("""COMPUTED_VALUE"""),"WWM_KC2_KA53B3469_Jetting")</f>
        <v>WWM_KC2_KA53B3469_Jetting</v>
      </c>
      <c r="C2456" s="1" t="str">
        <f ca="1">IFERROR(__xludf.DUMMYFUNCTION("""COMPUTED_VALUE"""),"wwm_kc2_ka53b3469_jetting")</f>
        <v>wwm_kc2_ka53b3469_jetting</v>
      </c>
      <c r="D2456" s="2">
        <f ca="1">IFERROR(__xludf.DUMMYFUNCTION("""COMPUTED_VALUE"""),44825)</f>
        <v>44825</v>
      </c>
      <c r="E2456" s="3">
        <f ca="1">IFERROR(__xludf.DUMMYFUNCTION("""COMPUTED_VALUE"""),0.622615740740002)</f>
        <v>0.62261574074000203</v>
      </c>
      <c r="F2456" s="1">
        <f ca="1">IFERROR(__xludf.DUMMYFUNCTION("""COMPUTED_VALUE"""),86675)</f>
        <v>86675</v>
      </c>
      <c r="G2456" s="1" t="str">
        <f ca="1">IFERROR(__xludf.DUMMYFUNCTION("""COMPUTED_VALUE"""),"12.9624/77.5930")</f>
        <v>12.9624/77.5930</v>
      </c>
      <c r="H2456" s="1" t="str">
        <f ca="1">IFERROR(__xludf.DUMMYFUNCTION("""COMPUTED_VALUE"""),"Mission Road")</f>
        <v>Mission Road</v>
      </c>
      <c r="I2456" s="1"/>
      <c r="J2456" s="1" t="str">
        <f ca="1">IFERROR(__xludf.DUMMYFUNCTION("""COMPUTED_VALUE"""),"0d 00h 01m")</f>
        <v>0d 00h 01m</v>
      </c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13.2">
      <c r="A2457" s="1">
        <f ca="1">IFERROR(__xludf.DUMMYFUNCTION("""COMPUTED_VALUE"""),70)</f>
        <v>70</v>
      </c>
      <c r="B2457" s="1" t="str">
        <f ca="1">IFERROR(__xludf.DUMMYFUNCTION("""COMPUTED_VALUE"""),"WWM_KC2_KA53B3469_Jetting")</f>
        <v>WWM_KC2_KA53B3469_Jetting</v>
      </c>
      <c r="C2457" s="1" t="str">
        <f ca="1">IFERROR(__xludf.DUMMYFUNCTION("""COMPUTED_VALUE"""),"wwm_kc2_ka53b3469_jetting")</f>
        <v>wwm_kc2_ka53b3469_jetting</v>
      </c>
      <c r="D2457" s="2">
        <f ca="1">IFERROR(__xludf.DUMMYFUNCTION("""COMPUTED_VALUE"""),44825)</f>
        <v>44825</v>
      </c>
      <c r="E2457" s="3">
        <f ca="1">IFERROR(__xludf.DUMMYFUNCTION("""COMPUTED_VALUE"""),0.622615740740002)</f>
        <v>0.62261574074000203</v>
      </c>
      <c r="F2457" s="1">
        <f ca="1">IFERROR(__xludf.DUMMYFUNCTION("""COMPUTED_VALUE"""),86675)</f>
        <v>86675</v>
      </c>
      <c r="G2457" s="1" t="str">
        <f ca="1">IFERROR(__xludf.DUMMYFUNCTION("""COMPUTED_VALUE"""),"12.9624/77.5930")</f>
        <v>12.9624/77.5930</v>
      </c>
      <c r="H2457" s="1" t="str">
        <f ca="1">IFERROR(__xludf.DUMMYFUNCTION("""COMPUTED_VALUE"""),"Mission Road")</f>
        <v>Mission Road</v>
      </c>
      <c r="I2457" s="1"/>
      <c r="J2457" s="1" t="str">
        <f ca="1">IFERROR(__xludf.DUMMYFUNCTION("""COMPUTED_VALUE"""),"0d 00h 00m")</f>
        <v>0d 00h 00m</v>
      </c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13.2">
      <c r="A2458" s="1">
        <f ca="1">IFERROR(__xludf.DUMMYFUNCTION("""COMPUTED_VALUE"""),195)</f>
        <v>195</v>
      </c>
      <c r="B2458" s="1" t="str">
        <f ca="1">IFERROR(__xludf.DUMMYFUNCTION("""COMPUTED_VALUE"""),"WWM_KC2_KA53B3472_Jetting")</f>
        <v>WWM_KC2_KA53B3472_Jetting</v>
      </c>
      <c r="C2458" s="1" t="str">
        <f ca="1">IFERROR(__xludf.DUMMYFUNCTION("""COMPUTED_VALUE"""),"wwm_kc2_ka53b3472_jetting")</f>
        <v>wwm_kc2_ka53b3472_jetting</v>
      </c>
      <c r="D2458" s="2">
        <f ca="1">IFERROR(__xludf.DUMMYFUNCTION("""COMPUTED_VALUE"""),44707)</f>
        <v>44707</v>
      </c>
      <c r="E2458" s="3">
        <f ca="1">IFERROR(__xludf.DUMMYFUNCTION("""COMPUTED_VALUE"""),0.999178240741457)</f>
        <v>0.999178240741457</v>
      </c>
      <c r="F2458" s="1">
        <f ca="1">IFERROR(__xludf.DUMMYFUNCTION("""COMPUTED_VALUE"""),18906)</f>
        <v>18906</v>
      </c>
      <c r="G2458" s="1" t="str">
        <f ca="1">IFERROR(__xludf.DUMMYFUNCTION("""COMPUTED_VALUE"""),"12.9562/77.6435")</f>
        <v>12.9562/77.6435</v>
      </c>
      <c r="H2458" s="1" t="str">
        <f ca="1">IFERROR(__xludf.DUMMYFUNCTION("""COMPUTED_VALUE"""),"Hare Krishna Residency")</f>
        <v>Hare Krishna Residency</v>
      </c>
      <c r="I2458" s="1"/>
      <c r="J2458" s="1" t="str">
        <f ca="1">IFERROR(__xludf.DUMMYFUNCTION("""COMPUTED_VALUE"""),"0d 00h 00m")</f>
        <v>0d 00h 00m</v>
      </c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13.2">
      <c r="A2459" s="1">
        <f ca="1">IFERROR(__xludf.DUMMYFUNCTION("""COMPUTED_VALUE"""),156)</f>
        <v>156</v>
      </c>
      <c r="B2459" s="1" t="str">
        <f ca="1">IFERROR(__xludf.DUMMYFUNCTION("""COMPUTED_VALUE"""),"WWM_KC2_KA53B3472_Jetting")</f>
        <v>WWM_KC2_KA53B3472_Jetting</v>
      </c>
      <c r="C2459" s="1" t="str">
        <f ca="1">IFERROR(__xludf.DUMMYFUNCTION("""COMPUTED_VALUE"""),"wwm_kc2_ka53b3472_jetting")</f>
        <v>wwm_kc2_ka53b3472_jetting</v>
      </c>
      <c r="D2459" s="2">
        <f ca="1">IFERROR(__xludf.DUMMYFUNCTION("""COMPUTED_VALUE"""),44738)</f>
        <v>44738</v>
      </c>
      <c r="E2459" s="3">
        <f ca="1">IFERROR(__xludf.DUMMYFUNCTION("""COMPUTED_VALUE"""),0.996724537035333)</f>
        <v>0.99672453703533304</v>
      </c>
      <c r="F2459" s="1">
        <f ca="1">IFERROR(__xludf.DUMMYFUNCTION("""COMPUTED_VALUE"""),21671)</f>
        <v>21671</v>
      </c>
      <c r="G2459" s="1" t="str">
        <f ca="1">IFERROR(__xludf.DUMMYFUNCTION("""COMPUTED_VALUE"""),"12.9561/77.6436")</f>
        <v>12.9561/77.6436</v>
      </c>
      <c r="H2459" s="1" t="str">
        <f ca="1">IFERROR(__xludf.DUMMYFUNCTION("""COMPUTED_VALUE"""),"Hare Krishna Residency")</f>
        <v>Hare Krishna Residency</v>
      </c>
      <c r="I2459" s="1"/>
      <c r="J2459" s="1" t="str">
        <f ca="1">IFERROR(__xludf.DUMMYFUNCTION("""COMPUTED_VALUE"""),"0d 00h 00m")</f>
        <v>0d 00h 00m</v>
      </c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13.2">
      <c r="A2460" s="1">
        <f ca="1">IFERROR(__xludf.DUMMYFUNCTION("""COMPUTED_VALUE"""),216)</f>
        <v>216</v>
      </c>
      <c r="B2460" s="1" t="str">
        <f ca="1">IFERROR(__xludf.DUMMYFUNCTION("""COMPUTED_VALUE"""),"WWM_KC2_KA53B3472_Jetting")</f>
        <v>WWM_KC2_KA53B3472_Jetting</v>
      </c>
      <c r="C2460" s="1" t="str">
        <f ca="1">IFERROR(__xludf.DUMMYFUNCTION("""COMPUTED_VALUE"""),"wwm_kc2_ka53b3472_jetting")</f>
        <v>wwm_kc2_ka53b3472_jetting</v>
      </c>
      <c r="D2460" s="2">
        <f ca="1">IFERROR(__xludf.DUMMYFUNCTION("""COMPUTED_VALUE"""),44768)</f>
        <v>44768</v>
      </c>
      <c r="E2460" s="3">
        <f ca="1">IFERROR(__xludf.DUMMYFUNCTION("""COMPUTED_VALUE"""),0.999224537037662)</f>
        <v>0.99922453703766201</v>
      </c>
      <c r="F2460" s="1">
        <f ca="1">IFERROR(__xludf.DUMMYFUNCTION("""COMPUTED_VALUE"""),23940)</f>
        <v>23940</v>
      </c>
      <c r="G2460" s="1" t="str">
        <f ca="1">IFERROR(__xludf.DUMMYFUNCTION("""COMPUTED_VALUE"""),"12.9635/77.5839")</f>
        <v>12.9635/77.5839</v>
      </c>
      <c r="H2460" s="1" t="str">
        <f ca="1">IFERROR(__xludf.DUMMYFUNCTION("""COMPUTED_VALUE"""),"SP Road")</f>
        <v>SP Road</v>
      </c>
      <c r="I2460" s="1"/>
      <c r="J2460" s="1" t="str">
        <f ca="1">IFERROR(__xludf.DUMMYFUNCTION("""COMPUTED_VALUE"""),"0d 00h 00m")</f>
        <v>0d 00h 00m</v>
      </c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13.2">
      <c r="A2461" s="1">
        <f ca="1">IFERROR(__xludf.DUMMYFUNCTION("""COMPUTED_VALUE"""),105)</f>
        <v>105</v>
      </c>
      <c r="B2461" s="1" t="str">
        <f ca="1">IFERROR(__xludf.DUMMYFUNCTION("""COMPUTED_VALUE"""),"WWM_KC2_KA53B3472_Jetting")</f>
        <v>WWM_KC2_KA53B3472_Jetting</v>
      </c>
      <c r="C2461" s="1" t="str">
        <f ca="1">IFERROR(__xludf.DUMMYFUNCTION("""COMPUTED_VALUE"""),"wwm_kc2_ka53b3472_jetting")</f>
        <v>wwm_kc2_ka53b3472_jetting</v>
      </c>
      <c r="D2461" s="2">
        <f ca="1">IFERROR(__xludf.DUMMYFUNCTION("""COMPUTED_VALUE"""),44784)</f>
        <v>44784</v>
      </c>
      <c r="E2461" s="3">
        <f ca="1">IFERROR(__xludf.DUMMYFUNCTION("""COMPUTED_VALUE"""),0.499548611111094)</f>
        <v>0.499548611111094</v>
      </c>
      <c r="F2461" s="1">
        <f ca="1">IFERROR(__xludf.DUMMYFUNCTION("""COMPUTED_VALUE"""),24660)</f>
        <v>24660</v>
      </c>
      <c r="G2461" s="1" t="str">
        <f ca="1">IFERROR(__xludf.DUMMYFUNCTION("""COMPUTED_VALUE"""),"13.0641/77.6066")</f>
        <v>13.0641/77.6066</v>
      </c>
      <c r="H2461" s="1" t="str">
        <f ca="1">IFERROR(__xludf.DUMMYFUNCTION("""COMPUTED_VALUE"""),"Amruthahalli")</f>
        <v>Amruthahalli</v>
      </c>
      <c r="I2461" s="1"/>
      <c r="J2461" s="1" t="str">
        <f ca="1">IFERROR(__xludf.DUMMYFUNCTION("""COMPUTED_VALUE"""),"0d 00h 00m")</f>
        <v>0d 00h 00m</v>
      </c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13.2">
      <c r="A2462" s="1">
        <f ca="1">IFERROR(__xludf.DUMMYFUNCTION("""COMPUTED_VALUE"""),206)</f>
        <v>206</v>
      </c>
      <c r="B2462" s="1" t="str">
        <f ca="1">IFERROR(__xludf.DUMMYFUNCTION("""COMPUTED_VALUE"""),"WWM_KC2_KA53B3472_Jetting")</f>
        <v>WWM_KC2_KA53B3472_Jetting</v>
      </c>
      <c r="C2462" s="1" t="str">
        <f ca="1">IFERROR(__xludf.DUMMYFUNCTION("""COMPUTED_VALUE"""),"wwm_kc2_ka53b3472_jetting")</f>
        <v>wwm_kc2_ka53b3472_jetting</v>
      </c>
      <c r="D2462" s="2">
        <f ca="1">IFERROR(__xludf.DUMMYFUNCTION("""COMPUTED_VALUE"""),44830)</f>
        <v>44830</v>
      </c>
      <c r="E2462" s="3">
        <f ca="1">IFERROR(__xludf.DUMMYFUNCTION("""COMPUTED_VALUE"""),0.999166666668315)</f>
        <v>0.999166666668315</v>
      </c>
      <c r="F2462" s="1">
        <f ca="1">IFERROR(__xludf.DUMMYFUNCTION("""COMPUTED_VALUE"""),27054)</f>
        <v>27054</v>
      </c>
      <c r="G2462" s="1" t="str">
        <f ca="1">IFERROR(__xludf.DUMMYFUNCTION("""COMPUTED_VALUE"""),"12.9562/77.6436")</f>
        <v>12.9562/77.6436</v>
      </c>
      <c r="H2462" s="1" t="str">
        <f ca="1">IFERROR(__xludf.DUMMYFUNCTION("""COMPUTED_VALUE"""),"Hare Krishna Residency")</f>
        <v>Hare Krishna Residency</v>
      </c>
      <c r="I2462" s="1"/>
      <c r="J2462" s="1" t="str">
        <f ca="1">IFERROR(__xludf.DUMMYFUNCTION("""COMPUTED_VALUE"""),"0d 00h 00m")</f>
        <v>0d 00h 00m</v>
      </c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13.2">
      <c r="A2463" s="1">
        <f ca="1">IFERROR(__xludf.DUMMYFUNCTION("""COMPUTED_VALUE"""),217)</f>
        <v>217</v>
      </c>
      <c r="B2463" s="1" t="str">
        <f ca="1">IFERROR(__xludf.DUMMYFUNCTION("""COMPUTED_VALUE"""),"WWM_KC2_KA53B3472_Jetting")</f>
        <v>WWM_KC2_KA53B3472_Jetting</v>
      </c>
      <c r="C2463" s="1" t="str">
        <f ca="1">IFERROR(__xludf.DUMMYFUNCTION("""COMPUTED_VALUE"""),"wwm_kc2_ka53b3472_jetting")</f>
        <v>wwm_kc2_ka53b3472_jetting</v>
      </c>
      <c r="D2463" s="2">
        <f ca="1">IFERROR(__xludf.DUMMYFUNCTION("""COMPUTED_VALUE"""),44860)</f>
        <v>44860</v>
      </c>
      <c r="E2463" s="3">
        <f ca="1">IFERROR(__xludf.DUMMYFUNCTION("""COMPUTED_VALUE"""),0.999224537037662)</f>
        <v>0.99922453703766201</v>
      </c>
      <c r="F2463" s="1">
        <f ca="1">IFERROR(__xludf.DUMMYFUNCTION("""COMPUTED_VALUE"""),28797)</f>
        <v>28797</v>
      </c>
      <c r="G2463" s="1" t="str">
        <f ca="1">IFERROR(__xludf.DUMMYFUNCTION("""COMPUTED_VALUE"""),"12.9564/77.6433")</f>
        <v>12.9564/77.6433</v>
      </c>
      <c r="H2463" s="1" t="str">
        <f ca="1">IFERROR(__xludf.DUMMYFUNCTION("""COMPUTED_VALUE"""),"Hare Krishna Residency")</f>
        <v>Hare Krishna Residency</v>
      </c>
      <c r="I2463" s="1"/>
      <c r="J2463" s="1" t="str">
        <f ca="1">IFERROR(__xludf.DUMMYFUNCTION("""COMPUTED_VALUE"""),"0d 00h 00m")</f>
        <v>0d 00h 00m</v>
      </c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13.2">
      <c r="A2464" s="1">
        <f ca="1">IFERROR(__xludf.DUMMYFUNCTION("""COMPUTED_VALUE"""),159)</f>
        <v>159</v>
      </c>
      <c r="B2464" s="1" t="str">
        <f ca="1">IFERROR(__xludf.DUMMYFUNCTION("""COMPUTED_VALUE"""),"WWM_KC2_KA53B3472_JETTING")</f>
        <v>WWM_KC2_KA53B3472_JETTING</v>
      </c>
      <c r="C2464" s="1" t="str">
        <f ca="1">IFERROR(__xludf.DUMMYFUNCTION("""COMPUTED_VALUE"""),"wwm_kc2_ka53b3472_jetting")</f>
        <v>wwm_kc2_ka53b3472_jetting</v>
      </c>
      <c r="D2464" s="2">
        <f ca="1">IFERROR(__xludf.DUMMYFUNCTION("""COMPUTED_VALUE"""),44769)</f>
        <v>44769</v>
      </c>
      <c r="E2464" s="3">
        <f ca="1">IFERROR(__xludf.DUMMYFUNCTION("""COMPUTED_VALUE"""),0.999317129630071)</f>
        <v>0.99931712963007102</v>
      </c>
      <c r="F2464" s="1">
        <f ca="1">IFERROR(__xludf.DUMMYFUNCTION("""COMPUTED_VALUE"""),23952)</f>
        <v>23952</v>
      </c>
      <c r="G2464" s="1" t="str">
        <f ca="1">IFERROR(__xludf.DUMMYFUNCTION("""COMPUTED_VALUE"""),"12.9562/77.6435")</f>
        <v>12.9562/77.6435</v>
      </c>
      <c r="H2464" s="1" t="str">
        <f ca="1">IFERROR(__xludf.DUMMYFUNCTION("""COMPUTED_VALUE"""),"Hare Krishna Residency")</f>
        <v>Hare Krishna Residency</v>
      </c>
      <c r="I2464" s="1"/>
      <c r="J2464" s="1" t="str">
        <f ca="1">IFERROR(__xludf.DUMMYFUNCTION("""COMPUTED_VALUE"""),"0d 00h 43m")</f>
        <v>0d 00h 43m</v>
      </c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13.2">
      <c r="A2465" s="1">
        <f ca="1">IFERROR(__xludf.DUMMYFUNCTION("""COMPUTED_VALUE"""),157)</f>
        <v>157</v>
      </c>
      <c r="B2465" s="1" t="str">
        <f ca="1">IFERROR(__xludf.DUMMYFUNCTION("""COMPUTED_VALUE"""),"WWM_KC2_KA53B3472_JETTING")</f>
        <v>WWM_KC2_KA53B3472_JETTING</v>
      </c>
      <c r="C2465" s="1" t="str">
        <f ca="1">IFERROR(__xludf.DUMMYFUNCTION("""COMPUTED_VALUE"""),"wwm_kc2_ka53b3472_jetting")</f>
        <v>wwm_kc2_ka53b3472_jetting</v>
      </c>
      <c r="D2465" s="2">
        <f ca="1">IFERROR(__xludf.DUMMYFUNCTION("""COMPUTED_VALUE"""),44860)</f>
        <v>44860</v>
      </c>
      <c r="E2465" s="3">
        <f ca="1">IFERROR(__xludf.DUMMYFUNCTION("""COMPUTED_VALUE"""),0.999224537037662)</f>
        <v>0.99922453703766201</v>
      </c>
      <c r="F2465" s="1">
        <f ca="1">IFERROR(__xludf.DUMMYFUNCTION("""COMPUTED_VALUE"""),28797)</f>
        <v>28797</v>
      </c>
      <c r="G2465" s="1" t="str">
        <f ca="1">IFERROR(__xludf.DUMMYFUNCTION("""COMPUTED_VALUE"""),"12.9564/77.6433")</f>
        <v>12.9564/77.6433</v>
      </c>
      <c r="H2465" s="1" t="str">
        <f ca="1">IFERROR(__xludf.DUMMYFUNCTION("""COMPUTED_VALUE"""),"Hare Krishna Residency")</f>
        <v>Hare Krishna Residency</v>
      </c>
      <c r="I2465" s="1"/>
      <c r="J2465" s="1" t="str">
        <f ca="1">IFERROR(__xludf.DUMMYFUNCTION("""COMPUTED_VALUE"""),"0d 00h 44m")</f>
        <v>0d 00h 44m</v>
      </c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13.2">
      <c r="A2466" s="1">
        <f ca="1">IFERROR(__xludf.DUMMYFUNCTION("""COMPUTED_VALUE"""),149)</f>
        <v>149</v>
      </c>
      <c r="B2466" s="1" t="str">
        <f ca="1">IFERROR(__xludf.DUMMYFUNCTION("""COMPUTED_VALUE"""),"WWM_KC2_KA53B3472_JETTING")</f>
        <v>WWM_KC2_KA53B3472_JETTING</v>
      </c>
      <c r="C2466" s="1" t="str">
        <f ca="1">IFERROR(__xludf.DUMMYFUNCTION("""COMPUTED_VALUE"""),"wwm_kc2_ka53b3472_jetting")</f>
        <v>wwm_kc2_ka53b3472_jetting</v>
      </c>
      <c r="D2466" s="2">
        <f ca="1">IFERROR(__xludf.DUMMYFUNCTION("""COMPUTED_VALUE"""),44952)</f>
        <v>44952</v>
      </c>
      <c r="E2466" s="3">
        <f ca="1">IFERROR(__xludf.DUMMYFUNCTION("""COMPUTED_VALUE"""),0.99900462962978)</f>
        <v>0.99900462962977998</v>
      </c>
      <c r="F2466" s="1">
        <f ca="1">IFERROR(__xludf.DUMMYFUNCTION("""COMPUTED_VALUE"""),30460)</f>
        <v>30460</v>
      </c>
      <c r="G2466" s="1" t="str">
        <f ca="1">IFERROR(__xludf.DUMMYFUNCTION("""COMPUTED_VALUE"""),"12.9563/77.6437")</f>
        <v>12.9563/77.6437</v>
      </c>
      <c r="H2466" s="1" t="str">
        <f ca="1">IFERROR(__xludf.DUMMYFUNCTION("""COMPUTED_VALUE"""),"Hare Krishna Residency")</f>
        <v>Hare Krishna Residency</v>
      </c>
      <c r="I2466" s="1"/>
      <c r="J2466" s="1" t="str">
        <f ca="1">IFERROR(__xludf.DUMMYFUNCTION("""COMPUTED_VALUE"""),"0d 00h 47m")</f>
        <v>0d 00h 47m</v>
      </c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13.2">
      <c r="A2467" s="1">
        <f ca="1">IFERROR(__xludf.DUMMYFUNCTION("""COMPUTED_VALUE"""),157)</f>
        <v>157</v>
      </c>
      <c r="B2467" s="1" t="str">
        <f ca="1">IFERROR(__xludf.DUMMYFUNCTION("""COMPUTED_VALUE"""),"WWM_KC2_KA53B3472_JETTING")</f>
        <v>WWM_KC2_KA53B3472_JETTING</v>
      </c>
      <c r="C2467" s="1" t="str">
        <f ca="1">IFERROR(__xludf.DUMMYFUNCTION("""COMPUTED_VALUE"""),"wwm_kc2_ka53b3472_jetting")</f>
        <v>wwm_kc2_ka53b3472_jetting</v>
      </c>
      <c r="D2467" s="2">
        <f ca="1">IFERROR(__xludf.DUMMYFUNCTION("""COMPUTED_VALUE"""),45042)</f>
        <v>45042</v>
      </c>
      <c r="E2467" s="3">
        <f ca="1">IFERROR(__xludf.DUMMYFUNCTION("""COMPUTED_VALUE"""),0.999050925925985)</f>
        <v>0.99905092592598499</v>
      </c>
      <c r="F2467" s="1">
        <f ca="1">IFERROR(__xludf.DUMMYFUNCTION("""COMPUTED_VALUE"""),35453)</f>
        <v>35453</v>
      </c>
      <c r="G2467" s="1" t="str">
        <f ca="1">IFERROR(__xludf.DUMMYFUNCTION("""COMPUTED_VALUE"""),"12.9473/77.6232")</f>
        <v>12.9473/77.6232</v>
      </c>
      <c r="H2467" s="1" t="str">
        <f ca="1">IFERROR(__xludf.DUMMYFUNCTION("""COMPUTED_VALUE"""),"Vivek Nagar")</f>
        <v>Vivek Nagar</v>
      </c>
      <c r="I2467" s="1"/>
      <c r="J2467" s="1" t="str">
        <f ca="1">IFERROR(__xludf.DUMMYFUNCTION("""COMPUTED_VALUE"""),"0d 00h 48m")</f>
        <v>0d 00h 48m</v>
      </c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13.2">
      <c r="A2468" s="1">
        <f ca="1">IFERROR(__xludf.DUMMYFUNCTION("""COMPUTED_VALUE"""),154)</f>
        <v>154</v>
      </c>
      <c r="B2468" s="1" t="str">
        <f ca="1">IFERROR(__xludf.DUMMYFUNCTION("""COMPUTED_VALUE"""),"WWM_KC2_KA53B3472_JETTING")</f>
        <v>WWM_KC2_KA53B3472_JETTING</v>
      </c>
      <c r="C2468" s="1" t="str">
        <f ca="1">IFERROR(__xludf.DUMMYFUNCTION("""COMPUTED_VALUE"""),"wwm_kc2_ka53b3472_jetting")</f>
        <v>wwm_kc2_ka53b3472_jetting</v>
      </c>
      <c r="D2468" s="2">
        <f ca="1">IFERROR(__xludf.DUMMYFUNCTION("""COMPUTED_VALUE"""),45134)</f>
        <v>45134</v>
      </c>
      <c r="E2468" s="3">
        <f ca="1">IFERROR(__xludf.DUMMYFUNCTION("""COMPUTED_VALUE"""),0.999016203702922)</f>
        <v>0.99901620370292199</v>
      </c>
      <c r="F2468" s="1">
        <f ca="1">IFERROR(__xludf.DUMMYFUNCTION("""COMPUTED_VALUE"""),37899)</f>
        <v>37899</v>
      </c>
      <c r="G2468" s="1" t="str">
        <f ca="1">IFERROR(__xludf.DUMMYFUNCTION("""COMPUTED_VALUE"""),"12.9476/77.6235")</f>
        <v>12.9476/77.6235</v>
      </c>
      <c r="H2468" s="1" t="str">
        <f ca="1">IFERROR(__xludf.DUMMYFUNCTION("""COMPUTED_VALUE"""),"Vivek Nagar")</f>
        <v>Vivek Nagar</v>
      </c>
      <c r="I2468" s="1"/>
      <c r="J2468" s="1" t="str">
        <f ca="1">IFERROR(__xludf.DUMMYFUNCTION("""COMPUTED_VALUE"""),"0d 00h 49m")</f>
        <v>0d 00h 49m</v>
      </c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13.2">
      <c r="A2469" s="1">
        <f ca="1">IFERROR(__xludf.DUMMYFUNCTION("""COMPUTED_VALUE"""),151)</f>
        <v>151</v>
      </c>
      <c r="B2469" s="1" t="str">
        <f ca="1">IFERROR(__xludf.DUMMYFUNCTION("""COMPUTED_VALUE"""),"WWM_KC2_KA53B3472_JETTING")</f>
        <v>WWM_KC2_KA53B3472_JETTING</v>
      </c>
      <c r="C2469" s="1" t="str">
        <f ca="1">IFERROR(__xludf.DUMMYFUNCTION("""COMPUTED_VALUE"""),"wwm_kc2_ka53b3472_jetting")</f>
        <v>wwm_kc2_ka53b3472_jetting</v>
      </c>
      <c r="D2469" s="2">
        <f ca="1">IFERROR(__xludf.DUMMYFUNCTION("""COMPUTED_VALUE"""),45226)</f>
        <v>45226</v>
      </c>
      <c r="E2469" s="3">
        <f ca="1">IFERROR(__xludf.DUMMYFUNCTION("""COMPUTED_VALUE"""),0.564375000001746)</f>
        <v>0.56437500000174601</v>
      </c>
      <c r="F2469" s="1">
        <f ca="1">IFERROR(__xludf.DUMMYFUNCTION("""COMPUTED_VALUE"""),39591)</f>
        <v>39591</v>
      </c>
      <c r="G2469" s="1" t="str">
        <f ca="1">IFERROR(__xludf.DUMMYFUNCTION("""COMPUTED_VALUE"""),"12.9476/77.6230")</f>
        <v>12.9476/77.6230</v>
      </c>
      <c r="H2469" s="1" t="str">
        <f ca="1">IFERROR(__xludf.DUMMYFUNCTION("""COMPUTED_VALUE"""),"Vivek Nagar")</f>
        <v>Vivek Nagar</v>
      </c>
      <c r="I2469" s="1"/>
      <c r="J2469" s="1" t="str">
        <f ca="1">IFERROR(__xludf.DUMMYFUNCTION("""COMPUTED_VALUE"""),"0d 00h 50m")</f>
        <v>0d 00h 50m</v>
      </c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13.2">
      <c r="A2470" s="1">
        <f ca="1">IFERROR(__xludf.DUMMYFUNCTION("""COMPUTED_VALUE"""),175)</f>
        <v>175</v>
      </c>
      <c r="B2470" s="1" t="str">
        <f ca="1">IFERROR(__xludf.DUMMYFUNCTION("""COMPUTED_VALUE"""),"WWM_KC2_KA53B3472_JETTING")</f>
        <v>WWM_KC2_KA53B3472_JETTING</v>
      </c>
      <c r="C2470" s="1" t="str">
        <f ca="1">IFERROR(__xludf.DUMMYFUNCTION("""COMPUTED_VALUE"""),"wwm_kc2_ka53b3472_jetting")</f>
        <v>wwm_kc2_ka53b3472_jetting</v>
      </c>
      <c r="D2470" s="2">
        <f ca="1">IFERROR(__xludf.DUMMYFUNCTION("""COMPUTED_VALUE"""),45315)</f>
        <v>45315</v>
      </c>
      <c r="E2470" s="3">
        <f ca="1">IFERROR(__xludf.DUMMYFUNCTION("""COMPUTED_VALUE"""),0.787094907405844)</f>
        <v>0.78709490740584398</v>
      </c>
      <c r="F2470" s="1">
        <f ca="1">IFERROR(__xludf.DUMMYFUNCTION("""COMPUTED_VALUE"""),40721)</f>
        <v>40721</v>
      </c>
      <c r="G2470" s="1" t="str">
        <f ca="1">IFERROR(__xludf.DUMMYFUNCTION("""COMPUTED_VALUE"""),"12.9471/77.6233")</f>
        <v>12.9471/77.6233</v>
      </c>
      <c r="H2470" s="1" t="str">
        <f ca="1">IFERROR(__xludf.DUMMYFUNCTION("""COMPUTED_VALUE"""),"Kormangla 8th Block")</f>
        <v>Kormangla 8th Block</v>
      </c>
      <c r="I2470" s="1"/>
      <c r="J2470" s="1" t="str">
        <f ca="1">IFERROR(__xludf.DUMMYFUNCTION("""COMPUTED_VALUE"""),"0d 00h 52m")</f>
        <v>0d 00h 52m</v>
      </c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13.2">
      <c r="A2471" s="1">
        <f ca="1">IFERROR(__xludf.DUMMYFUNCTION("""COMPUTED_VALUE"""),91)</f>
        <v>91</v>
      </c>
      <c r="B2471" s="1" t="str">
        <f ca="1">IFERROR(__xludf.DUMMYFUNCTION("""COMPUTED_VALUE"""),"Wwm_KC2_KA53B3473_Dumptanker")</f>
        <v>Wwm_KC2_KA53B3473_Dumptanker</v>
      </c>
      <c r="C2471" s="1" t="str">
        <f ca="1">IFERROR(__xludf.DUMMYFUNCTION("""COMPUTED_VALUE"""),"wwm_kc2_ka53b3473_dumptanker")</f>
        <v>wwm_kc2_ka53b3473_dumptanker</v>
      </c>
      <c r="D2471" s="2">
        <f ca="1">IFERROR(__xludf.DUMMYFUNCTION("""COMPUTED_VALUE"""),44701)</f>
        <v>44701</v>
      </c>
      <c r="E2471" s="3">
        <f ca="1">IFERROR(__xludf.DUMMYFUNCTION("""COMPUTED_VALUE"""),0.615254629628907)</f>
        <v>0.61525462962890698</v>
      </c>
      <c r="F2471" s="1">
        <f ca="1">IFERROR(__xludf.DUMMYFUNCTION("""COMPUTED_VALUE"""),3327)</f>
        <v>3327</v>
      </c>
      <c r="G2471" s="1" t="str">
        <f ca="1">IFERROR(__xludf.DUMMYFUNCTION("""COMPUTED_VALUE"""),"12.9561/77.6434")</f>
        <v>12.9561/77.6434</v>
      </c>
      <c r="H2471" s="1" t="str">
        <f ca="1">IFERROR(__xludf.DUMMYFUNCTION("""COMPUTED_VALUE"""),"Hare Krishna Residency")</f>
        <v>Hare Krishna Residency</v>
      </c>
      <c r="I2471" s="1"/>
      <c r="J2471" s="1" t="str">
        <f ca="1">IFERROR(__xludf.DUMMYFUNCTION("""COMPUTED_VALUE"""),"215d 19h 45m")</f>
        <v>215d 19h 45m</v>
      </c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13.2">
      <c r="A2472" s="1">
        <f ca="1">IFERROR(__xludf.DUMMYFUNCTION("""COMPUTED_VALUE"""),55)</f>
        <v>55</v>
      </c>
      <c r="B2472" s="1" t="str">
        <f ca="1">IFERROR(__xludf.DUMMYFUNCTION("""COMPUTED_VALUE"""),"Wwm_KC2_KA53B3473_Dumptanker")</f>
        <v>Wwm_KC2_KA53B3473_Dumptanker</v>
      </c>
      <c r="C2472" s="1" t="str">
        <f ca="1">IFERROR(__xludf.DUMMYFUNCTION("""COMPUTED_VALUE"""),"wwm_kc2_ka53b3473_dumptanker")</f>
        <v>wwm_kc2_ka53b3473_dumptanker</v>
      </c>
      <c r="D2472" s="2">
        <f ca="1">IFERROR(__xludf.DUMMYFUNCTION("""COMPUTED_VALUE"""),44701)</f>
        <v>44701</v>
      </c>
      <c r="E2472" s="3">
        <f ca="1">IFERROR(__xludf.DUMMYFUNCTION("""COMPUTED_VALUE"""),0.615254629628907)</f>
        <v>0.61525462962890698</v>
      </c>
      <c r="F2472" s="1">
        <f ca="1">IFERROR(__xludf.DUMMYFUNCTION("""COMPUTED_VALUE"""),3327)</f>
        <v>3327</v>
      </c>
      <c r="G2472" s="1" t="str">
        <f ca="1">IFERROR(__xludf.DUMMYFUNCTION("""COMPUTED_VALUE"""),"12.9561/77.6434")</f>
        <v>12.9561/77.6434</v>
      </c>
      <c r="H2472" s="1" t="str">
        <f ca="1">IFERROR(__xludf.DUMMYFUNCTION("""COMPUTED_VALUE"""),"Hare Krishna Residency")</f>
        <v>Hare Krishna Residency</v>
      </c>
      <c r="I2472" s="1"/>
      <c r="J2472" s="1" t="str">
        <f ca="1">IFERROR(__xludf.DUMMYFUNCTION("""COMPUTED_VALUE"""),"215d 19h 46m")</f>
        <v>215d 19h 46m</v>
      </c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13.2">
      <c r="A2473" s="1">
        <f ca="1">IFERROR(__xludf.DUMMYFUNCTION("""COMPUTED_VALUE"""),50)</f>
        <v>50</v>
      </c>
      <c r="B2473" s="1" t="str">
        <f ca="1">IFERROR(__xludf.DUMMYFUNCTION("""COMPUTED_VALUE"""),"Wwm_KC2_KA53B3473_Dumptanker")</f>
        <v>Wwm_KC2_KA53B3473_Dumptanker</v>
      </c>
      <c r="C2473" s="1" t="str">
        <f ca="1">IFERROR(__xludf.DUMMYFUNCTION("""COMPUTED_VALUE"""),"wwm_kc2_ka53b3473_dumptanker")</f>
        <v>wwm_kc2_ka53b3473_dumptanker</v>
      </c>
      <c r="D2473" s="2">
        <f ca="1">IFERROR(__xludf.DUMMYFUNCTION("""COMPUTED_VALUE"""),44701)</f>
        <v>44701</v>
      </c>
      <c r="E2473" s="3">
        <f ca="1">IFERROR(__xludf.DUMMYFUNCTION("""COMPUTED_VALUE"""),0.615254629628907)</f>
        <v>0.61525462962890698</v>
      </c>
      <c r="F2473" s="1">
        <f ca="1">IFERROR(__xludf.DUMMYFUNCTION("""COMPUTED_VALUE"""),3327)</f>
        <v>3327</v>
      </c>
      <c r="G2473" s="1" t="str">
        <f ca="1">IFERROR(__xludf.DUMMYFUNCTION("""COMPUTED_VALUE"""),"12.9561/77.6434")</f>
        <v>12.9561/77.6434</v>
      </c>
      <c r="H2473" s="1" t="str">
        <f ca="1">IFERROR(__xludf.DUMMYFUNCTION("""COMPUTED_VALUE"""),"Hare Krishna Residency")</f>
        <v>Hare Krishna Residency</v>
      </c>
      <c r="I2473" s="1"/>
      <c r="J2473" s="1" t="str">
        <f ca="1">IFERROR(__xludf.DUMMYFUNCTION("""COMPUTED_VALUE"""),"215d 19h 46m")</f>
        <v>215d 19h 46m</v>
      </c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13.2">
      <c r="A2474" s="1">
        <f ca="1">IFERROR(__xludf.DUMMYFUNCTION("""COMPUTED_VALUE"""),49)</f>
        <v>49</v>
      </c>
      <c r="B2474" s="1" t="str">
        <f ca="1">IFERROR(__xludf.DUMMYFUNCTION("""COMPUTED_VALUE"""),"Wwm_KC2_KA53B3473_Dumptanker")</f>
        <v>Wwm_KC2_KA53B3473_Dumptanker</v>
      </c>
      <c r="C2474" s="1" t="str">
        <f ca="1">IFERROR(__xludf.DUMMYFUNCTION("""COMPUTED_VALUE"""),"wwm_kc2_ka53b3473_dumptanker")</f>
        <v>wwm_kc2_ka53b3473_dumptanker</v>
      </c>
      <c r="D2474" s="2">
        <f ca="1">IFERROR(__xludf.DUMMYFUNCTION("""COMPUTED_VALUE"""),44701)</f>
        <v>44701</v>
      </c>
      <c r="E2474" s="3">
        <f ca="1">IFERROR(__xludf.DUMMYFUNCTION("""COMPUTED_VALUE"""),0.615254629628907)</f>
        <v>0.61525462962890698</v>
      </c>
      <c r="F2474" s="1">
        <f ca="1">IFERROR(__xludf.DUMMYFUNCTION("""COMPUTED_VALUE"""),3327)</f>
        <v>3327</v>
      </c>
      <c r="G2474" s="1" t="str">
        <f ca="1">IFERROR(__xludf.DUMMYFUNCTION("""COMPUTED_VALUE"""),"12.9561/77.6434")</f>
        <v>12.9561/77.6434</v>
      </c>
      <c r="H2474" s="1" t="str">
        <f ca="1">IFERROR(__xludf.DUMMYFUNCTION("""COMPUTED_VALUE"""),"Hare Krishna Residency")</f>
        <v>Hare Krishna Residency</v>
      </c>
      <c r="I2474" s="1"/>
      <c r="J2474" s="1" t="str">
        <f ca="1">IFERROR(__xludf.DUMMYFUNCTION("""COMPUTED_VALUE"""),"215d 19h 47m")</f>
        <v>215d 19h 47m</v>
      </c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13.2">
      <c r="A2475" s="1">
        <f ca="1">IFERROR(__xludf.DUMMYFUNCTION("""COMPUTED_VALUE"""),45)</f>
        <v>45</v>
      </c>
      <c r="B2475" s="1" t="str">
        <f ca="1">IFERROR(__xludf.DUMMYFUNCTION("""COMPUTED_VALUE"""),"Wwm_KC2_KA53B3473_Dumptanker")</f>
        <v>Wwm_KC2_KA53B3473_Dumptanker</v>
      </c>
      <c r="C2475" s="1" t="str">
        <f ca="1">IFERROR(__xludf.DUMMYFUNCTION("""COMPUTED_VALUE"""),"wwm_kc2_ka53b3473_dumptanker")</f>
        <v>wwm_kc2_ka53b3473_dumptanker</v>
      </c>
      <c r="D2475" s="2">
        <f ca="1">IFERROR(__xludf.DUMMYFUNCTION("""COMPUTED_VALUE"""),44701)</f>
        <v>44701</v>
      </c>
      <c r="E2475" s="3">
        <f ca="1">IFERROR(__xludf.DUMMYFUNCTION("""COMPUTED_VALUE"""),0.615254629628907)</f>
        <v>0.61525462962890698</v>
      </c>
      <c r="F2475" s="1">
        <f ca="1">IFERROR(__xludf.DUMMYFUNCTION("""COMPUTED_VALUE"""),3327)</f>
        <v>3327</v>
      </c>
      <c r="G2475" s="1" t="str">
        <f ca="1">IFERROR(__xludf.DUMMYFUNCTION("""COMPUTED_VALUE"""),"12.9561/77.6434")</f>
        <v>12.9561/77.6434</v>
      </c>
      <c r="H2475" s="1" t="str">
        <f ca="1">IFERROR(__xludf.DUMMYFUNCTION("""COMPUTED_VALUE"""),"Hare Krishna Residency")</f>
        <v>Hare Krishna Residency</v>
      </c>
      <c r="I2475" s="1"/>
      <c r="J2475" s="1" t="str">
        <f ca="1">IFERROR(__xludf.DUMMYFUNCTION("""COMPUTED_VALUE"""),"215d 19h 48m")</f>
        <v>215d 19h 48m</v>
      </c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13.2">
      <c r="A2476" s="1">
        <f ca="1">IFERROR(__xludf.DUMMYFUNCTION("""COMPUTED_VALUE"""),45)</f>
        <v>45</v>
      </c>
      <c r="B2476" s="1" t="str">
        <f ca="1">IFERROR(__xludf.DUMMYFUNCTION("""COMPUTED_VALUE"""),"Wwm_KC2_KA53B3473_Dumptanker")</f>
        <v>Wwm_KC2_KA53B3473_Dumptanker</v>
      </c>
      <c r="C2476" s="1" t="str">
        <f ca="1">IFERROR(__xludf.DUMMYFUNCTION("""COMPUTED_VALUE"""),"wwm_kc2_ka53b3473_dumptanker")</f>
        <v>wwm_kc2_ka53b3473_dumptanker</v>
      </c>
      <c r="D2476" s="2">
        <f ca="1">IFERROR(__xludf.DUMMYFUNCTION("""COMPUTED_VALUE"""),44701)</f>
        <v>44701</v>
      </c>
      <c r="E2476" s="3">
        <f ca="1">IFERROR(__xludf.DUMMYFUNCTION("""COMPUTED_VALUE"""),0.615254629628907)</f>
        <v>0.61525462962890698</v>
      </c>
      <c r="F2476" s="1">
        <f ca="1">IFERROR(__xludf.DUMMYFUNCTION("""COMPUTED_VALUE"""),3327)</f>
        <v>3327</v>
      </c>
      <c r="G2476" s="1" t="str">
        <f ca="1">IFERROR(__xludf.DUMMYFUNCTION("""COMPUTED_VALUE"""),"12.9561/77.6434")</f>
        <v>12.9561/77.6434</v>
      </c>
      <c r="H2476" s="1" t="str">
        <f ca="1">IFERROR(__xludf.DUMMYFUNCTION("""COMPUTED_VALUE"""),"Hare Krishna Residency")</f>
        <v>Hare Krishna Residency</v>
      </c>
      <c r="I2476" s="1"/>
      <c r="J2476" s="1" t="str">
        <f ca="1">IFERROR(__xludf.DUMMYFUNCTION("""COMPUTED_VALUE"""),"215d 19h 49m")</f>
        <v>215d 19h 49m</v>
      </c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13.2">
      <c r="A2477" s="1">
        <f ca="1">IFERROR(__xludf.DUMMYFUNCTION("""COMPUTED_VALUE"""),125)</f>
        <v>125</v>
      </c>
      <c r="B2477" s="1" t="str">
        <f ca="1">IFERROR(__xludf.DUMMYFUNCTION("""COMPUTED_VALUE"""),"WWM_KC2_KA53B3473_DUMPTANKER")</f>
        <v>WWM_KC2_KA53B3473_DUMPTANKER</v>
      </c>
      <c r="C2477" s="1" t="str">
        <f ca="1">IFERROR(__xludf.DUMMYFUNCTION("""COMPUTED_VALUE"""),"wwm_kc2_ka53b3473_dumptanker")</f>
        <v>wwm_kc2_ka53b3473_dumptanker</v>
      </c>
      <c r="D2477" s="2">
        <f ca="1">IFERROR(__xludf.DUMMYFUNCTION("""COMPUTED_VALUE"""),44701)</f>
        <v>44701</v>
      </c>
      <c r="E2477" s="3">
        <f ca="1">IFERROR(__xludf.DUMMYFUNCTION("""COMPUTED_VALUE"""),0.615254629628907)</f>
        <v>0.61525462962890698</v>
      </c>
      <c r="F2477" s="1">
        <f ca="1">IFERROR(__xludf.DUMMYFUNCTION("""COMPUTED_VALUE"""),3327)</f>
        <v>3327</v>
      </c>
      <c r="G2477" s="1" t="str">
        <f ca="1">IFERROR(__xludf.DUMMYFUNCTION("""COMPUTED_VALUE"""),"12.9561/77.6434")</f>
        <v>12.9561/77.6434</v>
      </c>
      <c r="H2477" s="1" t="str">
        <f ca="1">IFERROR(__xludf.DUMMYFUNCTION("""COMPUTED_VALUE"""),"Hare Krishna Residency")</f>
        <v>Hare Krishna Residency</v>
      </c>
      <c r="I2477" s="1"/>
      <c r="J2477" s="1" t="str">
        <f ca="1">IFERROR(__xludf.DUMMYFUNCTION("""COMPUTED_VALUE"""),"669d 20h 38m")</f>
        <v>669d 20h 38m</v>
      </c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13.2">
      <c r="A2478" s="1">
        <f ca="1">IFERROR(__xludf.DUMMYFUNCTION("""COMPUTED_VALUE"""),125)</f>
        <v>125</v>
      </c>
      <c r="B2478" s="1" t="str">
        <f ca="1">IFERROR(__xludf.DUMMYFUNCTION("""COMPUTED_VALUE"""),"WWM_KC2_KA53B3473_DUMPTANKER")</f>
        <v>WWM_KC2_KA53B3473_DUMPTANKER</v>
      </c>
      <c r="C2478" s="1" t="str">
        <f ca="1">IFERROR(__xludf.DUMMYFUNCTION("""COMPUTED_VALUE"""),"wwm_kc2_ka53b3473_dumptanker")</f>
        <v>wwm_kc2_ka53b3473_dumptanker</v>
      </c>
      <c r="D2478" s="2">
        <f ca="1">IFERROR(__xludf.DUMMYFUNCTION("""COMPUTED_VALUE"""),44701)</f>
        <v>44701</v>
      </c>
      <c r="E2478" s="3">
        <f ca="1">IFERROR(__xludf.DUMMYFUNCTION("""COMPUTED_VALUE"""),0.615254629628907)</f>
        <v>0.61525462962890698</v>
      </c>
      <c r="F2478" s="1">
        <f ca="1">IFERROR(__xludf.DUMMYFUNCTION("""COMPUTED_VALUE"""),3327)</f>
        <v>3327</v>
      </c>
      <c r="G2478" s="1" t="str">
        <f ca="1">IFERROR(__xludf.DUMMYFUNCTION("""COMPUTED_VALUE"""),"12.9561/77.6434")</f>
        <v>12.9561/77.6434</v>
      </c>
      <c r="H2478" s="1" t="str">
        <f ca="1">IFERROR(__xludf.DUMMYFUNCTION("""COMPUTED_VALUE"""),"Hare Krishna Residency")</f>
        <v>Hare Krishna Residency</v>
      </c>
      <c r="I2478" s="1"/>
      <c r="J2478" s="1" t="str">
        <f ca="1">IFERROR(__xludf.DUMMYFUNCTION("""COMPUTED_VALUE"""),"669d 20h 39m")</f>
        <v>669d 20h 39m</v>
      </c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13.2">
      <c r="A2479" s="1">
        <f ca="1">IFERROR(__xludf.DUMMYFUNCTION("""COMPUTED_VALUE"""),122)</f>
        <v>122</v>
      </c>
      <c r="B2479" s="1" t="str">
        <f ca="1">IFERROR(__xludf.DUMMYFUNCTION("""COMPUTED_VALUE"""),"WWM_KC2_KA53B3473_DUMPTANKER")</f>
        <v>WWM_KC2_KA53B3473_DUMPTANKER</v>
      </c>
      <c r="C2479" s="1" t="str">
        <f ca="1">IFERROR(__xludf.DUMMYFUNCTION("""COMPUTED_VALUE"""),"wwm_kc2_ka53b3473_dumptanker")</f>
        <v>wwm_kc2_ka53b3473_dumptanker</v>
      </c>
      <c r="D2479" s="2">
        <f ca="1">IFERROR(__xludf.DUMMYFUNCTION("""COMPUTED_VALUE"""),44701)</f>
        <v>44701</v>
      </c>
      <c r="E2479" s="3">
        <f ca="1">IFERROR(__xludf.DUMMYFUNCTION("""COMPUTED_VALUE"""),0.615254629628907)</f>
        <v>0.61525462962890698</v>
      </c>
      <c r="F2479" s="1">
        <f ca="1">IFERROR(__xludf.DUMMYFUNCTION("""COMPUTED_VALUE"""),3327)</f>
        <v>3327</v>
      </c>
      <c r="G2479" s="1" t="str">
        <f ca="1">IFERROR(__xludf.DUMMYFUNCTION("""COMPUTED_VALUE"""),"12.9561/77.6434")</f>
        <v>12.9561/77.6434</v>
      </c>
      <c r="H2479" s="1" t="str">
        <f ca="1">IFERROR(__xludf.DUMMYFUNCTION("""COMPUTED_VALUE"""),"Hare Krishna Residency")</f>
        <v>Hare Krishna Residency</v>
      </c>
      <c r="I2479" s="1"/>
      <c r="J2479" s="1" t="str">
        <f ca="1">IFERROR(__xludf.DUMMYFUNCTION("""COMPUTED_VALUE"""),"669d 20h 42m")</f>
        <v>669d 20h 42m</v>
      </c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13.2">
      <c r="A2480" s="1">
        <f ca="1">IFERROR(__xludf.DUMMYFUNCTION("""COMPUTED_VALUE"""),122)</f>
        <v>122</v>
      </c>
      <c r="B2480" s="1" t="str">
        <f ca="1">IFERROR(__xludf.DUMMYFUNCTION("""COMPUTED_VALUE"""),"WWM_KC2_KA53B3473_DUMPTANKER")</f>
        <v>WWM_KC2_KA53B3473_DUMPTANKER</v>
      </c>
      <c r="C2480" s="1" t="str">
        <f ca="1">IFERROR(__xludf.DUMMYFUNCTION("""COMPUTED_VALUE"""),"wwm_kc2_ka53b3473_dumptanker")</f>
        <v>wwm_kc2_ka53b3473_dumptanker</v>
      </c>
      <c r="D2480" s="2">
        <f ca="1">IFERROR(__xludf.DUMMYFUNCTION("""COMPUTED_VALUE"""),44701)</f>
        <v>44701</v>
      </c>
      <c r="E2480" s="3">
        <f ca="1">IFERROR(__xludf.DUMMYFUNCTION("""COMPUTED_VALUE"""),0.615254629628907)</f>
        <v>0.61525462962890698</v>
      </c>
      <c r="F2480" s="1">
        <f ca="1">IFERROR(__xludf.DUMMYFUNCTION("""COMPUTED_VALUE"""),3327)</f>
        <v>3327</v>
      </c>
      <c r="G2480" s="1" t="str">
        <f ca="1">IFERROR(__xludf.DUMMYFUNCTION("""COMPUTED_VALUE"""),"12.9561/77.6434")</f>
        <v>12.9561/77.6434</v>
      </c>
      <c r="H2480" s="1" t="str">
        <f ca="1">IFERROR(__xludf.DUMMYFUNCTION("""COMPUTED_VALUE"""),"Hare Krishna Residency")</f>
        <v>Hare Krishna Residency</v>
      </c>
      <c r="I2480" s="1"/>
      <c r="J2480" s="1" t="str">
        <f ca="1">IFERROR(__xludf.DUMMYFUNCTION("""COMPUTED_VALUE"""),"669d 20h 43m")</f>
        <v>669d 20h 43m</v>
      </c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13.2">
      <c r="A2481" s="1">
        <f ca="1">IFERROR(__xludf.DUMMYFUNCTION("""COMPUTED_VALUE"""),121)</f>
        <v>121</v>
      </c>
      <c r="B2481" s="1" t="str">
        <f ca="1">IFERROR(__xludf.DUMMYFUNCTION("""COMPUTED_VALUE"""),"WWM_KC2_KA53B3473_DUMPTANKER")</f>
        <v>WWM_KC2_KA53B3473_DUMPTANKER</v>
      </c>
      <c r="C2481" s="1" t="str">
        <f ca="1">IFERROR(__xludf.DUMMYFUNCTION("""COMPUTED_VALUE"""),"wwm_kc2_ka53b3473_dumptanker")</f>
        <v>wwm_kc2_ka53b3473_dumptanker</v>
      </c>
      <c r="D2481" s="2">
        <f ca="1">IFERROR(__xludf.DUMMYFUNCTION("""COMPUTED_VALUE"""),44701)</f>
        <v>44701</v>
      </c>
      <c r="E2481" s="3">
        <f ca="1">IFERROR(__xludf.DUMMYFUNCTION("""COMPUTED_VALUE"""),0.615254629628907)</f>
        <v>0.61525462962890698</v>
      </c>
      <c r="F2481" s="1">
        <f ca="1">IFERROR(__xludf.DUMMYFUNCTION("""COMPUTED_VALUE"""),3327)</f>
        <v>3327</v>
      </c>
      <c r="G2481" s="1" t="str">
        <f ca="1">IFERROR(__xludf.DUMMYFUNCTION("""COMPUTED_VALUE"""),"12.9561/77.6434")</f>
        <v>12.9561/77.6434</v>
      </c>
      <c r="H2481" s="1" t="str">
        <f ca="1">IFERROR(__xludf.DUMMYFUNCTION("""COMPUTED_VALUE"""),"Hare Krishna Residency")</f>
        <v>Hare Krishna Residency</v>
      </c>
      <c r="I2481" s="1"/>
      <c r="J2481" s="1" t="str">
        <f ca="1">IFERROR(__xludf.DUMMYFUNCTION("""COMPUTED_VALUE"""),"669d 20h 44m")</f>
        <v>669d 20h 44m</v>
      </c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13.2">
      <c r="A2482" s="1">
        <f ca="1">IFERROR(__xludf.DUMMYFUNCTION("""COMPUTED_VALUE"""),121)</f>
        <v>121</v>
      </c>
      <c r="B2482" s="1" t="str">
        <f ca="1">IFERROR(__xludf.DUMMYFUNCTION("""COMPUTED_VALUE"""),"WWM_KC2_KA53B3473_DUMPTANKER")</f>
        <v>WWM_KC2_KA53B3473_DUMPTANKER</v>
      </c>
      <c r="C2482" s="1" t="str">
        <f ca="1">IFERROR(__xludf.DUMMYFUNCTION("""COMPUTED_VALUE"""),"wwm_kc2_ka53b3473_dumptanker")</f>
        <v>wwm_kc2_ka53b3473_dumptanker</v>
      </c>
      <c r="D2482" s="2">
        <f ca="1">IFERROR(__xludf.DUMMYFUNCTION("""COMPUTED_VALUE"""),44701)</f>
        <v>44701</v>
      </c>
      <c r="E2482" s="3">
        <f ca="1">IFERROR(__xludf.DUMMYFUNCTION("""COMPUTED_VALUE"""),0.615254629628907)</f>
        <v>0.61525462962890698</v>
      </c>
      <c r="F2482" s="1">
        <f ca="1">IFERROR(__xludf.DUMMYFUNCTION("""COMPUTED_VALUE"""),3327)</f>
        <v>3327</v>
      </c>
      <c r="G2482" s="1" t="str">
        <f ca="1">IFERROR(__xludf.DUMMYFUNCTION("""COMPUTED_VALUE"""),"12.9561/77.6434")</f>
        <v>12.9561/77.6434</v>
      </c>
      <c r="H2482" s="1" t="str">
        <f ca="1">IFERROR(__xludf.DUMMYFUNCTION("""COMPUTED_VALUE"""),"Hare Krishna Residency")</f>
        <v>Hare Krishna Residency</v>
      </c>
      <c r="I2482" s="1"/>
      <c r="J2482" s="1" t="str">
        <f ca="1">IFERROR(__xludf.DUMMYFUNCTION("""COMPUTED_VALUE"""),"669d 20h 45m")</f>
        <v>669d 20h 45m</v>
      </c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13.2">
      <c r="A2483" s="1">
        <f ca="1">IFERROR(__xludf.DUMMYFUNCTION("""COMPUTED_VALUE"""),121)</f>
        <v>121</v>
      </c>
      <c r="B2483" s="1" t="str">
        <f ca="1">IFERROR(__xludf.DUMMYFUNCTION("""COMPUTED_VALUE"""),"WWM_KC2_KA53B3473_DUMPTANKER")</f>
        <v>WWM_KC2_KA53B3473_DUMPTANKER</v>
      </c>
      <c r="C2483" s="1" t="str">
        <f ca="1">IFERROR(__xludf.DUMMYFUNCTION("""COMPUTED_VALUE"""),"wwm_kc2_ka53b3473_dumptanker")</f>
        <v>wwm_kc2_ka53b3473_dumptanker</v>
      </c>
      <c r="D2483" s="2">
        <f ca="1">IFERROR(__xludf.DUMMYFUNCTION("""COMPUTED_VALUE"""),44701)</f>
        <v>44701</v>
      </c>
      <c r="E2483" s="3">
        <f ca="1">IFERROR(__xludf.DUMMYFUNCTION("""COMPUTED_VALUE"""),0.615254629628907)</f>
        <v>0.61525462962890698</v>
      </c>
      <c r="F2483" s="1">
        <f ca="1">IFERROR(__xludf.DUMMYFUNCTION("""COMPUTED_VALUE"""),3327)</f>
        <v>3327</v>
      </c>
      <c r="G2483" s="1" t="str">
        <f ca="1">IFERROR(__xludf.DUMMYFUNCTION("""COMPUTED_VALUE"""),"12.9561/77.6434")</f>
        <v>12.9561/77.6434</v>
      </c>
      <c r="H2483" s="1" t="str">
        <f ca="1">IFERROR(__xludf.DUMMYFUNCTION("""COMPUTED_VALUE"""),"Hare Krishna Residency")</f>
        <v>Hare Krishna Residency</v>
      </c>
      <c r="I2483" s="1"/>
      <c r="J2483" s="1" t="str">
        <f ca="1">IFERROR(__xludf.DUMMYFUNCTION("""COMPUTED_VALUE"""),"669d 20h 46m")</f>
        <v>669d 20h 46m</v>
      </c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13.2">
      <c r="A2484" s="1">
        <f ca="1">IFERROR(__xludf.DUMMYFUNCTION("""COMPUTED_VALUE"""),89)</f>
        <v>89</v>
      </c>
      <c r="B2484" s="1" t="str">
        <f ca="1">IFERROR(__xludf.DUMMYFUNCTION("""COMPUTED_VALUE"""),"WWM_VV-1_KA53b3465_Jetting")</f>
        <v>WWM_VV-1_KA53b3465_Jetting</v>
      </c>
      <c r="C2484" s="1" t="str">
        <f ca="1">IFERROR(__xludf.DUMMYFUNCTION("""COMPUTED_VALUE"""),"wwm_vv1_ka53b3465_jetting")</f>
        <v>wwm_vv1_ka53b3465_jetting</v>
      </c>
      <c r="D2484" s="2">
        <f ca="1">IFERROR(__xludf.DUMMYFUNCTION("""COMPUTED_VALUE"""),44701)</f>
        <v>44701</v>
      </c>
      <c r="E2484" s="3">
        <f ca="1">IFERROR(__xludf.DUMMYFUNCTION("""COMPUTED_VALUE"""),0.415462962962919)</f>
        <v>0.41546296296291901</v>
      </c>
      <c r="F2484" s="1">
        <f ca="1">IFERROR(__xludf.DUMMYFUNCTION("""COMPUTED_VALUE"""),29391)</f>
        <v>29391</v>
      </c>
      <c r="G2484" s="1" t="str">
        <f ca="1">IFERROR(__xludf.DUMMYFUNCTION("""COMPUTED_VALUE"""),"12.9559/77.5293")</f>
        <v>12.9559/77.5293</v>
      </c>
      <c r="H2484" s="1" t="str">
        <f ca="1">IFERROR(__xludf.DUMMYFUNCTION("""COMPUTED_VALUE"""),"B.C.C Layout")</f>
        <v>B.C.C Layout</v>
      </c>
      <c r="I2484" s="1"/>
      <c r="J2484" s="1" t="str">
        <f ca="1">IFERROR(__xludf.DUMMYFUNCTION("""COMPUTED_VALUE"""),"0d 19h 21m")</f>
        <v>0d 19h 21m</v>
      </c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13.2">
      <c r="A2485" s="1">
        <f ca="1">IFERROR(__xludf.DUMMYFUNCTION("""COMPUTED_VALUE"""),64)</f>
        <v>64</v>
      </c>
      <c r="B2485" s="1" t="str">
        <f ca="1">IFERROR(__xludf.DUMMYFUNCTION("""COMPUTED_VALUE"""),"WWM_VV-1_KA53b3465_Jetting")</f>
        <v>WWM_VV-1_KA53b3465_Jetting</v>
      </c>
      <c r="C2485" s="1" t="str">
        <f ca="1">IFERROR(__xludf.DUMMYFUNCTION("""COMPUTED_VALUE"""),"wwm_vv1_ka53b3465_jetting")</f>
        <v>wwm_vv1_ka53b3465_jetting</v>
      </c>
      <c r="D2485" s="2">
        <f ca="1">IFERROR(__xludf.DUMMYFUNCTION("""COMPUTED_VALUE"""),44711)</f>
        <v>44711</v>
      </c>
      <c r="E2485" s="3">
        <f ca="1">IFERROR(__xludf.DUMMYFUNCTION("""COMPUTED_VALUE"""),0.407870370370801)</f>
        <v>0.40787037037080098</v>
      </c>
      <c r="F2485" s="1">
        <f ca="1">IFERROR(__xludf.DUMMYFUNCTION("""COMPUTED_VALUE"""),29394)</f>
        <v>29394</v>
      </c>
      <c r="G2485" s="1" t="str">
        <f ca="1">IFERROR(__xludf.DUMMYFUNCTION("""COMPUTED_VALUE"""),"12.9295/77.5143")</f>
        <v>12.9295/77.5143</v>
      </c>
      <c r="H2485" s="1" t="str">
        <f ca="1">IFERROR(__xludf.DUMMYFUNCTION("""COMPUTED_VALUE"""),"Kenchenahalli")</f>
        <v>Kenchenahalli</v>
      </c>
      <c r="I2485" s="1"/>
      <c r="J2485" s="1" t="str">
        <f ca="1">IFERROR(__xludf.DUMMYFUNCTION("""COMPUTED_VALUE"""),"0d 19h 23m")</f>
        <v>0d 19h 23m</v>
      </c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13.2">
      <c r="A2486" s="1">
        <f ca="1">IFERROR(__xludf.DUMMYFUNCTION("""COMPUTED_VALUE"""),99)</f>
        <v>99</v>
      </c>
      <c r="B2486" s="1" t="str">
        <f ca="1">IFERROR(__xludf.DUMMYFUNCTION("""COMPUTED_VALUE"""),"WWM_VV-1_KA53b3465_Jetting")</f>
        <v>WWM_VV-1_KA53b3465_Jetting</v>
      </c>
      <c r="C2486" s="1" t="str">
        <f ca="1">IFERROR(__xludf.DUMMYFUNCTION("""COMPUTED_VALUE"""),"wwm_vv1_ka53b3465_jetting")</f>
        <v>wwm_vv1_ka53b3465_jetting</v>
      </c>
      <c r="D2486" s="2">
        <f ca="1">IFERROR(__xludf.DUMMYFUNCTION("""COMPUTED_VALUE"""),44757)</f>
        <v>44757</v>
      </c>
      <c r="E2486" s="3">
        <f ca="1">IFERROR(__xludf.DUMMYFUNCTION("""COMPUTED_VALUE"""),0.720902777778974)</f>
        <v>0.72090277777897405</v>
      </c>
      <c r="F2486" s="1">
        <f ca="1">IFERROR(__xludf.DUMMYFUNCTION("""COMPUTED_VALUE"""),29398)</f>
        <v>29398</v>
      </c>
      <c r="G2486" s="1" t="str">
        <f ca="1">IFERROR(__xludf.DUMMYFUNCTION("""COMPUTED_VALUE"""),"12.9577/77.4997")</f>
        <v>12.9577/77.4997</v>
      </c>
      <c r="H2486" s="1" t="str">
        <f ca="1">IFERROR(__xludf.DUMMYFUNCTION("""COMPUTED_VALUE"""),"lakshmi nivasa")</f>
        <v>lakshmi nivasa</v>
      </c>
      <c r="I2486" s="1"/>
      <c r="J2486" s="1" t="str">
        <f ca="1">IFERROR(__xludf.DUMMYFUNCTION("""COMPUTED_VALUE"""),"0d 19h 23m")</f>
        <v>0d 19h 23m</v>
      </c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13.2">
      <c r="A2487" s="1">
        <f ca="1">IFERROR(__xludf.DUMMYFUNCTION("""COMPUTED_VALUE"""),77)</f>
        <v>77</v>
      </c>
      <c r="B2487" s="1" t="str">
        <f ca="1">IFERROR(__xludf.DUMMYFUNCTION("""COMPUTED_VALUE"""),"WWM_VV-1_KA53b3465_Jetting")</f>
        <v>WWM_VV-1_KA53b3465_Jetting</v>
      </c>
      <c r="C2487" s="1" t="str">
        <f ca="1">IFERROR(__xludf.DUMMYFUNCTION("""COMPUTED_VALUE"""),"wwm_vv1_ka53b3465_jetting")</f>
        <v>wwm_vv1_ka53b3465_jetting</v>
      </c>
      <c r="D2487" s="2">
        <f ca="1">IFERROR(__xludf.DUMMYFUNCTION("""COMPUTED_VALUE"""),44757)</f>
        <v>44757</v>
      </c>
      <c r="E2487" s="3">
        <f ca="1">IFERROR(__xludf.DUMMYFUNCTION("""COMPUTED_VALUE"""),0.720902777778974)</f>
        <v>0.72090277777897405</v>
      </c>
      <c r="F2487" s="1">
        <f ca="1">IFERROR(__xludf.DUMMYFUNCTION("""COMPUTED_VALUE"""),29398)</f>
        <v>29398</v>
      </c>
      <c r="G2487" s="1" t="str">
        <f ca="1">IFERROR(__xludf.DUMMYFUNCTION("""COMPUTED_VALUE"""),"12.9577/77.4997")</f>
        <v>12.9577/77.4997</v>
      </c>
      <c r="H2487" s="1" t="str">
        <f ca="1">IFERROR(__xludf.DUMMYFUNCTION("""COMPUTED_VALUE"""),"lakshmi nivasa")</f>
        <v>lakshmi nivasa</v>
      </c>
      <c r="I2487" s="1"/>
      <c r="J2487" s="1" t="str">
        <f ca="1">IFERROR(__xludf.DUMMYFUNCTION("""COMPUTED_VALUE"""),"0d 19h 24m")</f>
        <v>0d 19h 24m</v>
      </c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13.2">
      <c r="A2488" s="1">
        <f ca="1">IFERROR(__xludf.DUMMYFUNCTION("""COMPUTED_VALUE"""),110)</f>
        <v>110</v>
      </c>
      <c r="B2488" s="1" t="str">
        <f ca="1">IFERROR(__xludf.DUMMYFUNCTION("""COMPUTED_VALUE"""),"WWM_VV-1_KA53b3465_Jetting")</f>
        <v>WWM_VV-1_KA53b3465_Jetting</v>
      </c>
      <c r="C2488" s="1" t="str">
        <f ca="1">IFERROR(__xludf.DUMMYFUNCTION("""COMPUTED_VALUE"""),"wwm_vv1_ka53b3465_jetting")</f>
        <v>wwm_vv1_ka53b3465_jetting</v>
      </c>
      <c r="D2488" s="2">
        <f ca="1">IFERROR(__xludf.DUMMYFUNCTION("""COMPUTED_VALUE"""),44824)</f>
        <v>44824</v>
      </c>
      <c r="E2488" s="3">
        <f ca="1">IFERROR(__xludf.DUMMYFUNCTION("""COMPUTED_VALUE"""),0.691932870369782)</f>
        <v>0.69193287036978202</v>
      </c>
      <c r="F2488" s="1">
        <f ca="1">IFERROR(__xludf.DUMMYFUNCTION("""COMPUTED_VALUE"""),29406)</f>
        <v>29406</v>
      </c>
      <c r="G2488" s="1" t="str">
        <f ca="1">IFERROR(__xludf.DUMMYFUNCTION("""COMPUTED_VALUE"""),"12.9545/77.5442")</f>
        <v>12.9545/77.5442</v>
      </c>
      <c r="H2488" s="1" t="str">
        <f ca="1">IFERROR(__xludf.DUMMYFUNCTION("""COMPUTED_VALUE"""),"BabujiNagar")</f>
        <v>BabujiNagar</v>
      </c>
      <c r="I2488" s="1"/>
      <c r="J2488" s="1" t="str">
        <f ca="1">IFERROR(__xludf.DUMMYFUNCTION("""COMPUTED_VALUE"""),"0d 19h 25m")</f>
        <v>0d 19h 25m</v>
      </c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13.2">
      <c r="A2489" s="1">
        <f ca="1">IFERROR(__xludf.DUMMYFUNCTION("""COMPUTED_VALUE"""),124)</f>
        <v>124</v>
      </c>
      <c r="B2489" s="1" t="str">
        <f ca="1">IFERROR(__xludf.DUMMYFUNCTION("""COMPUTED_VALUE"""),"WWM_VV-1_KA53b3465_Jetting")</f>
        <v>WWM_VV-1_KA53b3465_Jetting</v>
      </c>
      <c r="C2489" s="1" t="str">
        <f ca="1">IFERROR(__xludf.DUMMYFUNCTION("""COMPUTED_VALUE"""),"wwm_vv1_ka53b3465_jetting")</f>
        <v>wwm_vv1_ka53b3465_jetting</v>
      </c>
      <c r="D2489" s="2">
        <f ca="1">IFERROR(__xludf.DUMMYFUNCTION("""COMPUTED_VALUE"""),44860)</f>
        <v>44860</v>
      </c>
      <c r="E2489" s="3">
        <f ca="1">IFERROR(__xludf.DUMMYFUNCTION("""COMPUTED_VALUE"""),0.448240740741312)</f>
        <v>0.44824074074131198</v>
      </c>
      <c r="F2489" s="1">
        <f ca="1">IFERROR(__xludf.DUMMYFUNCTION("""COMPUTED_VALUE"""),29589)</f>
        <v>29589</v>
      </c>
      <c r="G2489" s="1" t="str">
        <f ca="1">IFERROR(__xludf.DUMMYFUNCTION("""COMPUTED_VALUE"""),"12.9378/77.5216")</f>
        <v>12.9378/77.5216</v>
      </c>
      <c r="H2489" s="1" t="str">
        <f ca="1">IFERROR(__xludf.DUMMYFUNCTION("""COMPUTED_VALUE"""),"Nayandanahalli")</f>
        <v>Nayandanahalli</v>
      </c>
      <c r="I2489" s="1"/>
      <c r="J2489" s="1" t="str">
        <f ca="1">IFERROR(__xludf.DUMMYFUNCTION("""COMPUTED_VALUE"""),"0d 19h 26m")</f>
        <v>0d 19h 26m</v>
      </c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13.2">
      <c r="A2490" s="1">
        <f ca="1">IFERROR(__xludf.DUMMYFUNCTION("""COMPUTED_VALUE"""),97)</f>
        <v>97</v>
      </c>
      <c r="B2490" s="1" t="str">
        <f ca="1">IFERROR(__xludf.DUMMYFUNCTION("""COMPUTED_VALUE"""),"WWM_VV-2_KA4AB5933_Recycler")</f>
        <v>WWM_VV-2_KA4AB5933_Recycler</v>
      </c>
      <c r="C2490" s="1" t="str">
        <f ca="1">IFERROR(__xludf.DUMMYFUNCTION("""COMPUTED_VALUE"""),"wwm_vv2_ka4ab5933_recycler")</f>
        <v>wwm_vv2_ka4ab5933_recycler</v>
      </c>
      <c r="D2490" s="2">
        <f ca="1">IFERROR(__xludf.DUMMYFUNCTION("""COMPUTED_VALUE"""),44702)</f>
        <v>44702</v>
      </c>
      <c r="E2490" s="3">
        <f ca="1">IFERROR(__xludf.DUMMYFUNCTION("""COMPUTED_VALUE"""),0.740381944444379)</f>
        <v>0.74038194444437899</v>
      </c>
      <c r="F2490" s="1">
        <f ca="1">IFERROR(__xludf.DUMMYFUNCTION("""COMPUTED_VALUE"""),1609344)</f>
        <v>1609344</v>
      </c>
      <c r="G2490" s="1" t="str">
        <f ca="1">IFERROR(__xludf.DUMMYFUNCTION("""COMPUTED_VALUE"""),"12.9367/77.5211")</f>
        <v>12.9367/77.5211</v>
      </c>
      <c r="H2490" s="1" t="str">
        <f ca="1">IFERROR(__xludf.DUMMYFUNCTION("""COMPUTED_VALUE"""),"Nayandanahalli")</f>
        <v>Nayandanahalli</v>
      </c>
      <c r="I2490" s="1"/>
      <c r="J2490" s="1" t="str">
        <f ca="1">IFERROR(__xludf.DUMMYFUNCTION("""COMPUTED_VALUE"""),"131d 12h 13m")</f>
        <v>131d 12h 13m</v>
      </c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13.2">
      <c r="A2491" s="1">
        <f ca="1">IFERROR(__xludf.DUMMYFUNCTION("""COMPUTED_VALUE"""),74)</f>
        <v>74</v>
      </c>
      <c r="B2491" s="1" t="str">
        <f ca="1">IFERROR(__xludf.DUMMYFUNCTION("""COMPUTED_VALUE"""),"WWM_VV-2_KA4AB5933_Recycler")</f>
        <v>WWM_VV-2_KA4AB5933_Recycler</v>
      </c>
      <c r="C2491" s="1" t="str">
        <f ca="1">IFERROR(__xludf.DUMMYFUNCTION("""COMPUTED_VALUE"""),"wwm_vv2_ka4ab5933_recycler")</f>
        <v>wwm_vv2_ka4ab5933_recycler</v>
      </c>
      <c r="D2491" s="2">
        <f ca="1">IFERROR(__xludf.DUMMYFUNCTION("""COMPUTED_VALUE"""),44720)</f>
        <v>44720</v>
      </c>
      <c r="E2491" s="3">
        <f ca="1">IFERROR(__xludf.DUMMYFUNCTION("""COMPUTED_VALUE"""),0.400636574075178)</f>
        <v>0.400636574075178</v>
      </c>
      <c r="F2491" s="1">
        <f ca="1">IFERROR(__xludf.DUMMYFUNCTION("""COMPUTED_VALUE"""),1609344)</f>
        <v>1609344</v>
      </c>
      <c r="G2491" s="1" t="str">
        <f ca="1">IFERROR(__xludf.DUMMYFUNCTION("""COMPUTED_VALUE"""),"12.9370/77.5212")</f>
        <v>12.9370/77.5212</v>
      </c>
      <c r="H2491" s="1" t="str">
        <f ca="1">IFERROR(__xludf.DUMMYFUNCTION("""COMPUTED_VALUE"""),"Nayandanahalli")</f>
        <v>Nayandanahalli</v>
      </c>
      <c r="I2491" s="1"/>
      <c r="J2491" s="1" t="str">
        <f ca="1">IFERROR(__xludf.DUMMYFUNCTION("""COMPUTED_VALUE"""),"131d 12h 14m")</f>
        <v>131d 12h 14m</v>
      </c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13.2">
      <c r="A2492" s="1">
        <f ca="1">IFERROR(__xludf.DUMMYFUNCTION("""COMPUTED_VALUE"""),219)</f>
        <v>219</v>
      </c>
      <c r="B2492" s="1" t="str">
        <f ca="1">IFERROR(__xludf.DUMMYFUNCTION("""COMPUTED_VALUE"""),"WWM_VV-2_KA4AB5933_Recycler")</f>
        <v>WWM_VV-2_KA4AB5933_Recycler</v>
      </c>
      <c r="C2492" s="1" t="str">
        <f ca="1">IFERROR(__xludf.DUMMYFUNCTION("""COMPUTED_VALUE"""),"wwm_vv2_ka4ab5933_recycler")</f>
        <v>wwm_vv2_ka4ab5933_recycler</v>
      </c>
      <c r="D2492" s="2">
        <f ca="1">IFERROR(__xludf.DUMMYFUNCTION("""COMPUTED_VALUE"""),44768)</f>
        <v>44768</v>
      </c>
      <c r="E2492" s="3">
        <f ca="1">IFERROR(__xludf.DUMMYFUNCTION("""COMPUTED_VALUE"""),0.999236111110803)</f>
        <v>0.99923611111080302</v>
      </c>
      <c r="F2492" s="1">
        <f ca="1">IFERROR(__xludf.DUMMYFUNCTION("""COMPUTED_VALUE"""),1609386)</f>
        <v>1609386</v>
      </c>
      <c r="G2492" s="1" t="str">
        <f ca="1">IFERROR(__xludf.DUMMYFUNCTION("""COMPUTED_VALUE"""),"13.2125/77.2581")</f>
        <v>13.2125/77.2581</v>
      </c>
      <c r="H2492" s="1" t="str">
        <f ca="1">IFERROR(__xludf.DUMMYFUNCTION("""COMPUTED_VALUE"""),"Yadehalli")</f>
        <v>Yadehalli</v>
      </c>
      <c r="I2492" s="1"/>
      <c r="J2492" s="1" t="str">
        <f ca="1">IFERROR(__xludf.DUMMYFUNCTION("""COMPUTED_VALUE"""),"131d 12h 15m")</f>
        <v>131d 12h 15m</v>
      </c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13.2">
      <c r="A2493" s="1">
        <f ca="1">IFERROR(__xludf.DUMMYFUNCTION("""COMPUTED_VALUE"""),110)</f>
        <v>110</v>
      </c>
      <c r="B2493" s="1" t="str">
        <f ca="1">IFERROR(__xludf.DUMMYFUNCTION("""COMPUTED_VALUE"""),"WWM_VV-2_KA4AB5933_Recycler")</f>
        <v>WWM_VV-2_KA4AB5933_Recycler</v>
      </c>
      <c r="C2493" s="1" t="str">
        <f ca="1">IFERROR(__xludf.DUMMYFUNCTION("""COMPUTED_VALUE"""),"wwm_vv2_ka4ab5933_recycler")</f>
        <v>wwm_vv2_ka4ab5933_recycler</v>
      </c>
      <c r="D2493" s="2">
        <f ca="1">IFERROR(__xludf.DUMMYFUNCTION("""COMPUTED_VALUE"""),44785)</f>
        <v>44785</v>
      </c>
      <c r="E2493" s="3">
        <f ca="1">IFERROR(__xludf.DUMMYFUNCTION("""COMPUTED_VALUE"""),0.928611111110512)</f>
        <v>0.92861111111051198</v>
      </c>
      <c r="F2493" s="1">
        <f ca="1">IFERROR(__xludf.DUMMYFUNCTION("""COMPUTED_VALUE"""),1611035)</f>
        <v>1611035</v>
      </c>
      <c r="G2493" s="1" t="str">
        <f ca="1">IFERROR(__xludf.DUMMYFUNCTION("""COMPUTED_VALUE"""),"28.1324/76.8778")</f>
        <v>28.1324/76.8778</v>
      </c>
      <c r="H2493" s="1" t="str">
        <f ca="1">IFERROR(__xludf.DUMMYFUNCTION("""COMPUTED_VALUE"""),"Fakharuddinaka")</f>
        <v>Fakharuddinaka</v>
      </c>
      <c r="I2493" s="1"/>
      <c r="J2493" s="1" t="str">
        <f ca="1">IFERROR(__xludf.DUMMYFUNCTION("""COMPUTED_VALUE"""),"131d 12h 16m")</f>
        <v>131d 12h 16m</v>
      </c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13.2">
      <c r="A2494" s="1">
        <f ca="1">IFERROR(__xludf.DUMMYFUNCTION("""COMPUTED_VALUE"""),71)</f>
        <v>71</v>
      </c>
      <c r="B2494" s="1" t="str">
        <f ca="1">IFERROR(__xludf.DUMMYFUNCTION("""COMPUTED_VALUE"""),"WWM_VV-2_KA4AB5933_Recycler")</f>
        <v>WWM_VV-2_KA4AB5933_Recycler</v>
      </c>
      <c r="C2494" s="1" t="str">
        <f ca="1">IFERROR(__xludf.DUMMYFUNCTION("""COMPUTED_VALUE"""),"wwm_vv2_ka4ab5933_recycler")</f>
        <v>wwm_vv2_ka4ab5933_recycler</v>
      </c>
      <c r="D2494" s="2">
        <f ca="1">IFERROR(__xludf.DUMMYFUNCTION("""COMPUTED_VALUE"""),44785)</f>
        <v>44785</v>
      </c>
      <c r="E2494" s="3">
        <f ca="1">IFERROR(__xludf.DUMMYFUNCTION("""COMPUTED_VALUE"""),0.928611111110512)</f>
        <v>0.92861111111051198</v>
      </c>
      <c r="F2494" s="1">
        <f ca="1">IFERROR(__xludf.DUMMYFUNCTION("""COMPUTED_VALUE"""),1611035)</f>
        <v>1611035</v>
      </c>
      <c r="G2494" s="1" t="str">
        <f ca="1">IFERROR(__xludf.DUMMYFUNCTION("""COMPUTED_VALUE"""),"28.1324/76.8778")</f>
        <v>28.1324/76.8778</v>
      </c>
      <c r="H2494" s="1" t="str">
        <f ca="1">IFERROR(__xludf.DUMMYFUNCTION("""COMPUTED_VALUE"""),"Fakharuddinaka")</f>
        <v>Fakharuddinaka</v>
      </c>
      <c r="I2494" s="1"/>
      <c r="J2494" s="1" t="str">
        <f ca="1">IFERROR(__xludf.DUMMYFUNCTION("""COMPUTED_VALUE"""),"131d 12h 17m")</f>
        <v>131d 12h 17m</v>
      </c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13.2">
      <c r="A2495" s="1">
        <f ca="1">IFERROR(__xludf.DUMMYFUNCTION("""COMPUTED_VALUE"""),56)</f>
        <v>56</v>
      </c>
      <c r="B2495" s="1" t="str">
        <f ca="1">IFERROR(__xludf.DUMMYFUNCTION("""COMPUTED_VALUE"""),"WWM_VV-2_KA4AB5933_Recycler")</f>
        <v>WWM_VV-2_KA4AB5933_Recycler</v>
      </c>
      <c r="C2495" s="1" t="str">
        <f ca="1">IFERROR(__xludf.DUMMYFUNCTION("""COMPUTED_VALUE"""),"wwm_vv2_ka4ab5933_recycler")</f>
        <v>wwm_vv2_ka4ab5933_recycler</v>
      </c>
      <c r="D2495" s="2">
        <f ca="1">IFERROR(__xludf.DUMMYFUNCTION("""COMPUTED_VALUE"""),44785)</f>
        <v>44785</v>
      </c>
      <c r="E2495" s="3">
        <f ca="1">IFERROR(__xludf.DUMMYFUNCTION("""COMPUTED_VALUE"""),0.928611111110512)</f>
        <v>0.92861111111051198</v>
      </c>
      <c r="F2495" s="1">
        <f ca="1">IFERROR(__xludf.DUMMYFUNCTION("""COMPUTED_VALUE"""),1611035)</f>
        <v>1611035</v>
      </c>
      <c r="G2495" s="1" t="str">
        <f ca="1">IFERROR(__xludf.DUMMYFUNCTION("""COMPUTED_VALUE"""),"28.1324/76.8778")</f>
        <v>28.1324/76.8778</v>
      </c>
      <c r="H2495" s="1" t="str">
        <f ca="1">IFERROR(__xludf.DUMMYFUNCTION("""COMPUTED_VALUE"""),"Fakharuddinaka")</f>
        <v>Fakharuddinaka</v>
      </c>
      <c r="I2495" s="1"/>
      <c r="J2495" s="1" t="str">
        <f ca="1">IFERROR(__xludf.DUMMYFUNCTION("""COMPUTED_VALUE"""),"131d 12h 17m")</f>
        <v>131d 12h 17m</v>
      </c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13.2">
      <c r="A2496" s="1">
        <f ca="1">IFERROR(__xludf.DUMMYFUNCTION("""COMPUTED_VALUE"""),159)</f>
        <v>159</v>
      </c>
      <c r="B2496" s="1" t="str">
        <f ca="1">IFERROR(__xludf.DUMMYFUNCTION("""COMPUTED_VALUE"""),"WWM_VV-2_KA53B3467_Jetting")</f>
        <v>WWM_VV-2_KA53B3467_Jetting</v>
      </c>
      <c r="C2496" s="1" t="str">
        <f ca="1">IFERROR(__xludf.DUMMYFUNCTION("""COMPUTED_VALUE"""),"wwm_vv2_ka53b3467_jetting")</f>
        <v>wwm_vv2_ka53b3467_jetting</v>
      </c>
      <c r="D2496" s="2">
        <f ca="1">IFERROR(__xludf.DUMMYFUNCTION("""COMPUTED_VALUE"""),44707)</f>
        <v>44707</v>
      </c>
      <c r="E2496" s="3">
        <f ca="1">IFERROR(__xludf.DUMMYFUNCTION("""COMPUTED_VALUE"""),0.99900462962978)</f>
        <v>0.99900462962977998</v>
      </c>
      <c r="F2496" s="1">
        <f ca="1">IFERROR(__xludf.DUMMYFUNCTION("""COMPUTED_VALUE"""),41606)</f>
        <v>41606</v>
      </c>
      <c r="G2496" s="1" t="str">
        <f ca="1">IFERROR(__xludf.DUMMYFUNCTION("""COMPUTED_VALUE"""),"12.9364/77.5212")</f>
        <v>12.9364/77.5212</v>
      </c>
      <c r="H2496" s="1" t="str">
        <f ca="1">IFERROR(__xludf.DUMMYFUNCTION("""COMPUTED_VALUE"""),"Nayandanahalli")</f>
        <v>Nayandanahalli</v>
      </c>
      <c r="I2496" s="1"/>
      <c r="J2496" s="1" t="str">
        <f ca="1">IFERROR(__xludf.DUMMYFUNCTION("""COMPUTED_VALUE"""),"0d 00h 01m")</f>
        <v>0d 00h 01m</v>
      </c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13.2">
      <c r="A2497" s="1">
        <f ca="1">IFERROR(__xludf.DUMMYFUNCTION("""COMPUTED_VALUE"""),72)</f>
        <v>72</v>
      </c>
      <c r="B2497" s="1" t="str">
        <f ca="1">IFERROR(__xludf.DUMMYFUNCTION("""COMPUTED_VALUE"""),"WWM_VV-2_KA53B3467_Jetting")</f>
        <v>WWM_VV-2_KA53B3467_Jetting</v>
      </c>
      <c r="C2497" s="1" t="str">
        <f ca="1">IFERROR(__xludf.DUMMYFUNCTION("""COMPUTED_VALUE"""),"wwm_vv2_ka53b3467_jetting")</f>
        <v>wwm_vv2_ka53b3467_jetting</v>
      </c>
      <c r="D2497" s="2">
        <f ca="1">IFERROR(__xludf.DUMMYFUNCTION("""COMPUTED_VALUE"""),44718)</f>
        <v>44718</v>
      </c>
      <c r="E2497" s="3">
        <f ca="1">IFERROR(__xludf.DUMMYFUNCTION("""COMPUTED_VALUE"""),0.594722222223936)</f>
        <v>0.594722222223936</v>
      </c>
      <c r="F2497" s="1">
        <f ca="1">IFERROR(__xludf.DUMMYFUNCTION("""COMPUTED_VALUE"""),41683)</f>
        <v>41683</v>
      </c>
      <c r="G2497" s="1" t="str">
        <f ca="1">IFERROR(__xludf.DUMMYFUNCTION("""COMPUTED_VALUE"""),"13.0124/77.5528")</f>
        <v>13.0124/77.5528</v>
      </c>
      <c r="H2497" s="1" t="str">
        <f ca="1">IFERROR(__xludf.DUMMYFUNCTION("""COMPUTED_VALUE"""),"NarayanaNethralaya")</f>
        <v>NarayanaNethralaya</v>
      </c>
      <c r="I2497" s="1"/>
      <c r="J2497" s="1" t="str">
        <f ca="1">IFERROR(__xludf.DUMMYFUNCTION("""COMPUTED_VALUE"""),"0d 00h 00m")</f>
        <v>0d 00h 00m</v>
      </c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13.2">
      <c r="A2498" s="1">
        <f ca="1">IFERROR(__xludf.DUMMYFUNCTION("""COMPUTED_VALUE"""),57)</f>
        <v>57</v>
      </c>
      <c r="B2498" s="1" t="str">
        <f ca="1">IFERROR(__xludf.DUMMYFUNCTION("""COMPUTED_VALUE"""),"WWM_VV-2_KA53B3467_Jetting")</f>
        <v>WWM_VV-2_KA53B3467_Jetting</v>
      </c>
      <c r="C2498" s="1" t="str">
        <f ca="1">IFERROR(__xludf.DUMMYFUNCTION("""COMPUTED_VALUE"""),"wwm_vv2_ka53b3467_jetting")</f>
        <v>wwm_vv2_ka53b3467_jetting</v>
      </c>
      <c r="D2498" s="2">
        <f ca="1">IFERROR(__xludf.DUMMYFUNCTION("""COMPUTED_VALUE"""),44718)</f>
        <v>44718</v>
      </c>
      <c r="E2498" s="3">
        <f ca="1">IFERROR(__xludf.DUMMYFUNCTION("""COMPUTED_VALUE"""),0.594722222223936)</f>
        <v>0.594722222223936</v>
      </c>
      <c r="F2498" s="1">
        <f ca="1">IFERROR(__xludf.DUMMYFUNCTION("""COMPUTED_VALUE"""),41683)</f>
        <v>41683</v>
      </c>
      <c r="G2498" s="1" t="str">
        <f ca="1">IFERROR(__xludf.DUMMYFUNCTION("""COMPUTED_VALUE"""),"13.0124/77.5528")</f>
        <v>13.0124/77.5528</v>
      </c>
      <c r="H2498" s="1" t="str">
        <f ca="1">IFERROR(__xludf.DUMMYFUNCTION("""COMPUTED_VALUE"""),"NarayanaNethralaya")</f>
        <v>NarayanaNethralaya</v>
      </c>
      <c r="I2498" s="1"/>
      <c r="J2498" s="1" t="str">
        <f ca="1">IFERROR(__xludf.DUMMYFUNCTION("""COMPUTED_VALUE"""),"0d 00h 00m")</f>
        <v>0d 00h 00m</v>
      </c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13.2">
      <c r="A2499" s="1">
        <f ca="1">IFERROR(__xludf.DUMMYFUNCTION("""COMPUTED_VALUE"""),56)</f>
        <v>56</v>
      </c>
      <c r="B2499" s="1" t="str">
        <f ca="1">IFERROR(__xludf.DUMMYFUNCTION("""COMPUTED_VALUE"""),"WWM_VV-2_KA53B3467_Jetting")</f>
        <v>WWM_VV-2_KA53B3467_Jetting</v>
      </c>
      <c r="C2499" s="1" t="str">
        <f ca="1">IFERROR(__xludf.DUMMYFUNCTION("""COMPUTED_VALUE"""),"wwm_vv2_ka53b3467_jetting")</f>
        <v>wwm_vv2_ka53b3467_jetting</v>
      </c>
      <c r="D2499" s="2">
        <f ca="1">IFERROR(__xludf.DUMMYFUNCTION("""COMPUTED_VALUE"""),44718)</f>
        <v>44718</v>
      </c>
      <c r="E2499" s="3">
        <f ca="1">IFERROR(__xludf.DUMMYFUNCTION("""COMPUTED_VALUE"""),0.594722222223936)</f>
        <v>0.594722222223936</v>
      </c>
      <c r="F2499" s="1">
        <f ca="1">IFERROR(__xludf.DUMMYFUNCTION("""COMPUTED_VALUE"""),41683)</f>
        <v>41683</v>
      </c>
      <c r="G2499" s="1" t="str">
        <f ca="1">IFERROR(__xludf.DUMMYFUNCTION("""COMPUTED_VALUE"""),"13.0124/77.5528")</f>
        <v>13.0124/77.5528</v>
      </c>
      <c r="H2499" s="1" t="str">
        <f ca="1">IFERROR(__xludf.DUMMYFUNCTION("""COMPUTED_VALUE"""),"NarayanaNethralaya")</f>
        <v>NarayanaNethralaya</v>
      </c>
      <c r="I2499" s="1"/>
      <c r="J2499" s="1" t="str">
        <f ca="1">IFERROR(__xludf.DUMMYFUNCTION("""COMPUTED_VALUE"""),"0d 00h 01m")</f>
        <v>0d 00h 01m</v>
      </c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13.2">
      <c r="A2500" s="1">
        <f ca="1">IFERROR(__xludf.DUMMYFUNCTION("""COMPUTED_VALUE"""),189)</f>
        <v>189</v>
      </c>
      <c r="B2500" s="1" t="str">
        <f ca="1">IFERROR(__xludf.DUMMYFUNCTION("""COMPUTED_VALUE"""),"WWM_VV-2_KA53B3467_Jetting")</f>
        <v>WWM_VV-2_KA53B3467_Jetting</v>
      </c>
      <c r="C2500" s="1" t="str">
        <f ca="1">IFERROR(__xludf.DUMMYFUNCTION("""COMPUTED_VALUE"""),"wwm_vv2_ka53b3467_jetting")</f>
        <v>wwm_vv2_ka53b3467_jetting</v>
      </c>
      <c r="D2500" s="2">
        <f ca="1">IFERROR(__xludf.DUMMYFUNCTION("""COMPUTED_VALUE"""),44830)</f>
        <v>44830</v>
      </c>
      <c r="E2500" s="3">
        <f ca="1">IFERROR(__xludf.DUMMYFUNCTION("""COMPUTED_VALUE"""),0.999097222222189)</f>
        <v>0.999097222222189</v>
      </c>
      <c r="F2500" s="1">
        <f ca="1">IFERROR(__xludf.DUMMYFUNCTION("""COMPUTED_VALUE"""),41817)</f>
        <v>41817</v>
      </c>
      <c r="G2500" s="1" t="str">
        <f ca="1">IFERROR(__xludf.DUMMYFUNCTION("""COMPUTED_VALUE"""),"12.9366/77.5211")</f>
        <v>12.9366/77.5211</v>
      </c>
      <c r="H2500" s="1" t="str">
        <f ca="1">IFERROR(__xludf.DUMMYFUNCTION("""COMPUTED_VALUE"""),"Nayandanahalli")</f>
        <v>Nayandanahalli</v>
      </c>
      <c r="I2500" s="1"/>
      <c r="J2500" s="1" t="str">
        <f ca="1">IFERROR(__xludf.DUMMYFUNCTION("""COMPUTED_VALUE"""),"0d 00h 00m")</f>
        <v>0d 00h 00m</v>
      </c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13.2">
      <c r="A2501" s="1">
        <f ca="1">IFERROR(__xludf.DUMMYFUNCTION("""COMPUTED_VALUE"""),212)</f>
        <v>212</v>
      </c>
      <c r="B2501" s="1" t="str">
        <f ca="1">IFERROR(__xludf.DUMMYFUNCTION("""COMPUTED_VALUE"""),"WWM_VV-2_KA53B3467_Jetting")</f>
        <v>WWM_VV-2_KA53B3467_Jetting</v>
      </c>
      <c r="C2501" s="1" t="str">
        <f ca="1">IFERROR(__xludf.DUMMYFUNCTION("""COMPUTED_VALUE"""),"wwm_vv2_ka53b3467_jetting")</f>
        <v>wwm_vv2_ka53b3467_jetting</v>
      </c>
      <c r="D2501" s="2">
        <f ca="1">IFERROR(__xludf.DUMMYFUNCTION("""COMPUTED_VALUE"""),44860)</f>
        <v>44860</v>
      </c>
      <c r="E2501" s="3">
        <f ca="1">IFERROR(__xludf.DUMMYFUNCTION("""COMPUTED_VALUE"""),0.99920138888774)</f>
        <v>0.99920138888774002</v>
      </c>
      <c r="F2501" s="1">
        <f ca="1">IFERROR(__xludf.DUMMYFUNCTION("""COMPUTED_VALUE"""),42337)</f>
        <v>42337</v>
      </c>
      <c r="G2501" s="1" t="str">
        <f ca="1">IFERROR(__xludf.DUMMYFUNCTION("""COMPUTED_VALUE"""),"12.9365/77.5213")</f>
        <v>12.9365/77.5213</v>
      </c>
      <c r="H2501" s="1" t="str">
        <f ca="1">IFERROR(__xludf.DUMMYFUNCTION("""COMPUTED_VALUE"""),"Nayandanahalli")</f>
        <v>Nayandanahalli</v>
      </c>
      <c r="I2501" s="1"/>
      <c r="J2501" s="1" t="str">
        <f ca="1">IFERROR(__xludf.DUMMYFUNCTION("""COMPUTED_VALUE"""),"0d 00h 00m")</f>
        <v>0d 00h 00m</v>
      </c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13.2">
      <c r="A2502" s="1">
        <f ca="1">IFERROR(__xludf.DUMMYFUNCTION("""COMPUTED_VALUE"""),142)</f>
        <v>142</v>
      </c>
      <c r="B2502" s="1" t="str">
        <f ca="1">IFERROR(__xludf.DUMMYFUNCTION("""COMPUTED_VALUE"""),"WWM_VV1_KA04AA9029_Desilting")</f>
        <v>WWM_VV1_KA04AA9029_Desilting</v>
      </c>
      <c r="C2502" s="1" t="str">
        <f ca="1">IFERROR(__xludf.DUMMYFUNCTION("""COMPUTED_VALUE"""),"wwm_vv1_ka04aa9029_desilting")</f>
        <v>wwm_vv1_ka04aa9029_desilting</v>
      </c>
      <c r="D2502" s="2">
        <f ca="1">IFERROR(__xludf.DUMMYFUNCTION("""COMPUTED_VALUE"""),44707)</f>
        <v>44707</v>
      </c>
      <c r="E2502" s="3">
        <f ca="1">IFERROR(__xludf.DUMMYFUNCTION("""COMPUTED_VALUE"""),0.857418981482624)</f>
        <v>0.85741898148262397</v>
      </c>
      <c r="F2502" s="1">
        <f ca="1">IFERROR(__xludf.DUMMYFUNCTION("""COMPUTED_VALUE"""),9218)</f>
        <v>9218</v>
      </c>
      <c r="G2502" s="1"/>
      <c r="H2502" s="1"/>
      <c r="I2502" s="1"/>
      <c r="J2502" s="1" t="str">
        <f ca="1">IFERROR(__xludf.DUMMYFUNCTION("""COMPUTED_VALUE"""),"28d 22h 18m")</f>
        <v>28d 22h 18m</v>
      </c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13.2">
      <c r="A2503" s="1">
        <f ca="1">IFERROR(__xludf.DUMMYFUNCTION("""COMPUTED_VALUE"""),175)</f>
        <v>175</v>
      </c>
      <c r="B2503" s="1" t="str">
        <f ca="1">IFERROR(__xludf.DUMMYFUNCTION("""COMPUTED_VALUE"""),"WWM_VV1_KA04AA9029_Desilting")</f>
        <v>WWM_VV1_KA04AA9029_Desilting</v>
      </c>
      <c r="C2503" s="1" t="str">
        <f ca="1">IFERROR(__xludf.DUMMYFUNCTION("""COMPUTED_VALUE"""),"wwm_vv1_ka04aa9029_desilting")</f>
        <v>wwm_vv1_ka04aa9029_desilting</v>
      </c>
      <c r="D2503" s="2">
        <f ca="1">IFERROR(__xludf.DUMMYFUNCTION("""COMPUTED_VALUE"""),44738)</f>
        <v>44738</v>
      </c>
      <c r="E2503" s="3">
        <f ca="1">IFERROR(__xludf.DUMMYFUNCTION("""COMPUTED_VALUE"""),0.999050925925985)</f>
        <v>0.99905092592598499</v>
      </c>
      <c r="F2503" s="1">
        <f ca="1">IFERROR(__xludf.DUMMYFUNCTION("""COMPUTED_VALUE"""),9218)</f>
        <v>9218</v>
      </c>
      <c r="G2503" s="1"/>
      <c r="H2503" s="1"/>
      <c r="I2503" s="1"/>
      <c r="J2503" s="1" t="str">
        <f ca="1">IFERROR(__xludf.DUMMYFUNCTION("""COMPUTED_VALUE"""),"28d 22h 19m")</f>
        <v>28d 22h 19m</v>
      </c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13.2">
      <c r="A2504" s="1">
        <f ca="1">IFERROR(__xludf.DUMMYFUNCTION("""COMPUTED_VALUE"""),156)</f>
        <v>156</v>
      </c>
      <c r="B2504" s="1" t="str">
        <f ca="1">IFERROR(__xludf.DUMMYFUNCTION("""COMPUTED_VALUE"""),"WWM_VV1_KA04AA9029_Desilting")</f>
        <v>WWM_VV1_KA04AA9029_Desilting</v>
      </c>
      <c r="C2504" s="1" t="str">
        <f ca="1">IFERROR(__xludf.DUMMYFUNCTION("""COMPUTED_VALUE"""),"wwm_vv1_ka04aa9029_desilting")</f>
        <v>wwm_vv1_ka04aa9029_desilting</v>
      </c>
      <c r="D2504" s="2">
        <f ca="1">IFERROR(__xludf.DUMMYFUNCTION("""COMPUTED_VALUE"""),44768)</f>
        <v>44768</v>
      </c>
      <c r="E2504" s="3">
        <f ca="1">IFERROR(__xludf.DUMMYFUNCTION("""COMPUTED_VALUE"""),0.944861111111094)</f>
        <v>0.94486111111109405</v>
      </c>
      <c r="F2504" s="1">
        <f ca="1">IFERROR(__xludf.DUMMYFUNCTION("""COMPUTED_VALUE"""),9218)</f>
        <v>9218</v>
      </c>
      <c r="G2504" s="1"/>
      <c r="H2504" s="1"/>
      <c r="I2504" s="1"/>
      <c r="J2504" s="1" t="str">
        <f ca="1">IFERROR(__xludf.DUMMYFUNCTION("""COMPUTED_VALUE"""),"28d 22h 20m")</f>
        <v>28d 22h 20m</v>
      </c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13.2">
      <c r="A2505" s="1">
        <f ca="1">IFERROR(__xludf.DUMMYFUNCTION("""COMPUTED_VALUE"""),94)</f>
        <v>94</v>
      </c>
      <c r="B2505" s="1" t="str">
        <f ca="1">IFERROR(__xludf.DUMMYFUNCTION("""COMPUTED_VALUE"""),"WWM_VV1_KA04AA9029_Desilting")</f>
        <v>WWM_VV1_KA04AA9029_Desilting</v>
      </c>
      <c r="C2505" s="1" t="str">
        <f ca="1">IFERROR(__xludf.DUMMYFUNCTION("""COMPUTED_VALUE"""),"wwm_vv1_ka04aa9029_desilting")</f>
        <v>wwm_vv1_ka04aa9029_desilting</v>
      </c>
      <c r="D2505" s="2">
        <f ca="1">IFERROR(__xludf.DUMMYFUNCTION("""COMPUTED_VALUE"""),44778)</f>
        <v>44778</v>
      </c>
      <c r="E2505" s="3">
        <f ca="1">IFERROR(__xludf.DUMMYFUNCTION("""COMPUTED_VALUE"""),0.80388888888774)</f>
        <v>0.80388888888774002</v>
      </c>
      <c r="F2505" s="1">
        <f ca="1">IFERROR(__xludf.DUMMYFUNCTION("""COMPUTED_VALUE"""),9218)</f>
        <v>9218</v>
      </c>
      <c r="G2505" s="1"/>
      <c r="H2505" s="1"/>
      <c r="I2505" s="1"/>
      <c r="J2505" s="1" t="str">
        <f ca="1">IFERROR(__xludf.DUMMYFUNCTION("""COMPUTED_VALUE"""),"28d 22h 21m")</f>
        <v>28d 22h 21m</v>
      </c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13.2">
      <c r="A2506" s="1">
        <f ca="1">IFERROR(__xludf.DUMMYFUNCTION("""COMPUTED_VALUE"""),130)</f>
        <v>130</v>
      </c>
      <c r="B2506" s="1" t="str">
        <f ca="1">IFERROR(__xludf.DUMMYFUNCTION("""COMPUTED_VALUE"""),"WWM_VV1_KA04AA9029_Desilting")</f>
        <v>WWM_VV1_KA04AA9029_Desilting</v>
      </c>
      <c r="C2506" s="1" t="str">
        <f ca="1">IFERROR(__xludf.DUMMYFUNCTION("""COMPUTED_VALUE"""),"wwm_vv1_ka04aa9029_desilting")</f>
        <v>wwm_vv1_ka04aa9029_desilting</v>
      </c>
      <c r="D2506" s="2">
        <f ca="1">IFERROR(__xludf.DUMMYFUNCTION("""COMPUTED_VALUE"""),44828)</f>
        <v>44828</v>
      </c>
      <c r="E2506" s="3">
        <f ca="1">IFERROR(__xludf.DUMMYFUNCTION("""COMPUTED_VALUE"""),0.477534722223936)</f>
        <v>0.477534722223936</v>
      </c>
      <c r="F2506" s="1">
        <f ca="1">IFERROR(__xludf.DUMMYFUNCTION("""COMPUTED_VALUE"""),9218)</f>
        <v>9218</v>
      </c>
      <c r="G2506" s="1"/>
      <c r="H2506" s="1"/>
      <c r="I2506" s="1"/>
      <c r="J2506" s="1" t="str">
        <f ca="1">IFERROR(__xludf.DUMMYFUNCTION("""COMPUTED_VALUE"""),"28d 22h 22m")</f>
        <v>28d 22h 22m</v>
      </c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13.2">
      <c r="A2507" s="1">
        <f ca="1">IFERROR(__xludf.DUMMYFUNCTION("""COMPUTED_VALUE"""),144)</f>
        <v>144</v>
      </c>
      <c r="B2507" s="1" t="str">
        <f ca="1">IFERROR(__xludf.DUMMYFUNCTION("""COMPUTED_VALUE"""),"WWM_VV1_KA04AA9029_Desilting")</f>
        <v>WWM_VV1_KA04AA9029_Desilting</v>
      </c>
      <c r="C2507" s="1" t="str">
        <f ca="1">IFERROR(__xludf.DUMMYFUNCTION("""COMPUTED_VALUE"""),"wwm_vv1_ka04aa9029_desilting")</f>
        <v>wwm_vv1_ka04aa9029_desilting</v>
      </c>
      <c r="D2507" s="2">
        <f ca="1">IFERROR(__xludf.DUMMYFUNCTION("""COMPUTED_VALUE"""),44860)</f>
        <v>44860</v>
      </c>
      <c r="E2507" s="3">
        <f ca="1">IFERROR(__xludf.DUMMYFUNCTION("""COMPUTED_VALUE"""),0.845046296297368)</f>
        <v>0.84504629629736805</v>
      </c>
      <c r="F2507" s="1">
        <f ca="1">IFERROR(__xludf.DUMMYFUNCTION("""COMPUTED_VALUE"""),9218)</f>
        <v>9218</v>
      </c>
      <c r="G2507" s="1"/>
      <c r="H2507" s="1"/>
      <c r="I2507" s="1"/>
      <c r="J2507" s="1" t="str">
        <f ca="1">IFERROR(__xludf.DUMMYFUNCTION("""COMPUTED_VALUE"""),"28d 22h 23m")</f>
        <v>28d 22h 23m</v>
      </c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13.2">
      <c r="A2508" s="1">
        <f ca="1">IFERROR(__xludf.DUMMYFUNCTION("""COMPUTED_VALUE"""),154)</f>
        <v>154</v>
      </c>
      <c r="B2508" s="1" t="str">
        <f ca="1">IFERROR(__xludf.DUMMYFUNCTION("""COMPUTED_VALUE"""),"WWM_VV1_KA04AA9029_DESILTING")</f>
        <v>WWM_VV1_KA04AA9029_DESILTING</v>
      </c>
      <c r="C2508" s="1" t="str">
        <f ca="1">IFERROR(__xludf.DUMMYFUNCTION("""COMPUTED_VALUE"""),"wwm_vv1_ka04aa9029_desilting")</f>
        <v>wwm_vv1_ka04aa9029_desilting</v>
      </c>
      <c r="D2508" s="2">
        <f ca="1">IFERROR(__xludf.DUMMYFUNCTION("""COMPUTED_VALUE"""),44769)</f>
        <v>44769</v>
      </c>
      <c r="E2508" s="3">
        <f ca="1">IFERROR(__xludf.DUMMYFUNCTION("""COMPUTED_VALUE"""),0.99921296296452)</f>
        <v>0.99921296296452</v>
      </c>
      <c r="F2508" s="1">
        <f ca="1">IFERROR(__xludf.DUMMYFUNCTION("""COMPUTED_VALUE"""),9218)</f>
        <v>9218</v>
      </c>
      <c r="G2508" s="1"/>
      <c r="H2508" s="1"/>
      <c r="I2508" s="1"/>
      <c r="J2508" s="1" t="str">
        <f ca="1">IFERROR(__xludf.DUMMYFUNCTION("""COMPUTED_VALUE"""),"0d 00h 00m")</f>
        <v>0d 00h 00m</v>
      </c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13.2">
      <c r="A2509" s="1">
        <f ca="1">IFERROR(__xludf.DUMMYFUNCTION("""COMPUTED_VALUE"""),139)</f>
        <v>139</v>
      </c>
      <c r="B2509" s="1" t="str">
        <f ca="1">IFERROR(__xludf.DUMMYFUNCTION("""COMPUTED_VALUE"""),"WWM_VV1_KA04AA9029_DESILTING")</f>
        <v>WWM_VV1_KA04AA9029_DESILTING</v>
      </c>
      <c r="C2509" s="1" t="str">
        <f ca="1">IFERROR(__xludf.DUMMYFUNCTION("""COMPUTED_VALUE"""),"wwm_vv1_ka04aa9029_desilting")</f>
        <v>wwm_vv1_ka04aa9029_desilting</v>
      </c>
      <c r="D2509" s="2">
        <f ca="1">IFERROR(__xludf.DUMMYFUNCTION("""COMPUTED_VALUE"""),44860)</f>
        <v>44860</v>
      </c>
      <c r="E2509" s="3">
        <f ca="1">IFERROR(__xludf.DUMMYFUNCTION("""COMPUTED_VALUE"""),0.845046296297368)</f>
        <v>0.84504629629736805</v>
      </c>
      <c r="F2509" s="1">
        <f ca="1">IFERROR(__xludf.DUMMYFUNCTION("""COMPUTED_VALUE"""),9218)</f>
        <v>9218</v>
      </c>
      <c r="G2509" s="1"/>
      <c r="H2509" s="1"/>
      <c r="I2509" s="1"/>
      <c r="J2509" s="1" t="str">
        <f ca="1">IFERROR(__xludf.DUMMYFUNCTION("""COMPUTED_VALUE"""),"0d 00h 00m")</f>
        <v>0d 00h 00m</v>
      </c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13.2">
      <c r="A2510" s="1">
        <f ca="1">IFERROR(__xludf.DUMMYFUNCTION("""COMPUTED_VALUE"""),129)</f>
        <v>129</v>
      </c>
      <c r="B2510" s="1" t="str">
        <f ca="1">IFERROR(__xludf.DUMMYFUNCTION("""COMPUTED_VALUE"""),"WWM_VV1_KA04AA9029_DESILTING")</f>
        <v>WWM_VV1_KA04AA9029_DESILTING</v>
      </c>
      <c r="C2510" s="1" t="str">
        <f ca="1">IFERROR(__xludf.DUMMYFUNCTION("""COMPUTED_VALUE"""),"wwm_vv1_ka04aa9029_desilting")</f>
        <v>wwm_vv1_ka04aa9029_desilting</v>
      </c>
      <c r="D2510" s="2">
        <f ca="1">IFERROR(__xludf.DUMMYFUNCTION("""COMPUTED_VALUE"""),44888)</f>
        <v>44888</v>
      </c>
      <c r="E2510" s="3">
        <f ca="1">IFERROR(__xludf.DUMMYFUNCTION("""COMPUTED_VALUE"""),0.508576388889196)</f>
        <v>0.50857638888919598</v>
      </c>
      <c r="F2510" s="1">
        <f ca="1">IFERROR(__xludf.DUMMYFUNCTION("""COMPUTED_VALUE"""),9218)</f>
        <v>9218</v>
      </c>
      <c r="G2510" s="1"/>
      <c r="H2510" s="1"/>
      <c r="I2510" s="1" t="str">
        <f ca="1">IFERROR(__xludf.DUMMYFUNCTION("""COMPUTED_VALUE"""),"0d 00h 00m")</f>
        <v>0d 00h 00m</v>
      </c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13.2">
      <c r="A2511" s="1">
        <f ca="1">IFERROR(__xludf.DUMMYFUNCTION("""COMPUTED_VALUE"""),166)</f>
        <v>166</v>
      </c>
      <c r="B2511" s="1" t="str">
        <f ca="1">IFERROR(__xludf.DUMMYFUNCTION("""COMPUTED_VALUE"""),"WWM_VV1_KA04AA9029_DESILTING")</f>
        <v>WWM_VV1_KA04AA9029_DESILTING</v>
      </c>
      <c r="C2511" s="1" t="str">
        <f ca="1">IFERROR(__xludf.DUMMYFUNCTION("""COMPUTED_VALUE"""),"wwm_vv1_ka04aa9029_desilting")</f>
        <v>wwm_vv1_ka04aa9029_desilting</v>
      </c>
      <c r="D2511" s="2">
        <f ca="1">IFERROR(__xludf.DUMMYFUNCTION("""COMPUTED_VALUE"""),45042)</f>
        <v>45042</v>
      </c>
      <c r="E2511" s="3">
        <f ca="1">IFERROR(__xludf.DUMMYFUNCTION("""COMPUTED_VALUE"""),0.999317129630071)</f>
        <v>0.99931712963007102</v>
      </c>
      <c r="F2511" s="1">
        <f ca="1">IFERROR(__xludf.DUMMYFUNCTION("""COMPUTED_VALUE"""),1621)</f>
        <v>1621</v>
      </c>
      <c r="G2511" s="1" t="str">
        <f ca="1">IFERROR(__xludf.DUMMYFUNCTION("""COMPUTED_VALUE"""),"12.9367/77.5213")</f>
        <v>12.9367/77.5213</v>
      </c>
      <c r="H2511" s="1" t="str">
        <f ca="1">IFERROR(__xludf.DUMMYFUNCTION("""COMPUTED_VALUE"""),"Nayandanahalli")</f>
        <v>Nayandanahalli</v>
      </c>
      <c r="I2511" s="1"/>
      <c r="J2511" s="1" t="str">
        <f ca="1">IFERROR(__xludf.DUMMYFUNCTION("""COMPUTED_VALUE"""),"0d 00h 00m")</f>
        <v>0d 00h 00m</v>
      </c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13.2">
      <c r="A2512" s="1">
        <f ca="1">IFERROR(__xludf.DUMMYFUNCTION("""COMPUTED_VALUE"""),157)</f>
        <v>157</v>
      </c>
      <c r="B2512" s="1" t="str">
        <f ca="1">IFERROR(__xludf.DUMMYFUNCTION("""COMPUTED_VALUE"""),"WWM_VV1_KA04AA9029_DESILTING")</f>
        <v>WWM_VV1_KA04AA9029_DESILTING</v>
      </c>
      <c r="C2512" s="1" t="str">
        <f ca="1">IFERROR(__xludf.DUMMYFUNCTION("""COMPUTED_VALUE"""),"wwm_vv1_ka04aa9029_desilting")</f>
        <v>wwm_vv1_ka04aa9029_desilting</v>
      </c>
      <c r="D2512" s="2">
        <f ca="1">IFERROR(__xludf.DUMMYFUNCTION("""COMPUTED_VALUE"""),45134)</f>
        <v>45134</v>
      </c>
      <c r="E2512" s="3">
        <f ca="1">IFERROR(__xludf.DUMMYFUNCTION("""COMPUTED_VALUE"""),0.999120370372111)</f>
        <v>0.99912037037211099</v>
      </c>
      <c r="F2512" s="1">
        <f ca="1">IFERROR(__xludf.DUMMYFUNCTION("""COMPUTED_VALUE"""),3393)</f>
        <v>3393</v>
      </c>
      <c r="G2512" s="1" t="str">
        <f ca="1">IFERROR(__xludf.DUMMYFUNCTION("""COMPUTED_VALUE"""),"12.8990/77.5116")</f>
        <v>12.8990/77.5116</v>
      </c>
      <c r="H2512" s="1" t="str">
        <f ca="1">IFERROR(__xludf.DUMMYFUNCTION("""COMPUTED_VALUE"""),"Rajarajeshwari Nagar")</f>
        <v>Rajarajeshwari Nagar</v>
      </c>
      <c r="I2512" s="1"/>
      <c r="J2512" s="1" t="str">
        <f ca="1">IFERROR(__xludf.DUMMYFUNCTION("""COMPUTED_VALUE"""),"0d 00h 00m")</f>
        <v>0d 00h 00m</v>
      </c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13.2">
      <c r="A2513" s="1">
        <f ca="1">IFERROR(__xludf.DUMMYFUNCTION("""COMPUTED_VALUE"""),163)</f>
        <v>163</v>
      </c>
      <c r="B2513" s="1" t="str">
        <f ca="1">IFERROR(__xludf.DUMMYFUNCTION("""COMPUTED_VALUE"""),"WWM_VV1_KA04AA9029_DESILTING")</f>
        <v>WWM_VV1_KA04AA9029_DESILTING</v>
      </c>
      <c r="C2513" s="1" t="str">
        <f ca="1">IFERROR(__xludf.DUMMYFUNCTION("""COMPUTED_VALUE"""),"wwm_vv1_ka04aa9029_desilting")</f>
        <v>wwm_vv1_ka04aa9029_desilting</v>
      </c>
      <c r="D2513" s="2">
        <f ca="1">IFERROR(__xludf.DUMMYFUNCTION("""COMPUTED_VALUE"""),45226)</f>
        <v>45226</v>
      </c>
      <c r="E2513" s="3">
        <f ca="1">IFERROR(__xludf.DUMMYFUNCTION("""COMPUTED_VALUE"""),0.99900462962978)</f>
        <v>0.99900462962977998</v>
      </c>
      <c r="F2513" s="1">
        <f ca="1">IFERROR(__xludf.DUMMYFUNCTION("""COMPUTED_VALUE"""),5790)</f>
        <v>5790</v>
      </c>
      <c r="G2513" s="1" t="str">
        <f ca="1">IFERROR(__xludf.DUMMYFUNCTION("""COMPUTED_VALUE"""),"12.9367/77.5214")</f>
        <v>12.9367/77.5214</v>
      </c>
      <c r="H2513" s="1" t="str">
        <f ca="1">IFERROR(__xludf.DUMMYFUNCTION("""COMPUTED_VALUE"""),"Nayandanahalli")</f>
        <v>Nayandanahalli</v>
      </c>
      <c r="I2513" s="1"/>
      <c r="J2513" s="1" t="str">
        <f ca="1">IFERROR(__xludf.DUMMYFUNCTION("""COMPUTED_VALUE"""),"0d 00h 00m")</f>
        <v>0d 00h 00m</v>
      </c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13.2">
      <c r="A2514" s="1">
        <f ca="1">IFERROR(__xludf.DUMMYFUNCTION("""COMPUTED_VALUE"""),160)</f>
        <v>160</v>
      </c>
      <c r="B2514" s="1" t="str">
        <f ca="1">IFERROR(__xludf.DUMMYFUNCTION("""COMPUTED_VALUE"""),"WWM_VV1_KA04AA9029_DESILTING")</f>
        <v>WWM_VV1_KA04AA9029_DESILTING</v>
      </c>
      <c r="C2514" s="1" t="str">
        <f ca="1">IFERROR(__xludf.DUMMYFUNCTION("""COMPUTED_VALUE"""),"wwm_vv1_ka04aa9029_desilting")</f>
        <v>wwm_vv1_ka04aa9029_desilting</v>
      </c>
      <c r="D2514" s="2">
        <f ca="1">IFERROR(__xludf.DUMMYFUNCTION("""COMPUTED_VALUE"""),45315)</f>
        <v>45315</v>
      </c>
      <c r="E2514" s="3">
        <f ca="1">IFERROR(__xludf.DUMMYFUNCTION("""COMPUTED_VALUE"""),0.786597222220734)</f>
        <v>0.78659722222073403</v>
      </c>
      <c r="F2514" s="1">
        <f ca="1">IFERROR(__xludf.DUMMYFUNCTION("""COMPUTED_VALUE"""),8977)</f>
        <v>8977</v>
      </c>
      <c r="G2514" s="1" t="str">
        <f ca="1">IFERROR(__xludf.DUMMYFUNCTION("""COMPUTED_VALUE"""),"12.9365/77.5214")</f>
        <v>12.9365/77.5214</v>
      </c>
      <c r="H2514" s="1" t="str">
        <f ca="1">IFERROR(__xludf.DUMMYFUNCTION("""COMPUTED_VALUE"""),"Nayandanahalli")</f>
        <v>Nayandanahalli</v>
      </c>
      <c r="I2514" s="1"/>
      <c r="J2514" s="1" t="str">
        <f ca="1">IFERROR(__xludf.DUMMYFUNCTION("""COMPUTED_VALUE"""),"0d 00h 00m")</f>
        <v>0d 00h 00m</v>
      </c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13.2">
      <c r="A2515" s="1">
        <f ca="1">IFERROR(__xludf.DUMMYFUNCTION("""COMPUTED_VALUE"""),90)</f>
        <v>90</v>
      </c>
      <c r="B2515" s="1" t="str">
        <f ca="1">IFERROR(__xludf.DUMMYFUNCTION("""COMPUTED_VALUE"""),"Wwm_Vv1_KA53B3459_Dumping")</f>
        <v>Wwm_Vv1_KA53B3459_Dumping</v>
      </c>
      <c r="C2515" s="1" t="str">
        <f ca="1">IFERROR(__xludf.DUMMYFUNCTION("""COMPUTED_VALUE"""),"wwm_vv1_ka53b3459_dumping")</f>
        <v>wwm_vv1_ka53b3459_dumping</v>
      </c>
      <c r="D2515" s="2">
        <f ca="1">IFERROR(__xludf.DUMMYFUNCTION("""COMPUTED_VALUE"""),44701)</f>
        <v>44701</v>
      </c>
      <c r="E2515" s="3">
        <f ca="1">IFERROR(__xludf.DUMMYFUNCTION("""COMPUTED_VALUE"""),0.567986111109348)</f>
        <v>0.56798611110934805</v>
      </c>
      <c r="F2515" s="1">
        <f ca="1">IFERROR(__xludf.DUMMYFUNCTION("""COMPUTED_VALUE"""),4044)</f>
        <v>4044</v>
      </c>
      <c r="G2515" s="1" t="str">
        <f ca="1">IFERROR(__xludf.DUMMYFUNCTION("""COMPUTED_VALUE"""),"12.9693/77.5498")</f>
        <v>12.9693/77.5498</v>
      </c>
      <c r="H2515" s="1" t="str">
        <f ca="1">IFERROR(__xludf.DUMMYFUNCTION("""COMPUTED_VALUE"""),"Telecom Layout")</f>
        <v>Telecom Layout</v>
      </c>
      <c r="I2515" s="1"/>
      <c r="J2515" s="1" t="str">
        <f ca="1">IFERROR(__xludf.DUMMYFUNCTION("""COMPUTED_VALUE"""),"0d 00h 00m")</f>
        <v>0d 00h 00m</v>
      </c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13.2">
      <c r="A2516" s="1">
        <f ca="1">IFERROR(__xludf.DUMMYFUNCTION("""COMPUTED_VALUE"""),144)</f>
        <v>144</v>
      </c>
      <c r="B2516" s="1" t="str">
        <f ca="1">IFERROR(__xludf.DUMMYFUNCTION("""COMPUTED_VALUE"""),"Wwm_Vv1_KA53B3459_Dumping")</f>
        <v>Wwm_Vv1_KA53B3459_Dumping</v>
      </c>
      <c r="C2516" s="1" t="str">
        <f ca="1">IFERROR(__xludf.DUMMYFUNCTION("""COMPUTED_VALUE"""),"wwm_vv1_ka53b3459_dumping")</f>
        <v>wwm_vv1_ka53b3459_dumping</v>
      </c>
      <c r="D2516" s="2">
        <f ca="1">IFERROR(__xludf.DUMMYFUNCTION("""COMPUTED_VALUE"""),44738)</f>
        <v>44738</v>
      </c>
      <c r="E2516" s="3">
        <f ca="1">IFERROR(__xludf.DUMMYFUNCTION("""COMPUTED_VALUE"""),0.571805555555329)</f>
        <v>0.57180555555532897</v>
      </c>
      <c r="F2516" s="1">
        <f ca="1">IFERROR(__xludf.DUMMYFUNCTION("""COMPUTED_VALUE"""),4083)</f>
        <v>4083</v>
      </c>
      <c r="G2516" s="1" t="str">
        <f ca="1">IFERROR(__xludf.DUMMYFUNCTION("""COMPUTED_VALUE"""),"12.9366/77.5211")</f>
        <v>12.9366/77.5211</v>
      </c>
      <c r="H2516" s="1" t="str">
        <f ca="1">IFERROR(__xludf.DUMMYFUNCTION("""COMPUTED_VALUE"""),"Nayandanahalli")</f>
        <v>Nayandanahalli</v>
      </c>
      <c r="I2516" s="1"/>
      <c r="J2516" s="1" t="str">
        <f ca="1">IFERROR(__xludf.DUMMYFUNCTION("""COMPUTED_VALUE"""),"0d 00h 00m")</f>
        <v>0d 00h 00m</v>
      </c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13.2">
      <c r="A2517" s="1">
        <f ca="1">IFERROR(__xludf.DUMMYFUNCTION("""COMPUTED_VALUE"""),91)</f>
        <v>91</v>
      </c>
      <c r="B2517" s="1" t="str">
        <f ca="1">IFERROR(__xludf.DUMMYFUNCTION("""COMPUTED_VALUE"""),"Wwm_Vv1_KA53B3459_Dumping")</f>
        <v>Wwm_Vv1_KA53B3459_Dumping</v>
      </c>
      <c r="C2517" s="1" t="str">
        <f ca="1">IFERROR(__xludf.DUMMYFUNCTION("""COMPUTED_VALUE"""),"wwm_vv1_ka53b3459_dumping")</f>
        <v>wwm_vv1_ka53b3459_dumping</v>
      </c>
      <c r="D2517" s="2">
        <f ca="1">IFERROR(__xludf.DUMMYFUNCTION("""COMPUTED_VALUE"""),44754)</f>
        <v>44754</v>
      </c>
      <c r="E2517" s="3">
        <f ca="1">IFERROR(__xludf.DUMMYFUNCTION("""COMPUTED_VALUE"""),0.655104166668024)</f>
        <v>0.65510416666802396</v>
      </c>
      <c r="F2517" s="1">
        <f ca="1">IFERROR(__xludf.DUMMYFUNCTION("""COMPUTED_VALUE"""),4098)</f>
        <v>4098</v>
      </c>
      <c r="G2517" s="1" t="str">
        <f ca="1">IFERROR(__xludf.DUMMYFUNCTION("""COMPUTED_VALUE"""),"12.9715/77.5608")</f>
        <v>12.9715/77.5608</v>
      </c>
      <c r="H2517" s="1" t="str">
        <f ca="1">IFERROR(__xludf.DUMMYFUNCTION("""COMPUTED_VALUE"""),"Binnypete")</f>
        <v>Binnypete</v>
      </c>
      <c r="I2517" s="1"/>
      <c r="J2517" s="1" t="str">
        <f ca="1">IFERROR(__xludf.DUMMYFUNCTION("""COMPUTED_VALUE"""),"0d 00h 00m")</f>
        <v>0d 00h 00m</v>
      </c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13.2">
      <c r="A2518" s="1">
        <f ca="1">IFERROR(__xludf.DUMMYFUNCTION("""COMPUTED_VALUE"""),73)</f>
        <v>73</v>
      </c>
      <c r="B2518" s="1" t="str">
        <f ca="1">IFERROR(__xludf.DUMMYFUNCTION("""COMPUTED_VALUE"""),"Wwm_Vv1_KA53B3459_Dumping")</f>
        <v>Wwm_Vv1_KA53B3459_Dumping</v>
      </c>
      <c r="C2518" s="1" t="str">
        <f ca="1">IFERROR(__xludf.DUMMYFUNCTION("""COMPUTED_VALUE"""),"wwm_vv1_ka53b3459_dumping")</f>
        <v>wwm_vv1_ka53b3459_dumping</v>
      </c>
      <c r="D2518" s="2">
        <f ca="1">IFERROR(__xludf.DUMMYFUNCTION("""COMPUTED_VALUE"""),44754)</f>
        <v>44754</v>
      </c>
      <c r="E2518" s="3">
        <f ca="1">IFERROR(__xludf.DUMMYFUNCTION("""COMPUTED_VALUE"""),0.655104166668024)</f>
        <v>0.65510416666802396</v>
      </c>
      <c r="F2518" s="1">
        <f ca="1">IFERROR(__xludf.DUMMYFUNCTION("""COMPUTED_VALUE"""),4098)</f>
        <v>4098</v>
      </c>
      <c r="G2518" s="1" t="str">
        <f ca="1">IFERROR(__xludf.DUMMYFUNCTION("""COMPUTED_VALUE"""),"12.9715/77.5608")</f>
        <v>12.9715/77.5608</v>
      </c>
      <c r="H2518" s="1" t="str">
        <f ca="1">IFERROR(__xludf.DUMMYFUNCTION("""COMPUTED_VALUE"""),"Binnypete")</f>
        <v>Binnypete</v>
      </c>
      <c r="I2518" s="1"/>
      <c r="J2518" s="1" t="str">
        <f ca="1">IFERROR(__xludf.DUMMYFUNCTION("""COMPUTED_VALUE"""),"0d 00h 00m")</f>
        <v>0d 00h 00m</v>
      </c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13.2">
      <c r="A2519" s="1">
        <f ca="1">IFERROR(__xludf.DUMMYFUNCTION("""COMPUTED_VALUE"""),157)</f>
        <v>157</v>
      </c>
      <c r="B2519" s="1" t="str">
        <f ca="1">IFERROR(__xludf.DUMMYFUNCTION("""COMPUTED_VALUE"""),"Wwm_Vv1_KA53B3459_Dumping")</f>
        <v>Wwm_Vv1_KA53B3459_Dumping</v>
      </c>
      <c r="C2519" s="1" t="str">
        <f ca="1">IFERROR(__xludf.DUMMYFUNCTION("""COMPUTED_VALUE"""),"wwm_vv1_ka53b3459_dumping")</f>
        <v>wwm_vv1_ka53b3459_dumping</v>
      </c>
      <c r="D2519" s="2">
        <f ca="1">IFERROR(__xludf.DUMMYFUNCTION("""COMPUTED_VALUE"""),44830)</f>
        <v>44830</v>
      </c>
      <c r="E2519" s="3">
        <f ca="1">IFERROR(__xludf.DUMMYFUNCTION("""COMPUTED_VALUE"""),0.996053240742185)</f>
        <v>0.99605324074218504</v>
      </c>
      <c r="F2519" s="1">
        <f ca="1">IFERROR(__xludf.DUMMYFUNCTION("""COMPUTED_VALUE"""),4156)</f>
        <v>4156</v>
      </c>
      <c r="G2519" s="1" t="str">
        <f ca="1">IFERROR(__xludf.DUMMYFUNCTION("""COMPUTED_VALUE"""),"12.9364/77.5212")</f>
        <v>12.9364/77.5212</v>
      </c>
      <c r="H2519" s="1" t="str">
        <f ca="1">IFERROR(__xludf.DUMMYFUNCTION("""COMPUTED_VALUE"""),"Nayandanahalli")</f>
        <v>Nayandanahalli</v>
      </c>
      <c r="I2519" s="1"/>
      <c r="J2519" s="1" t="str">
        <f ca="1">IFERROR(__xludf.DUMMYFUNCTION("""COMPUTED_VALUE"""),"0d 00h 00m")</f>
        <v>0d 00h 00m</v>
      </c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13.2">
      <c r="A2520" s="1">
        <f ca="1">IFERROR(__xludf.DUMMYFUNCTION("""COMPUTED_VALUE"""),187)</f>
        <v>187</v>
      </c>
      <c r="B2520" s="1" t="str">
        <f ca="1">IFERROR(__xludf.DUMMYFUNCTION("""COMPUTED_VALUE"""),"Wwm_Vv1_KA53B3459_Dumping")</f>
        <v>Wwm_Vv1_KA53B3459_Dumping</v>
      </c>
      <c r="C2520" s="1" t="str">
        <f ca="1">IFERROR(__xludf.DUMMYFUNCTION("""COMPUTED_VALUE"""),"wwm_vv1_ka53b3459_dumping")</f>
        <v>wwm_vv1_ka53b3459_dumping</v>
      </c>
      <c r="D2520" s="2">
        <f ca="1">IFERROR(__xludf.DUMMYFUNCTION("""COMPUTED_VALUE"""),44860)</f>
        <v>44860</v>
      </c>
      <c r="E2520" s="3">
        <f ca="1">IFERROR(__xludf.DUMMYFUNCTION("""COMPUTED_VALUE"""),0.999108796295331)</f>
        <v>0.999108796295331</v>
      </c>
      <c r="F2520" s="1">
        <f ca="1">IFERROR(__xludf.DUMMYFUNCTION("""COMPUTED_VALUE"""),4465)</f>
        <v>4465</v>
      </c>
      <c r="G2520" s="1" t="str">
        <f ca="1">IFERROR(__xludf.DUMMYFUNCTION("""COMPUTED_VALUE"""),"12.9366/77.5211")</f>
        <v>12.9366/77.5211</v>
      </c>
      <c r="H2520" s="1" t="str">
        <f ca="1">IFERROR(__xludf.DUMMYFUNCTION("""COMPUTED_VALUE"""),"Nayandanahalli")</f>
        <v>Nayandanahalli</v>
      </c>
      <c r="I2520" s="1"/>
      <c r="J2520" s="1" t="str">
        <f ca="1">IFERROR(__xludf.DUMMYFUNCTION("""COMPUTED_VALUE"""),"0d 00h 00m")</f>
        <v>0d 00h 00m</v>
      </c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13.2">
      <c r="A2521" s="1">
        <f ca="1">IFERROR(__xludf.DUMMYFUNCTION("""COMPUTED_VALUE"""),132)</f>
        <v>132</v>
      </c>
      <c r="B2521" s="1" t="str">
        <f ca="1">IFERROR(__xludf.DUMMYFUNCTION("""COMPUTED_VALUE"""),"WWM_VV1_KA53B3459_DUMPING")</f>
        <v>WWM_VV1_KA53B3459_DUMPING</v>
      </c>
      <c r="C2521" s="1" t="str">
        <f ca="1">IFERROR(__xludf.DUMMYFUNCTION("""COMPUTED_VALUE"""),"wwm_vv1_ka53b3459_dumping")</f>
        <v>wwm_vv1_ka53b3459_dumping</v>
      </c>
      <c r="D2521" s="2">
        <f ca="1">IFERROR(__xludf.DUMMYFUNCTION("""COMPUTED_VALUE"""),44754)</f>
        <v>44754</v>
      </c>
      <c r="E2521" s="3">
        <f ca="1">IFERROR(__xludf.DUMMYFUNCTION("""COMPUTED_VALUE"""),0.655104166668024)</f>
        <v>0.65510416666802396</v>
      </c>
      <c r="F2521" s="1">
        <f ca="1">IFERROR(__xludf.DUMMYFUNCTION("""COMPUTED_VALUE"""),4098)</f>
        <v>4098</v>
      </c>
      <c r="G2521" s="1" t="str">
        <f ca="1">IFERROR(__xludf.DUMMYFUNCTION("""COMPUTED_VALUE"""),"12.9715/77.5608")</f>
        <v>12.9715/77.5608</v>
      </c>
      <c r="H2521" s="1" t="str">
        <f ca="1">IFERROR(__xludf.DUMMYFUNCTION("""COMPUTED_VALUE"""),"Binnypete")</f>
        <v>Binnypete</v>
      </c>
      <c r="I2521" s="1"/>
      <c r="J2521" s="1" t="str">
        <f ca="1">IFERROR(__xludf.DUMMYFUNCTION("""COMPUTED_VALUE"""),"0d 00h 06m")</f>
        <v>0d 00h 06m</v>
      </c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13.2">
      <c r="A2522" s="1">
        <f ca="1">IFERROR(__xludf.DUMMYFUNCTION("""COMPUTED_VALUE"""),153)</f>
        <v>153</v>
      </c>
      <c r="B2522" s="1" t="str">
        <f ca="1">IFERROR(__xludf.DUMMYFUNCTION("""COMPUTED_VALUE"""),"WWM_VV1_KA53B3459_DUMPING")</f>
        <v>WWM_VV1_KA53B3459_DUMPING</v>
      </c>
      <c r="C2522" s="1" t="str">
        <f ca="1">IFERROR(__xludf.DUMMYFUNCTION("""COMPUTED_VALUE"""),"wwm_vv1_ka53b3459_dumping")</f>
        <v>wwm_vv1_ka53b3459_dumping</v>
      </c>
      <c r="D2522" s="2">
        <f ca="1">IFERROR(__xludf.DUMMYFUNCTION("""COMPUTED_VALUE"""),44860)</f>
        <v>44860</v>
      </c>
      <c r="E2522" s="3">
        <f ca="1">IFERROR(__xludf.DUMMYFUNCTION("""COMPUTED_VALUE"""),0.999108796295331)</f>
        <v>0.999108796295331</v>
      </c>
      <c r="F2522" s="1">
        <f ca="1">IFERROR(__xludf.DUMMYFUNCTION("""COMPUTED_VALUE"""),4465)</f>
        <v>4465</v>
      </c>
      <c r="G2522" s="1" t="str">
        <f ca="1">IFERROR(__xludf.DUMMYFUNCTION("""COMPUTED_VALUE"""),"12.9366/77.5211")</f>
        <v>12.9366/77.5211</v>
      </c>
      <c r="H2522" s="1" t="str">
        <f ca="1">IFERROR(__xludf.DUMMYFUNCTION("""COMPUTED_VALUE"""),"Nayandanahalli")</f>
        <v>Nayandanahalli</v>
      </c>
      <c r="I2522" s="1"/>
      <c r="J2522" s="1" t="str">
        <f ca="1">IFERROR(__xludf.DUMMYFUNCTION("""COMPUTED_VALUE"""),"0d 00h 08m")</f>
        <v>0d 00h 08m</v>
      </c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13.2">
      <c r="A2523" s="1">
        <f ca="1">IFERROR(__xludf.DUMMYFUNCTION("""COMPUTED_VALUE"""),152)</f>
        <v>152</v>
      </c>
      <c r="B2523" s="1" t="str">
        <f ca="1">IFERROR(__xludf.DUMMYFUNCTION("""COMPUTED_VALUE"""),"WWM_VV1_KA53B3459_DUMPING")</f>
        <v>WWM_VV1_KA53B3459_DUMPING</v>
      </c>
      <c r="C2523" s="1" t="str">
        <f ca="1">IFERROR(__xludf.DUMMYFUNCTION("""COMPUTED_VALUE"""),"wwm_vv1_ka53b3459_dumping")</f>
        <v>wwm_vv1_ka53b3459_dumping</v>
      </c>
      <c r="D2523" s="2">
        <f ca="1">IFERROR(__xludf.DUMMYFUNCTION("""COMPUTED_VALUE"""),44952)</f>
        <v>44952</v>
      </c>
      <c r="E2523" s="3">
        <f ca="1">IFERROR(__xludf.DUMMYFUNCTION("""COMPUTED_VALUE"""),0.999050925925985)</f>
        <v>0.99905092592598499</v>
      </c>
      <c r="F2523" s="1">
        <f ca="1">IFERROR(__xludf.DUMMYFUNCTION("""COMPUTED_VALUE"""),5701)</f>
        <v>5701</v>
      </c>
      <c r="G2523" s="1" t="str">
        <f ca="1">IFERROR(__xludf.DUMMYFUNCTION("""COMPUTED_VALUE"""),"12.9367/77.5214")</f>
        <v>12.9367/77.5214</v>
      </c>
      <c r="H2523" s="1" t="str">
        <f ca="1">IFERROR(__xludf.DUMMYFUNCTION("""COMPUTED_VALUE"""),"Nayandanahalli")</f>
        <v>Nayandanahalli</v>
      </c>
      <c r="I2523" s="1"/>
      <c r="J2523" s="1" t="str">
        <f ca="1">IFERROR(__xludf.DUMMYFUNCTION("""COMPUTED_VALUE"""),"0d 00h 10m")</f>
        <v>0d 00h 10m</v>
      </c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13.2">
      <c r="A2524" s="1">
        <f ca="1">IFERROR(__xludf.DUMMYFUNCTION("""COMPUTED_VALUE"""),158)</f>
        <v>158</v>
      </c>
      <c r="B2524" s="1" t="str">
        <f ca="1">IFERROR(__xludf.DUMMYFUNCTION("""COMPUTED_VALUE"""),"WWM_VV1_KA53B3459_DUMPING")</f>
        <v>WWM_VV1_KA53B3459_DUMPING</v>
      </c>
      <c r="C2524" s="1" t="str">
        <f ca="1">IFERROR(__xludf.DUMMYFUNCTION("""COMPUTED_VALUE"""),"wwm_vv1_ka53b3459_dumping")</f>
        <v>wwm_vv1_ka53b3459_dumping</v>
      </c>
      <c r="D2524" s="2">
        <f ca="1">IFERROR(__xludf.DUMMYFUNCTION("""COMPUTED_VALUE"""),45042)</f>
        <v>45042</v>
      </c>
      <c r="E2524" s="3">
        <f ca="1">IFERROR(__xludf.DUMMYFUNCTION("""COMPUTED_VALUE"""),0.999097222222189)</f>
        <v>0.999097222222189</v>
      </c>
      <c r="F2524" s="1">
        <f ca="1">IFERROR(__xludf.DUMMYFUNCTION("""COMPUTED_VALUE"""),7059)</f>
        <v>7059</v>
      </c>
      <c r="G2524" s="1" t="str">
        <f ca="1">IFERROR(__xludf.DUMMYFUNCTION("""COMPUTED_VALUE"""),"12.9365/77.5212")</f>
        <v>12.9365/77.5212</v>
      </c>
      <c r="H2524" s="1" t="str">
        <f ca="1">IFERROR(__xludf.DUMMYFUNCTION("""COMPUTED_VALUE"""),"Nayandanahalli")</f>
        <v>Nayandanahalli</v>
      </c>
      <c r="I2524" s="1"/>
      <c r="J2524" s="1" t="str">
        <f ca="1">IFERROR(__xludf.DUMMYFUNCTION("""COMPUTED_VALUE"""),"0d 00h 11m")</f>
        <v>0d 00h 11m</v>
      </c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13.2">
      <c r="A2525" s="1">
        <f ca="1">IFERROR(__xludf.DUMMYFUNCTION("""COMPUTED_VALUE"""),159)</f>
        <v>159</v>
      </c>
      <c r="B2525" s="1" t="str">
        <f ca="1">IFERROR(__xludf.DUMMYFUNCTION("""COMPUTED_VALUE"""),"WWM_VV1_KA53B3459_DUMPING")</f>
        <v>WWM_VV1_KA53B3459_DUMPING</v>
      </c>
      <c r="C2525" s="1" t="str">
        <f ca="1">IFERROR(__xludf.DUMMYFUNCTION("""COMPUTED_VALUE"""),"wwm_vv1_ka53b3459_dumping")</f>
        <v>wwm_vv1_ka53b3459_dumping</v>
      </c>
      <c r="D2525" s="2">
        <f ca="1">IFERROR(__xludf.DUMMYFUNCTION("""COMPUTED_VALUE"""),45134)</f>
        <v>45134</v>
      </c>
      <c r="E2525" s="3">
        <f ca="1">IFERROR(__xludf.DUMMYFUNCTION("""COMPUTED_VALUE"""),0.999120370372111)</f>
        <v>0.99912037037211099</v>
      </c>
      <c r="F2525" s="1">
        <f ca="1">IFERROR(__xludf.DUMMYFUNCTION("""COMPUTED_VALUE"""),8702)</f>
        <v>8702</v>
      </c>
      <c r="G2525" s="1" t="str">
        <f ca="1">IFERROR(__xludf.DUMMYFUNCTION("""COMPUTED_VALUE"""),"12.9365/77.5212")</f>
        <v>12.9365/77.5212</v>
      </c>
      <c r="H2525" s="1" t="str">
        <f ca="1">IFERROR(__xludf.DUMMYFUNCTION("""COMPUTED_VALUE"""),"Nayandanahalli")</f>
        <v>Nayandanahalli</v>
      </c>
      <c r="I2525" s="1"/>
      <c r="J2525" s="1" t="str">
        <f ca="1">IFERROR(__xludf.DUMMYFUNCTION("""COMPUTED_VALUE"""),"0d 00h 00m")</f>
        <v>0d 00h 00m</v>
      </c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13.2">
      <c r="A2526" s="1">
        <f ca="1">IFERROR(__xludf.DUMMYFUNCTION("""COMPUTED_VALUE"""),172)</f>
        <v>172</v>
      </c>
      <c r="B2526" s="1" t="str">
        <f ca="1">IFERROR(__xludf.DUMMYFUNCTION("""COMPUTED_VALUE"""),"WWM_VV1_KA53B3459_DUMPING")</f>
        <v>WWM_VV1_KA53B3459_DUMPING</v>
      </c>
      <c r="C2526" s="1" t="str">
        <f ca="1">IFERROR(__xludf.DUMMYFUNCTION("""COMPUTED_VALUE"""),"wwm_vv1_ka53b3459_dumping")</f>
        <v>wwm_vv1_ka53b3459_dumping</v>
      </c>
      <c r="D2526" s="2">
        <f ca="1">IFERROR(__xludf.DUMMYFUNCTION("""COMPUTED_VALUE"""),45226)</f>
        <v>45226</v>
      </c>
      <c r="E2526" s="3">
        <f ca="1">IFERROR(__xludf.DUMMYFUNCTION("""COMPUTED_VALUE"""),0.999259259260725)</f>
        <v>0.99925925926072501</v>
      </c>
      <c r="F2526" s="1">
        <f ca="1">IFERROR(__xludf.DUMMYFUNCTION("""COMPUTED_VALUE"""),10539)</f>
        <v>10539</v>
      </c>
      <c r="G2526" s="1" t="str">
        <f ca="1">IFERROR(__xludf.DUMMYFUNCTION("""COMPUTED_VALUE"""),"12.9069/77.5213")</f>
        <v>12.9069/77.5213</v>
      </c>
      <c r="H2526" s="1" t="str">
        <f ca="1">IFERROR(__xludf.DUMMYFUNCTION("""COMPUTED_VALUE"""),"Kodipur")</f>
        <v>Kodipur</v>
      </c>
      <c r="I2526" s="1"/>
      <c r="J2526" s="1" t="str">
        <f ca="1">IFERROR(__xludf.DUMMYFUNCTION("""COMPUTED_VALUE"""),"0d 00h 00m")</f>
        <v>0d 00h 00m</v>
      </c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13.2">
      <c r="A2527" s="1">
        <f ca="1">IFERROR(__xludf.DUMMYFUNCTION("""COMPUTED_VALUE"""),177)</f>
        <v>177</v>
      </c>
      <c r="B2527" s="1" t="str">
        <f ca="1">IFERROR(__xludf.DUMMYFUNCTION("""COMPUTED_VALUE"""),"WWM_VV1_KA53B3459_DUMPING")</f>
        <v>WWM_VV1_KA53B3459_DUMPING</v>
      </c>
      <c r="C2527" s="1" t="str">
        <f ca="1">IFERROR(__xludf.DUMMYFUNCTION("""COMPUTED_VALUE"""),"wwm_vv1_ka53b3459_dumping")</f>
        <v>wwm_vv1_ka53b3459_dumping</v>
      </c>
      <c r="D2527" s="2">
        <f ca="1">IFERROR(__xludf.DUMMYFUNCTION("""COMPUTED_VALUE"""),45315)</f>
        <v>45315</v>
      </c>
      <c r="E2527" s="3">
        <f ca="1">IFERROR(__xludf.DUMMYFUNCTION("""COMPUTED_VALUE"""),0.787118055555765)</f>
        <v>0.78711805555576497</v>
      </c>
      <c r="F2527" s="1">
        <f ca="1">IFERROR(__xludf.DUMMYFUNCTION("""COMPUTED_VALUE"""),11938)</f>
        <v>11938</v>
      </c>
      <c r="G2527" s="1" t="str">
        <f ca="1">IFERROR(__xludf.DUMMYFUNCTION("""COMPUTED_VALUE"""),"12.9366/77.5213")</f>
        <v>12.9366/77.5213</v>
      </c>
      <c r="H2527" s="1" t="str">
        <f ca="1">IFERROR(__xludf.DUMMYFUNCTION("""COMPUTED_VALUE"""),"Nayandanahalli")</f>
        <v>Nayandanahalli</v>
      </c>
      <c r="I2527" s="1"/>
      <c r="J2527" s="1" t="str">
        <f ca="1">IFERROR(__xludf.DUMMYFUNCTION("""COMPUTED_VALUE"""),"0d 00h 00m")</f>
        <v>0d 00h 00m</v>
      </c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13.2">
      <c r="A2528" s="1">
        <f ca="1">IFERROR(__xludf.DUMMYFUNCTION("""COMPUTED_VALUE"""),54)</f>
        <v>54</v>
      </c>
      <c r="B2528" s="1" t="str">
        <f ca="1">IFERROR(__xludf.DUMMYFUNCTION("""COMPUTED_VALUE"""),"WWM_VV1_KA53B3460_Jetting")</f>
        <v>WWM_VV1_KA53B3460_Jetting</v>
      </c>
      <c r="C2528" s="1" t="str">
        <f ca="1">IFERROR(__xludf.DUMMYFUNCTION("""COMPUTED_VALUE"""),"wwm_vv1_ka53b3460_jetting")</f>
        <v>wwm_vv1_ka53b3460_jetting</v>
      </c>
      <c r="D2528" s="2">
        <f ca="1">IFERROR(__xludf.DUMMYFUNCTION("""COMPUTED_VALUE"""),44647)</f>
        <v>44647</v>
      </c>
      <c r="E2528" s="3">
        <f ca="1">IFERROR(__xludf.DUMMYFUNCTION("""COMPUTED_VALUE"""),0.992152777776937)</f>
        <v>0.992152777776937</v>
      </c>
      <c r="F2528" s="1">
        <f ca="1">IFERROR(__xludf.DUMMYFUNCTION("""COMPUTED_VALUE"""),273)</f>
        <v>273</v>
      </c>
      <c r="G2528" s="1" t="str">
        <f ca="1">IFERROR(__xludf.DUMMYFUNCTION("""COMPUTED_VALUE"""),"12.9367/77.5210")</f>
        <v>12.9367/77.5210</v>
      </c>
      <c r="H2528" s="1" t="str">
        <f ca="1">IFERROR(__xludf.DUMMYFUNCTION("""COMPUTED_VALUE"""),"Nayandanahalli")</f>
        <v>Nayandanahalli</v>
      </c>
      <c r="I2528" s="1"/>
      <c r="J2528" s="1" t="str">
        <f ca="1">IFERROR(__xludf.DUMMYFUNCTION("""COMPUTED_VALUE"""),"21d 20h 13m")</f>
        <v>21d 20h 13m</v>
      </c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13.2">
      <c r="A2529" s="1">
        <f ca="1">IFERROR(__xludf.DUMMYFUNCTION("""COMPUTED_VALUE"""),46)</f>
        <v>46</v>
      </c>
      <c r="B2529" s="1" t="str">
        <f ca="1">IFERROR(__xludf.DUMMYFUNCTION("""COMPUTED_VALUE"""),"WWM_VV1_KA53B3460_Jetting")</f>
        <v>WWM_VV1_KA53B3460_Jetting</v>
      </c>
      <c r="C2529" s="1" t="str">
        <f ca="1">IFERROR(__xludf.DUMMYFUNCTION("""COMPUTED_VALUE"""),"wwm_vv1_ka53b3460_jetting")</f>
        <v>wwm_vv1_ka53b3460_jetting</v>
      </c>
      <c r="D2529" s="2">
        <f ca="1">IFERROR(__xludf.DUMMYFUNCTION("""COMPUTED_VALUE"""),44647)</f>
        <v>44647</v>
      </c>
      <c r="E2529" s="3">
        <f ca="1">IFERROR(__xludf.DUMMYFUNCTION("""COMPUTED_VALUE"""),0.992152777776937)</f>
        <v>0.992152777776937</v>
      </c>
      <c r="F2529" s="1">
        <f ca="1">IFERROR(__xludf.DUMMYFUNCTION("""COMPUTED_VALUE"""),273)</f>
        <v>273</v>
      </c>
      <c r="G2529" s="1" t="str">
        <f ca="1">IFERROR(__xludf.DUMMYFUNCTION("""COMPUTED_VALUE"""),"12.9367/77.5210")</f>
        <v>12.9367/77.5210</v>
      </c>
      <c r="H2529" s="1" t="str">
        <f ca="1">IFERROR(__xludf.DUMMYFUNCTION("""COMPUTED_VALUE"""),"Nayandanahalli")</f>
        <v>Nayandanahalli</v>
      </c>
      <c r="I2529" s="1"/>
      <c r="J2529" s="1" t="str">
        <f ca="1">IFERROR(__xludf.DUMMYFUNCTION("""COMPUTED_VALUE"""),"21d 20h 14m")</f>
        <v>21d 20h 14m</v>
      </c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13.2">
      <c r="A2530" s="1">
        <f ca="1">IFERROR(__xludf.DUMMYFUNCTION("""COMPUTED_VALUE"""),116)</f>
        <v>116</v>
      </c>
      <c r="B2530" s="1" t="str">
        <f ca="1">IFERROR(__xludf.DUMMYFUNCTION("""COMPUTED_VALUE"""),"WWM_VV1_KA53B3460_Jetting")</f>
        <v>WWM_VV1_KA53B3460_Jetting</v>
      </c>
      <c r="C2530" s="1" t="str">
        <f ca="1">IFERROR(__xludf.DUMMYFUNCTION("""COMPUTED_VALUE"""),"wwm_vv1_ka53b3460_jetting")</f>
        <v>wwm_vv1_ka53b3460_jetting</v>
      </c>
      <c r="D2530" s="2">
        <f ca="1">IFERROR(__xludf.DUMMYFUNCTION("""COMPUTED_VALUE"""),44764)</f>
        <v>44764</v>
      </c>
      <c r="E2530" s="3">
        <f ca="1">IFERROR(__xludf.DUMMYFUNCTION("""COMPUTED_VALUE"""),0.648587962961755)</f>
        <v>0.64858796296175503</v>
      </c>
      <c r="F2530" s="1">
        <f ca="1">IFERROR(__xludf.DUMMYFUNCTION("""COMPUTED_VALUE"""),277)</f>
        <v>277</v>
      </c>
      <c r="G2530" s="1" t="str">
        <f ca="1">IFERROR(__xludf.DUMMYFUNCTION("""COMPUTED_VALUE"""),"12.9367/77.5212")</f>
        <v>12.9367/77.5212</v>
      </c>
      <c r="H2530" s="1" t="str">
        <f ca="1">IFERROR(__xludf.DUMMYFUNCTION("""COMPUTED_VALUE"""),"Nayandanahalli")</f>
        <v>Nayandanahalli</v>
      </c>
      <c r="I2530" s="1"/>
      <c r="J2530" s="1" t="str">
        <f ca="1">IFERROR(__xludf.DUMMYFUNCTION("""COMPUTED_VALUE"""),"21d 20h 15m")</f>
        <v>21d 20h 15m</v>
      </c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13.2">
      <c r="A2531" s="1">
        <f ca="1">IFERROR(__xludf.DUMMYFUNCTION("""COMPUTED_VALUE"""),82)</f>
        <v>82</v>
      </c>
      <c r="B2531" s="1" t="str">
        <f ca="1">IFERROR(__xludf.DUMMYFUNCTION("""COMPUTED_VALUE"""),"WWM_VV1_KA53B3460_Jetting")</f>
        <v>WWM_VV1_KA53B3460_Jetting</v>
      </c>
      <c r="C2531" s="1" t="str">
        <f ca="1">IFERROR(__xludf.DUMMYFUNCTION("""COMPUTED_VALUE"""),"wwm_vv1_ka53b3460_jetting")</f>
        <v>wwm_vv1_ka53b3460_jetting</v>
      </c>
      <c r="D2531" s="2">
        <f ca="1">IFERROR(__xludf.DUMMYFUNCTION("""COMPUTED_VALUE"""),44764)</f>
        <v>44764</v>
      </c>
      <c r="E2531" s="3">
        <f ca="1">IFERROR(__xludf.DUMMYFUNCTION("""COMPUTED_VALUE"""),0.648587962961755)</f>
        <v>0.64858796296175503</v>
      </c>
      <c r="F2531" s="1">
        <f ca="1">IFERROR(__xludf.DUMMYFUNCTION("""COMPUTED_VALUE"""),277)</f>
        <v>277</v>
      </c>
      <c r="G2531" s="1" t="str">
        <f ca="1">IFERROR(__xludf.DUMMYFUNCTION("""COMPUTED_VALUE"""),"12.9367/77.5212")</f>
        <v>12.9367/77.5212</v>
      </c>
      <c r="H2531" s="1" t="str">
        <f ca="1">IFERROR(__xludf.DUMMYFUNCTION("""COMPUTED_VALUE"""),"Nayandanahalli")</f>
        <v>Nayandanahalli</v>
      </c>
      <c r="I2531" s="1"/>
      <c r="J2531" s="1" t="str">
        <f ca="1">IFERROR(__xludf.DUMMYFUNCTION("""COMPUTED_VALUE"""),"21d 20h 16m")</f>
        <v>21d 20h 16m</v>
      </c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13.2">
      <c r="A2532" s="1">
        <f ca="1">IFERROR(__xludf.DUMMYFUNCTION("""COMPUTED_VALUE"""),57)</f>
        <v>57</v>
      </c>
      <c r="B2532" s="1" t="str">
        <f ca="1">IFERROR(__xludf.DUMMYFUNCTION("""COMPUTED_VALUE"""),"WWM_VV1_KA53B3460_Jetting")</f>
        <v>WWM_VV1_KA53B3460_Jetting</v>
      </c>
      <c r="C2532" s="1" t="str">
        <f ca="1">IFERROR(__xludf.DUMMYFUNCTION("""COMPUTED_VALUE"""),"wwm_vv1_ka53b3460_jetting")</f>
        <v>wwm_vv1_ka53b3460_jetting</v>
      </c>
      <c r="D2532" s="2">
        <f ca="1">IFERROR(__xludf.DUMMYFUNCTION("""COMPUTED_VALUE"""),44764)</f>
        <v>44764</v>
      </c>
      <c r="E2532" s="3">
        <f ca="1">IFERROR(__xludf.DUMMYFUNCTION("""COMPUTED_VALUE"""),0.648587962961755)</f>
        <v>0.64858796296175503</v>
      </c>
      <c r="F2532" s="1">
        <f ca="1">IFERROR(__xludf.DUMMYFUNCTION("""COMPUTED_VALUE"""),277)</f>
        <v>277</v>
      </c>
      <c r="G2532" s="1" t="str">
        <f ca="1">IFERROR(__xludf.DUMMYFUNCTION("""COMPUTED_VALUE"""),"12.9367/77.5212")</f>
        <v>12.9367/77.5212</v>
      </c>
      <c r="H2532" s="1" t="str">
        <f ca="1">IFERROR(__xludf.DUMMYFUNCTION("""COMPUTED_VALUE"""),"Nayandanahalli")</f>
        <v>Nayandanahalli</v>
      </c>
      <c r="I2532" s="1"/>
      <c r="J2532" s="1" t="str">
        <f ca="1">IFERROR(__xludf.DUMMYFUNCTION("""COMPUTED_VALUE"""),"21d 20h 17m")</f>
        <v>21d 20h 17m</v>
      </c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13.2">
      <c r="A2533" s="1">
        <f ca="1">IFERROR(__xludf.DUMMYFUNCTION("""COMPUTED_VALUE"""),52)</f>
        <v>52</v>
      </c>
      <c r="B2533" s="1" t="str">
        <f ca="1">IFERROR(__xludf.DUMMYFUNCTION("""COMPUTED_VALUE"""),"WWM_VV1_KA53B3460_Jetting")</f>
        <v>WWM_VV1_KA53B3460_Jetting</v>
      </c>
      <c r="C2533" s="1" t="str">
        <f ca="1">IFERROR(__xludf.DUMMYFUNCTION("""COMPUTED_VALUE"""),"wwm_vv1_ka53b3460_jetting")</f>
        <v>wwm_vv1_ka53b3460_jetting</v>
      </c>
      <c r="D2533" s="2">
        <f ca="1">IFERROR(__xludf.DUMMYFUNCTION("""COMPUTED_VALUE"""),44764)</f>
        <v>44764</v>
      </c>
      <c r="E2533" s="3">
        <f ca="1">IFERROR(__xludf.DUMMYFUNCTION("""COMPUTED_VALUE"""),0.648587962961755)</f>
        <v>0.64858796296175503</v>
      </c>
      <c r="F2533" s="1">
        <f ca="1">IFERROR(__xludf.DUMMYFUNCTION("""COMPUTED_VALUE"""),277)</f>
        <v>277</v>
      </c>
      <c r="G2533" s="1" t="str">
        <f ca="1">IFERROR(__xludf.DUMMYFUNCTION("""COMPUTED_VALUE"""),"12.9367/77.5212")</f>
        <v>12.9367/77.5212</v>
      </c>
      <c r="H2533" s="1" t="str">
        <f ca="1">IFERROR(__xludf.DUMMYFUNCTION("""COMPUTED_VALUE"""),"Nayandanahalli")</f>
        <v>Nayandanahalli</v>
      </c>
      <c r="I2533" s="1"/>
      <c r="J2533" s="1" t="str">
        <f ca="1">IFERROR(__xludf.DUMMYFUNCTION("""COMPUTED_VALUE"""),"21d 20h 17m")</f>
        <v>21d 20h 17m</v>
      </c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13.2">
      <c r="A2534" s="1">
        <f ca="1">IFERROR(__xludf.DUMMYFUNCTION("""COMPUTED_VALUE"""),138)</f>
        <v>138</v>
      </c>
      <c r="B2534" s="1" t="str">
        <f ca="1">IFERROR(__xludf.DUMMYFUNCTION("""COMPUTED_VALUE"""),"WWM_VV1_KA53B3460_JETTING")</f>
        <v>WWM_VV1_KA53B3460_JETTING</v>
      </c>
      <c r="C2534" s="1" t="str">
        <f ca="1">IFERROR(__xludf.DUMMYFUNCTION("""COMPUTED_VALUE"""),"wwm_vv1_ka53b3460_jetting")</f>
        <v>wwm_vv1_ka53b3460_jetting</v>
      </c>
      <c r="D2534" s="2">
        <f ca="1">IFERROR(__xludf.DUMMYFUNCTION("""COMPUTED_VALUE"""),44764)</f>
        <v>44764</v>
      </c>
      <c r="E2534" s="3">
        <f ca="1">IFERROR(__xludf.DUMMYFUNCTION("""COMPUTED_VALUE"""),0.648587962961755)</f>
        <v>0.64858796296175503</v>
      </c>
      <c r="F2534" s="1">
        <f ca="1">IFERROR(__xludf.DUMMYFUNCTION("""COMPUTED_VALUE"""),277)</f>
        <v>277</v>
      </c>
      <c r="G2534" s="1" t="str">
        <f ca="1">IFERROR(__xludf.DUMMYFUNCTION("""COMPUTED_VALUE"""),"12.9367/77.5212")</f>
        <v>12.9367/77.5212</v>
      </c>
      <c r="H2534" s="1" t="str">
        <f ca="1">IFERROR(__xludf.DUMMYFUNCTION("""COMPUTED_VALUE"""),"Nayandanahalli")</f>
        <v>Nayandanahalli</v>
      </c>
      <c r="I2534" s="1"/>
      <c r="J2534" s="1" t="str">
        <f ca="1">IFERROR(__xludf.DUMMYFUNCTION("""COMPUTED_VALUE"""),"89d 19h 37m")</f>
        <v>89d 19h 37m</v>
      </c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13.2">
      <c r="A2535" s="1">
        <f ca="1">IFERROR(__xludf.DUMMYFUNCTION("""COMPUTED_VALUE"""),128)</f>
        <v>128</v>
      </c>
      <c r="B2535" s="1" t="str">
        <f ca="1">IFERROR(__xludf.DUMMYFUNCTION("""COMPUTED_VALUE"""),"WWM_VV1_KA53B3460_JETTING")</f>
        <v>WWM_VV1_KA53B3460_JETTING</v>
      </c>
      <c r="C2535" s="1" t="str">
        <f ca="1">IFERROR(__xludf.DUMMYFUNCTION("""COMPUTED_VALUE"""),"wwm_vv1_ka53b3460_jetting")</f>
        <v>wwm_vv1_ka53b3460_jetting</v>
      </c>
      <c r="D2535" s="2">
        <f ca="1">IFERROR(__xludf.DUMMYFUNCTION("""COMPUTED_VALUE"""),44764)</f>
        <v>44764</v>
      </c>
      <c r="E2535" s="3">
        <f ca="1">IFERROR(__xludf.DUMMYFUNCTION("""COMPUTED_VALUE"""),0.648587962961755)</f>
        <v>0.64858796296175503</v>
      </c>
      <c r="F2535" s="1">
        <f ca="1">IFERROR(__xludf.DUMMYFUNCTION("""COMPUTED_VALUE"""),277)</f>
        <v>277</v>
      </c>
      <c r="G2535" s="1" t="str">
        <f ca="1">IFERROR(__xludf.DUMMYFUNCTION("""COMPUTED_VALUE"""),"12.9367/77.5212")</f>
        <v>12.9367/77.5212</v>
      </c>
      <c r="H2535" s="1" t="str">
        <f ca="1">IFERROR(__xludf.DUMMYFUNCTION("""COMPUTED_VALUE"""),"Nayandanahalli")</f>
        <v>Nayandanahalli</v>
      </c>
      <c r="I2535" s="1"/>
      <c r="J2535" s="1" t="str">
        <f ca="1">IFERROR(__xludf.DUMMYFUNCTION("""COMPUTED_VALUE"""),"89d 19h 38m")</f>
        <v>89d 19h 38m</v>
      </c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13.2">
      <c r="A2536" s="1">
        <f ca="1">IFERROR(__xludf.DUMMYFUNCTION("""COMPUTED_VALUE"""),138)</f>
        <v>138</v>
      </c>
      <c r="B2536" s="1" t="str">
        <f ca="1">IFERROR(__xludf.DUMMYFUNCTION("""COMPUTED_VALUE"""),"WWM_VV1_KA53B3460_JETTING")</f>
        <v>WWM_VV1_KA53B3460_JETTING</v>
      </c>
      <c r="C2536" s="1" t="str">
        <f ca="1">IFERROR(__xludf.DUMMYFUNCTION("""COMPUTED_VALUE"""),"wwm_vv1_ka53b3460_jetting")</f>
        <v>wwm_vv1_ka53b3460_jetting</v>
      </c>
      <c r="D2536" s="2">
        <f ca="1">IFERROR(__xludf.DUMMYFUNCTION("""COMPUTED_VALUE"""),44951)</f>
        <v>44951</v>
      </c>
      <c r="E2536" s="3">
        <f ca="1">IFERROR(__xludf.DUMMYFUNCTION("""COMPUTED_VALUE"""),0.47265046296161)</f>
        <v>0.47265046296161001</v>
      </c>
      <c r="F2536" s="1">
        <f ca="1">IFERROR(__xludf.DUMMYFUNCTION("""COMPUTED_VALUE"""),293)</f>
        <v>293</v>
      </c>
      <c r="G2536" s="1" t="str">
        <f ca="1">IFERROR(__xludf.DUMMYFUNCTION("""COMPUTED_VALUE"""),"13.0428/77.6026")</f>
        <v>13.0428/77.6026</v>
      </c>
      <c r="H2536" s="1" t="str">
        <f ca="1">IFERROR(__xludf.DUMMYFUNCTION("""COMPUTED_VALUE"""),"Visvesvaraya Nagenhalli")</f>
        <v>Visvesvaraya Nagenhalli</v>
      </c>
      <c r="I2536" s="1"/>
      <c r="J2536" s="1" t="str">
        <f ca="1">IFERROR(__xludf.DUMMYFUNCTION("""COMPUTED_VALUE"""),"89d 19h 41m")</f>
        <v>89d 19h 41m</v>
      </c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13.2">
      <c r="A2537" s="1">
        <f ca="1">IFERROR(__xludf.DUMMYFUNCTION("""COMPUTED_VALUE"""),134)</f>
        <v>134</v>
      </c>
      <c r="B2537" s="1" t="str">
        <f ca="1">IFERROR(__xludf.DUMMYFUNCTION("""COMPUTED_VALUE"""),"WWM_VV1_KA53B3460_JETTING")</f>
        <v>WWM_VV1_KA53B3460_JETTING</v>
      </c>
      <c r="C2537" s="1" t="str">
        <f ca="1">IFERROR(__xludf.DUMMYFUNCTION("""COMPUTED_VALUE"""),"wwm_vv1_ka53b3460_jetting")</f>
        <v>wwm_vv1_ka53b3460_jetting</v>
      </c>
      <c r="D2537" s="2">
        <f ca="1">IFERROR(__xludf.DUMMYFUNCTION("""COMPUTED_VALUE"""),44951)</f>
        <v>44951</v>
      </c>
      <c r="E2537" s="3">
        <f ca="1">IFERROR(__xludf.DUMMYFUNCTION("""COMPUTED_VALUE"""),0.47265046296161)</f>
        <v>0.47265046296161001</v>
      </c>
      <c r="F2537" s="1">
        <f ca="1">IFERROR(__xludf.DUMMYFUNCTION("""COMPUTED_VALUE"""),293)</f>
        <v>293</v>
      </c>
      <c r="G2537" s="1" t="str">
        <f ca="1">IFERROR(__xludf.DUMMYFUNCTION("""COMPUTED_VALUE"""),"13.0428/77.6026")</f>
        <v>13.0428/77.6026</v>
      </c>
      <c r="H2537" s="1" t="str">
        <f ca="1">IFERROR(__xludf.DUMMYFUNCTION("""COMPUTED_VALUE"""),"Visvesvaraya Nagenhalli")</f>
        <v>Visvesvaraya Nagenhalli</v>
      </c>
      <c r="I2537" s="1"/>
      <c r="J2537" s="1" t="str">
        <f ca="1">IFERROR(__xludf.DUMMYFUNCTION("""COMPUTED_VALUE"""),"89d 19h 42m")</f>
        <v>89d 19h 42m</v>
      </c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13.2">
      <c r="A2538" s="1">
        <f ca="1">IFERROR(__xludf.DUMMYFUNCTION("""COMPUTED_VALUE"""),138)</f>
        <v>138</v>
      </c>
      <c r="B2538" s="1" t="str">
        <f ca="1">IFERROR(__xludf.DUMMYFUNCTION("""COMPUTED_VALUE"""),"WWM_VV1_KA53B3460_JETTING")</f>
        <v>WWM_VV1_KA53B3460_JETTING</v>
      </c>
      <c r="C2538" s="1" t="str">
        <f ca="1">IFERROR(__xludf.DUMMYFUNCTION("""COMPUTED_VALUE"""),"wwm_vv1_ka53b3460_jetting")</f>
        <v>wwm_vv1_ka53b3460_jetting</v>
      </c>
      <c r="D2538" s="2">
        <f ca="1">IFERROR(__xludf.DUMMYFUNCTION("""COMPUTED_VALUE"""),45095)</f>
        <v>45095</v>
      </c>
      <c r="E2538" s="3">
        <f ca="1">IFERROR(__xludf.DUMMYFUNCTION("""COMPUTED_VALUE"""),0.77203703703708)</f>
        <v>0.77203703703708004</v>
      </c>
      <c r="F2538" s="1">
        <f ca="1">IFERROR(__xludf.DUMMYFUNCTION("""COMPUTED_VALUE"""),299)</f>
        <v>299</v>
      </c>
      <c r="G2538" s="1" t="str">
        <f ca="1">IFERROR(__xludf.DUMMYFUNCTION("""COMPUTED_VALUE"""),"13.0692/77.5940")</f>
        <v>13.0692/77.5940</v>
      </c>
      <c r="H2538" s="1" t="str">
        <f ca="1">IFERROR(__xludf.DUMMYFUNCTION("""COMPUTED_VALUE"""),"Satya Comforts Serviced Apartments")</f>
        <v>Satya Comforts Serviced Apartments</v>
      </c>
      <c r="I2538" s="1"/>
      <c r="J2538" s="1" t="str">
        <f ca="1">IFERROR(__xludf.DUMMYFUNCTION("""COMPUTED_VALUE"""),"89d 19h 43m")</f>
        <v>89d 19h 43m</v>
      </c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13.2">
      <c r="A2539" s="1">
        <f ca="1">IFERROR(__xludf.DUMMYFUNCTION("""COMPUTED_VALUE"""),133)</f>
        <v>133</v>
      </c>
      <c r="B2539" s="1" t="str">
        <f ca="1">IFERROR(__xludf.DUMMYFUNCTION("""COMPUTED_VALUE"""),"WWM_VV1_KA53B3460_JETTING")</f>
        <v>WWM_VV1_KA53B3460_JETTING</v>
      </c>
      <c r="C2539" s="1" t="str">
        <f ca="1">IFERROR(__xludf.DUMMYFUNCTION("""COMPUTED_VALUE"""),"wwm_vv1_ka53b3460_jetting")</f>
        <v>wwm_vv1_ka53b3460_jetting</v>
      </c>
      <c r="D2539" s="2">
        <f ca="1">IFERROR(__xludf.DUMMYFUNCTION("""COMPUTED_VALUE"""),45095)</f>
        <v>45095</v>
      </c>
      <c r="E2539" s="3">
        <f ca="1">IFERROR(__xludf.DUMMYFUNCTION("""COMPUTED_VALUE"""),0.77203703703708)</f>
        <v>0.77203703703708004</v>
      </c>
      <c r="F2539" s="1">
        <f ca="1">IFERROR(__xludf.DUMMYFUNCTION("""COMPUTED_VALUE"""),299)</f>
        <v>299</v>
      </c>
      <c r="G2539" s="1" t="str">
        <f ca="1">IFERROR(__xludf.DUMMYFUNCTION("""COMPUTED_VALUE"""),"13.0692/77.5940")</f>
        <v>13.0692/77.5940</v>
      </c>
      <c r="H2539" s="1" t="str">
        <f ca="1">IFERROR(__xludf.DUMMYFUNCTION("""COMPUTED_VALUE"""),"Satya Comforts Serviced Apartments")</f>
        <v>Satya Comforts Serviced Apartments</v>
      </c>
      <c r="I2539" s="1"/>
      <c r="J2539" s="1" t="str">
        <f ca="1">IFERROR(__xludf.DUMMYFUNCTION("""COMPUTED_VALUE"""),"89d 19h 44m")</f>
        <v>89d 19h 44m</v>
      </c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13.2">
      <c r="A2540" s="1">
        <f ca="1">IFERROR(__xludf.DUMMYFUNCTION("""COMPUTED_VALUE"""),152)</f>
        <v>152</v>
      </c>
      <c r="B2540" s="1" t="str">
        <f ca="1">IFERROR(__xludf.DUMMYFUNCTION("""COMPUTED_VALUE"""),"WWM_VV1_KA53B3460_JETTING")</f>
        <v>WWM_VV1_KA53B3460_JETTING</v>
      </c>
      <c r="C2540" s="1" t="str">
        <f ca="1">IFERROR(__xludf.DUMMYFUNCTION("""COMPUTED_VALUE"""),"wwm_vv1_ka53b3460_jetting")</f>
        <v>wwm_vv1_ka53b3460_jetting</v>
      </c>
      <c r="D2540" s="2">
        <f ca="1">IFERROR(__xludf.DUMMYFUNCTION("""COMPUTED_VALUE"""),45308)</f>
        <v>45308</v>
      </c>
      <c r="E2540" s="3">
        <f ca="1">IFERROR(__xludf.DUMMYFUNCTION("""COMPUTED_VALUE"""),0.442696759258979)</f>
        <v>0.442696759258979</v>
      </c>
      <c r="F2540" s="1">
        <f ca="1">IFERROR(__xludf.DUMMYFUNCTION("""COMPUTED_VALUE"""),330)</f>
        <v>330</v>
      </c>
      <c r="G2540" s="1" t="str">
        <f ca="1">IFERROR(__xludf.DUMMYFUNCTION("""COMPUTED_VALUE"""),"12.9355/77.5212")</f>
        <v>12.9355/77.5212</v>
      </c>
      <c r="H2540" s="1" t="str">
        <f ca="1">IFERROR(__xludf.DUMMYFUNCTION("""COMPUTED_VALUE"""),"Nayandanahalli")</f>
        <v>Nayandanahalli</v>
      </c>
      <c r="I2540" s="1"/>
      <c r="J2540" s="1" t="str">
        <f ca="1">IFERROR(__xludf.DUMMYFUNCTION("""COMPUTED_VALUE"""),"89d 19h 45m")</f>
        <v>89d 19h 45m</v>
      </c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13.2">
      <c r="A2541" s="1">
        <f ca="1">IFERROR(__xludf.DUMMYFUNCTION("""COMPUTED_VALUE"""),145)</f>
        <v>145</v>
      </c>
      <c r="B2541" s="1" t="str">
        <f ca="1">IFERROR(__xludf.DUMMYFUNCTION("""COMPUTED_VALUE"""),"WWM_VV1_KA53B3461_DUMPTANKER")</f>
        <v>WWM_VV1_KA53B3461_DUMPTANKER</v>
      </c>
      <c r="C2541" s="1" t="str">
        <f ca="1">IFERROR(__xludf.DUMMYFUNCTION("""COMPUTED_VALUE"""),"wwm_vv1_ka53b3461_dumptanker")</f>
        <v>wwm_vv1_ka53b3461_dumptanker</v>
      </c>
      <c r="D2541" s="2">
        <f ca="1">IFERROR(__xludf.DUMMYFUNCTION("""COMPUTED_VALUE"""),45266)</f>
        <v>45266</v>
      </c>
      <c r="E2541" s="3">
        <f ca="1">IFERROR(__xludf.DUMMYFUNCTION("""COMPUTED_VALUE"""),0.694988425926567)</f>
        <v>0.69498842592656696</v>
      </c>
      <c r="F2541" s="1">
        <f ca="1">IFERROR(__xludf.DUMMYFUNCTION("""COMPUTED_VALUE"""),23840)</f>
        <v>23840</v>
      </c>
      <c r="G2541" s="1" t="str">
        <f ca="1">IFERROR(__xludf.DUMMYFUNCTION("""COMPUTED_VALUE"""),"12.9366/77.5212")</f>
        <v>12.9366/77.5212</v>
      </c>
      <c r="H2541" s="1" t="str">
        <f ca="1">IFERROR(__xludf.DUMMYFUNCTION("""COMPUTED_VALUE"""),"Nayandanahalli")</f>
        <v>Nayandanahalli</v>
      </c>
      <c r="I2541" s="1"/>
      <c r="J2541" s="1" t="str">
        <f ca="1">IFERROR(__xludf.DUMMYFUNCTION("""COMPUTED_VALUE"""),"104d 18h 52m")</f>
        <v>104d 18h 52m</v>
      </c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13.2">
      <c r="A2542" s="1">
        <f ca="1">IFERROR(__xludf.DUMMYFUNCTION("""COMPUTED_VALUE"""),115)</f>
        <v>115</v>
      </c>
      <c r="B2542" s="1" t="str">
        <f ca="1">IFERROR(__xludf.DUMMYFUNCTION("""COMPUTED_VALUE"""),"WWM_VV2_KA41AB5933_RECYCLER")</f>
        <v>WWM_VV2_KA41AB5933_RECYCLER</v>
      </c>
      <c r="C2542" s="1" t="str">
        <f ca="1">IFERROR(__xludf.DUMMYFUNCTION("""COMPUTED_VALUE"""),"wwm_vv2_ka41ab5933_recycler")</f>
        <v>wwm_vv2_ka41ab5933_recycler</v>
      </c>
      <c r="D2542" s="2">
        <f ca="1">IFERROR(__xludf.DUMMYFUNCTION("""COMPUTED_VALUE"""),43868)</f>
        <v>43868</v>
      </c>
      <c r="E2542" s="3">
        <f ca="1">IFERROR(__xludf.DUMMYFUNCTION("""COMPUTED_VALUE"""),0.472245370368909)</f>
        <v>0.47224537036890901</v>
      </c>
      <c r="F2542" s="1">
        <f ca="1">IFERROR(__xludf.DUMMYFUNCTION("""COMPUTED_VALUE"""),1609344)</f>
        <v>1609344</v>
      </c>
      <c r="G2542" s="1" t="str">
        <f ca="1">IFERROR(__xludf.DUMMYFUNCTION("""COMPUTED_VALUE"""),"12.9341/77.4916")</f>
        <v>12.9341/77.4916</v>
      </c>
      <c r="H2542" s="1" t="str">
        <f ca="1">IFERROR(__xludf.DUMMYFUNCTION("""COMPUTED_VALUE"""),"Nagadevanahalli")</f>
        <v>Nagadevanahalli</v>
      </c>
      <c r="I2542" s="1"/>
      <c r="J2542" s="1" t="str">
        <f ca="1">IFERROR(__xludf.DUMMYFUNCTION("""COMPUTED_VALUE"""),"0d 00h 00m")</f>
        <v>0d 00h 00m</v>
      </c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13.2">
      <c r="A2543" s="1">
        <f ca="1">IFERROR(__xludf.DUMMYFUNCTION("""COMPUTED_VALUE"""),115)</f>
        <v>115</v>
      </c>
      <c r="B2543" s="1" t="str">
        <f ca="1">IFERROR(__xludf.DUMMYFUNCTION("""COMPUTED_VALUE"""),"WWM_VV2_KA41AB5933_RECYCLER")</f>
        <v>WWM_VV2_KA41AB5933_RECYCLER</v>
      </c>
      <c r="C2543" s="1" t="str">
        <f ca="1">IFERROR(__xludf.DUMMYFUNCTION("""COMPUTED_VALUE"""),"wwm_vv2_ka41ab5933_recycler")</f>
        <v>wwm_vv2_ka41ab5933_recycler</v>
      </c>
      <c r="D2543" s="2">
        <f ca="1">IFERROR(__xludf.DUMMYFUNCTION("""COMPUTED_VALUE"""),43868)</f>
        <v>43868</v>
      </c>
      <c r="E2543" s="3">
        <f ca="1">IFERROR(__xludf.DUMMYFUNCTION("""COMPUTED_VALUE"""),0.472245370368909)</f>
        <v>0.47224537036890901</v>
      </c>
      <c r="F2543" s="1">
        <f ca="1">IFERROR(__xludf.DUMMYFUNCTION("""COMPUTED_VALUE"""),1609344)</f>
        <v>1609344</v>
      </c>
      <c r="G2543" s="1" t="str">
        <f ca="1">IFERROR(__xludf.DUMMYFUNCTION("""COMPUTED_VALUE"""),"12.9341/77.4916")</f>
        <v>12.9341/77.4916</v>
      </c>
      <c r="H2543" s="1" t="str">
        <f ca="1">IFERROR(__xludf.DUMMYFUNCTION("""COMPUTED_VALUE"""),"Nagadevanahalli")</f>
        <v>Nagadevanahalli</v>
      </c>
      <c r="I2543" s="1"/>
      <c r="J2543" s="1" t="str">
        <f ca="1">IFERROR(__xludf.DUMMYFUNCTION("""COMPUTED_VALUE"""),"0d 00h 00m")</f>
        <v>0d 00h 00m</v>
      </c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13.2">
      <c r="A2544" s="1">
        <f ca="1">IFERROR(__xludf.DUMMYFUNCTION("""COMPUTED_VALUE"""),112)</f>
        <v>112</v>
      </c>
      <c r="B2544" s="1" t="str">
        <f ca="1">IFERROR(__xludf.DUMMYFUNCTION("""COMPUTED_VALUE"""),"WWM_VV2_KA41AB5933_RECYCLER")</f>
        <v>WWM_VV2_KA41AB5933_RECYCLER</v>
      </c>
      <c r="C2544" s="1" t="str">
        <f ca="1">IFERROR(__xludf.DUMMYFUNCTION("""COMPUTED_VALUE"""),"wwm_vv2_ka41ab5933_recycler")</f>
        <v>wwm_vv2_ka41ab5933_recycler</v>
      </c>
      <c r="D2544" s="2">
        <f ca="1">IFERROR(__xludf.DUMMYFUNCTION("""COMPUTED_VALUE"""),43868)</f>
        <v>43868</v>
      </c>
      <c r="E2544" s="3">
        <f ca="1">IFERROR(__xludf.DUMMYFUNCTION("""COMPUTED_VALUE"""),0.472245370368909)</f>
        <v>0.47224537036890901</v>
      </c>
      <c r="F2544" s="1">
        <f ca="1">IFERROR(__xludf.DUMMYFUNCTION("""COMPUTED_VALUE"""),1609344)</f>
        <v>1609344</v>
      </c>
      <c r="G2544" s="1" t="str">
        <f ca="1">IFERROR(__xludf.DUMMYFUNCTION("""COMPUTED_VALUE"""),"12.9341/77.4916")</f>
        <v>12.9341/77.4916</v>
      </c>
      <c r="H2544" s="1" t="str">
        <f ca="1">IFERROR(__xludf.DUMMYFUNCTION("""COMPUTED_VALUE"""),"Nagadevanahalli")</f>
        <v>Nagadevanahalli</v>
      </c>
      <c r="I2544" s="1"/>
      <c r="J2544" s="1" t="str">
        <f ca="1">IFERROR(__xludf.DUMMYFUNCTION("""COMPUTED_VALUE"""),"0d 00h 01m")</f>
        <v>0d 00h 01m</v>
      </c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13.2">
      <c r="A2545" s="1">
        <f ca="1">IFERROR(__xludf.DUMMYFUNCTION("""COMPUTED_VALUE"""),112)</f>
        <v>112</v>
      </c>
      <c r="B2545" s="1" t="str">
        <f ca="1">IFERROR(__xludf.DUMMYFUNCTION("""COMPUTED_VALUE"""),"WWM_VV2_KA41AB5933_RECYCLER")</f>
        <v>WWM_VV2_KA41AB5933_RECYCLER</v>
      </c>
      <c r="C2545" s="1" t="str">
        <f ca="1">IFERROR(__xludf.DUMMYFUNCTION("""COMPUTED_VALUE"""),"wwm_vv2_ka41ab5933_recycler")</f>
        <v>wwm_vv2_ka41ab5933_recycler</v>
      </c>
      <c r="D2545" s="2">
        <f ca="1">IFERROR(__xludf.DUMMYFUNCTION("""COMPUTED_VALUE"""),43868)</f>
        <v>43868</v>
      </c>
      <c r="E2545" s="3">
        <f ca="1">IFERROR(__xludf.DUMMYFUNCTION("""COMPUTED_VALUE"""),0.472245370368909)</f>
        <v>0.47224537036890901</v>
      </c>
      <c r="F2545" s="1">
        <f ca="1">IFERROR(__xludf.DUMMYFUNCTION("""COMPUTED_VALUE"""),1609344)</f>
        <v>1609344</v>
      </c>
      <c r="G2545" s="1" t="str">
        <f ca="1">IFERROR(__xludf.DUMMYFUNCTION("""COMPUTED_VALUE"""),"12.9341/77.4916")</f>
        <v>12.9341/77.4916</v>
      </c>
      <c r="H2545" s="1" t="str">
        <f ca="1">IFERROR(__xludf.DUMMYFUNCTION("""COMPUTED_VALUE"""),"Nagadevanahalli")</f>
        <v>Nagadevanahalli</v>
      </c>
      <c r="I2545" s="1"/>
      <c r="J2545" s="1" t="str">
        <f ca="1">IFERROR(__xludf.DUMMYFUNCTION("""COMPUTED_VALUE"""),"0d 00h 02m")</f>
        <v>0d 00h 02m</v>
      </c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13.2">
      <c r="A2546" s="1">
        <f ca="1">IFERROR(__xludf.DUMMYFUNCTION("""COMPUTED_VALUE"""),112)</f>
        <v>112</v>
      </c>
      <c r="B2546" s="1" t="str">
        <f ca="1">IFERROR(__xludf.DUMMYFUNCTION("""COMPUTED_VALUE"""),"WWM_VV2_KA41AB5933_RECYCLER")</f>
        <v>WWM_VV2_KA41AB5933_RECYCLER</v>
      </c>
      <c r="C2546" s="1" t="str">
        <f ca="1">IFERROR(__xludf.DUMMYFUNCTION("""COMPUTED_VALUE"""),"wwm_vv2_ka41ab5933_recycler")</f>
        <v>wwm_vv2_ka41ab5933_recycler</v>
      </c>
      <c r="D2546" s="2">
        <f ca="1">IFERROR(__xludf.DUMMYFUNCTION("""COMPUTED_VALUE"""),43868)</f>
        <v>43868</v>
      </c>
      <c r="E2546" s="3">
        <f ca="1">IFERROR(__xludf.DUMMYFUNCTION("""COMPUTED_VALUE"""),0.472245370368909)</f>
        <v>0.47224537036890901</v>
      </c>
      <c r="F2546" s="1">
        <f ca="1">IFERROR(__xludf.DUMMYFUNCTION("""COMPUTED_VALUE"""),1609344)</f>
        <v>1609344</v>
      </c>
      <c r="G2546" s="1" t="str">
        <f ca="1">IFERROR(__xludf.DUMMYFUNCTION("""COMPUTED_VALUE"""),"12.9341/77.4916")</f>
        <v>12.9341/77.4916</v>
      </c>
      <c r="H2546" s="1" t="str">
        <f ca="1">IFERROR(__xludf.DUMMYFUNCTION("""COMPUTED_VALUE"""),"Nagadevanahalli")</f>
        <v>Nagadevanahalli</v>
      </c>
      <c r="I2546" s="1"/>
      <c r="J2546" s="1" t="str">
        <f ca="1">IFERROR(__xludf.DUMMYFUNCTION("""COMPUTED_VALUE"""),"0d 00h 00m")</f>
        <v>0d 00h 00m</v>
      </c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13.2">
      <c r="A2547" s="1">
        <f ca="1">IFERROR(__xludf.DUMMYFUNCTION("""COMPUTED_VALUE"""),112)</f>
        <v>112</v>
      </c>
      <c r="B2547" s="1" t="str">
        <f ca="1">IFERROR(__xludf.DUMMYFUNCTION("""COMPUTED_VALUE"""),"WWM_VV2_KA41AB5933_RECYCLER")</f>
        <v>WWM_VV2_KA41AB5933_RECYCLER</v>
      </c>
      <c r="C2547" s="1" t="str">
        <f ca="1">IFERROR(__xludf.DUMMYFUNCTION("""COMPUTED_VALUE"""),"wwm_vv2_ka41ab5933_recycler")</f>
        <v>wwm_vv2_ka41ab5933_recycler</v>
      </c>
      <c r="D2547" s="2">
        <f ca="1">IFERROR(__xludf.DUMMYFUNCTION("""COMPUTED_VALUE"""),43868)</f>
        <v>43868</v>
      </c>
      <c r="E2547" s="3">
        <f ca="1">IFERROR(__xludf.DUMMYFUNCTION("""COMPUTED_VALUE"""),0.472245370368909)</f>
        <v>0.47224537036890901</v>
      </c>
      <c r="F2547" s="1">
        <f ca="1">IFERROR(__xludf.DUMMYFUNCTION("""COMPUTED_VALUE"""),1609344)</f>
        <v>1609344</v>
      </c>
      <c r="G2547" s="1" t="str">
        <f ca="1">IFERROR(__xludf.DUMMYFUNCTION("""COMPUTED_VALUE"""),"12.9341/77.4916")</f>
        <v>12.9341/77.4916</v>
      </c>
      <c r="H2547" s="1" t="str">
        <f ca="1">IFERROR(__xludf.DUMMYFUNCTION("""COMPUTED_VALUE"""),"Nagadevanahalli")</f>
        <v>Nagadevanahalli</v>
      </c>
      <c r="I2547" s="1"/>
      <c r="J2547" s="1" t="str">
        <f ca="1">IFERROR(__xludf.DUMMYFUNCTION("""COMPUTED_VALUE"""),"0d 00h 00m")</f>
        <v>0d 00h 00m</v>
      </c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13.2">
      <c r="A2548" s="1">
        <f ca="1">IFERROR(__xludf.DUMMYFUNCTION("""COMPUTED_VALUE"""),112)</f>
        <v>112</v>
      </c>
      <c r="B2548" s="1" t="str">
        <f ca="1">IFERROR(__xludf.DUMMYFUNCTION("""COMPUTED_VALUE"""),"WWM_VV2_KA41AB5933_RECYCLER")</f>
        <v>WWM_VV2_KA41AB5933_RECYCLER</v>
      </c>
      <c r="C2548" s="1" t="str">
        <f ca="1">IFERROR(__xludf.DUMMYFUNCTION("""COMPUTED_VALUE"""),"wwm_vv2_ka41ab5933_recycler")</f>
        <v>wwm_vv2_ka41ab5933_recycler</v>
      </c>
      <c r="D2548" s="2">
        <f ca="1">IFERROR(__xludf.DUMMYFUNCTION("""COMPUTED_VALUE"""),43868)</f>
        <v>43868</v>
      </c>
      <c r="E2548" s="3">
        <f ca="1">IFERROR(__xludf.DUMMYFUNCTION("""COMPUTED_VALUE"""),0.472245370368909)</f>
        <v>0.47224537036890901</v>
      </c>
      <c r="F2548" s="1">
        <f ca="1">IFERROR(__xludf.DUMMYFUNCTION("""COMPUTED_VALUE"""),1609344)</f>
        <v>1609344</v>
      </c>
      <c r="G2548" s="1" t="str">
        <f ca="1">IFERROR(__xludf.DUMMYFUNCTION("""COMPUTED_VALUE"""),"12.9341/77.4916")</f>
        <v>12.9341/77.4916</v>
      </c>
      <c r="H2548" s="1" t="str">
        <f ca="1">IFERROR(__xludf.DUMMYFUNCTION("""COMPUTED_VALUE"""),"Nagadevanahalli")</f>
        <v>Nagadevanahalli</v>
      </c>
      <c r="I2548" s="1"/>
      <c r="J2548" s="1" t="str">
        <f ca="1">IFERROR(__xludf.DUMMYFUNCTION("""COMPUTED_VALUE"""),"0d 00h 00m")</f>
        <v>0d 00h 00m</v>
      </c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13.2">
      <c r="A2549" s="1">
        <f ca="1">IFERROR(__xludf.DUMMYFUNCTION("""COMPUTED_VALUE"""),190)</f>
        <v>190</v>
      </c>
      <c r="B2549" s="1" t="str">
        <f ca="1">IFERROR(__xludf.DUMMYFUNCTION("""COMPUTED_VALUE"""),"WWM_VV2_KA53B3461_Dumptanker")</f>
        <v>WWM_VV2_KA53B3461_Dumptanker</v>
      </c>
      <c r="C2549" s="1" t="str">
        <f ca="1">IFERROR(__xludf.DUMMYFUNCTION("""COMPUTED_VALUE"""),"wwm_vv2_ka53b3461_dumptanker")</f>
        <v>wwm_vv2_ka53b3461_dumptanker</v>
      </c>
      <c r="D2549" s="2">
        <f ca="1">IFERROR(__xludf.DUMMYFUNCTION("""COMPUTED_VALUE"""),44707)</f>
        <v>44707</v>
      </c>
      <c r="E2549" s="3">
        <f ca="1">IFERROR(__xludf.DUMMYFUNCTION("""COMPUTED_VALUE"""),0.999120370372111)</f>
        <v>0.99912037037211099</v>
      </c>
      <c r="F2549" s="1">
        <f ca="1">IFERROR(__xludf.DUMMYFUNCTION("""COMPUTED_VALUE"""),17385)</f>
        <v>17385</v>
      </c>
      <c r="G2549" s="1" t="str">
        <f ca="1">IFERROR(__xludf.DUMMYFUNCTION("""COMPUTED_VALUE"""),"12.9366/77.5212")</f>
        <v>12.9366/77.5212</v>
      </c>
      <c r="H2549" s="1" t="str">
        <f ca="1">IFERROR(__xludf.DUMMYFUNCTION("""COMPUTED_VALUE"""),"Nayandanahalli")</f>
        <v>Nayandanahalli</v>
      </c>
      <c r="I2549" s="1"/>
      <c r="J2549" s="1" t="str">
        <f ca="1">IFERROR(__xludf.DUMMYFUNCTION("""COMPUTED_VALUE"""),"0d 00h 00m")</f>
        <v>0d 00h 00m</v>
      </c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13.2">
      <c r="A2550" s="1">
        <f ca="1">IFERROR(__xludf.DUMMYFUNCTION("""COMPUTED_VALUE"""),133)</f>
        <v>133</v>
      </c>
      <c r="B2550" s="1" t="str">
        <f ca="1">IFERROR(__xludf.DUMMYFUNCTION("""COMPUTED_VALUE"""),"WWM_VV2_KA53B3461_Dumptanker")</f>
        <v>WWM_VV2_KA53B3461_Dumptanker</v>
      </c>
      <c r="C2550" s="1" t="str">
        <f ca="1">IFERROR(__xludf.DUMMYFUNCTION("""COMPUTED_VALUE"""),"wwm_vv2_ka53b3461_dumptanker")</f>
        <v>wwm_vv2_ka53b3461_dumptanker</v>
      </c>
      <c r="D2550" s="2">
        <f ca="1">IFERROR(__xludf.DUMMYFUNCTION("""COMPUTED_VALUE"""),44737)</f>
        <v>44737</v>
      </c>
      <c r="E2550" s="3">
        <f ca="1">IFERROR(__xludf.DUMMYFUNCTION("""COMPUTED_VALUE"""),0.665821759259415)</f>
        <v>0.665821759259415</v>
      </c>
      <c r="F2550" s="1">
        <f ca="1">IFERROR(__xludf.DUMMYFUNCTION("""COMPUTED_VALUE"""),18102)</f>
        <v>18102</v>
      </c>
      <c r="G2550" s="1" t="str">
        <f ca="1">IFERROR(__xludf.DUMMYFUNCTION("""COMPUTED_VALUE"""),"12.9365/77.5212")</f>
        <v>12.9365/77.5212</v>
      </c>
      <c r="H2550" s="1" t="str">
        <f ca="1">IFERROR(__xludf.DUMMYFUNCTION("""COMPUTED_VALUE"""),"Nayandanahalli")</f>
        <v>Nayandanahalli</v>
      </c>
      <c r="I2550" s="1"/>
      <c r="J2550" s="1" t="str">
        <f ca="1">IFERROR(__xludf.DUMMYFUNCTION("""COMPUTED_VALUE"""),"0d 00h 00m")</f>
        <v>0d 00h 00m</v>
      </c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13.2">
      <c r="A2551" s="1">
        <f ca="1">IFERROR(__xludf.DUMMYFUNCTION("""COMPUTED_VALUE"""),212)</f>
        <v>212</v>
      </c>
      <c r="B2551" s="1" t="str">
        <f ca="1">IFERROR(__xludf.DUMMYFUNCTION("""COMPUTED_VALUE"""),"WWM_VV2_KA53B3461_Dumptanker")</f>
        <v>WWM_VV2_KA53B3461_Dumptanker</v>
      </c>
      <c r="C2551" s="1" t="str">
        <f ca="1">IFERROR(__xludf.DUMMYFUNCTION("""COMPUTED_VALUE"""),"wwm_vv2_ka53b3461_dumptanker")</f>
        <v>wwm_vv2_ka53b3461_dumptanker</v>
      </c>
      <c r="D2551" s="2">
        <f ca="1">IFERROR(__xludf.DUMMYFUNCTION("""COMPUTED_VALUE"""),44768)</f>
        <v>44768</v>
      </c>
      <c r="E2551" s="3">
        <f ca="1">IFERROR(__xludf.DUMMYFUNCTION("""COMPUTED_VALUE"""),0.99921296296452)</f>
        <v>0.99921296296452</v>
      </c>
      <c r="F2551" s="1">
        <f ca="1">IFERROR(__xludf.DUMMYFUNCTION("""COMPUTED_VALUE"""),18471)</f>
        <v>18471</v>
      </c>
      <c r="G2551" s="1" t="str">
        <f ca="1">IFERROR(__xludf.DUMMYFUNCTION("""COMPUTED_VALUE"""),"12.9365/77.5212")</f>
        <v>12.9365/77.5212</v>
      </c>
      <c r="H2551" s="1" t="str">
        <f ca="1">IFERROR(__xludf.DUMMYFUNCTION("""COMPUTED_VALUE"""),"Nayandanahalli")</f>
        <v>Nayandanahalli</v>
      </c>
      <c r="I2551" s="1"/>
      <c r="J2551" s="1" t="str">
        <f ca="1">IFERROR(__xludf.DUMMYFUNCTION("""COMPUTED_VALUE"""),"0d 00h 00m")</f>
        <v>0d 00h 00m</v>
      </c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13.2">
      <c r="A2552" s="1">
        <f ca="1">IFERROR(__xludf.DUMMYFUNCTION("""COMPUTED_VALUE"""),154)</f>
        <v>154</v>
      </c>
      <c r="B2552" s="1" t="str">
        <f ca="1">IFERROR(__xludf.DUMMYFUNCTION("""COMPUTED_VALUE"""),"WWM_VV2_KA53B3461_Dumptanker")</f>
        <v>WWM_VV2_KA53B3461_Dumptanker</v>
      </c>
      <c r="C2552" s="1" t="str">
        <f ca="1">IFERROR(__xludf.DUMMYFUNCTION("""COMPUTED_VALUE"""),"wwm_vv2_ka53b3461_dumptanker")</f>
        <v>wwm_vv2_ka53b3461_dumptanker</v>
      </c>
      <c r="D2552" s="2">
        <f ca="1">IFERROR(__xludf.DUMMYFUNCTION("""COMPUTED_VALUE"""),44799)</f>
        <v>44799</v>
      </c>
      <c r="E2552" s="3">
        <f ca="1">IFERROR(__xludf.DUMMYFUNCTION("""COMPUTED_VALUE"""),0.724131944443797)</f>
        <v>0.72413194444379703</v>
      </c>
      <c r="F2552" s="1">
        <f ca="1">IFERROR(__xludf.DUMMYFUNCTION("""COMPUTED_VALUE"""),18855)</f>
        <v>18855</v>
      </c>
      <c r="G2552" s="1" t="str">
        <f ca="1">IFERROR(__xludf.DUMMYFUNCTION("""COMPUTED_VALUE"""),"12.9364/77.5213")</f>
        <v>12.9364/77.5213</v>
      </c>
      <c r="H2552" s="1" t="str">
        <f ca="1">IFERROR(__xludf.DUMMYFUNCTION("""COMPUTED_VALUE"""),"Nayandanahalli")</f>
        <v>Nayandanahalli</v>
      </c>
      <c r="I2552" s="1"/>
      <c r="J2552" s="1" t="str">
        <f ca="1">IFERROR(__xludf.DUMMYFUNCTION("""COMPUTED_VALUE"""),"0d 00h 00m")</f>
        <v>0d 00h 00m</v>
      </c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13.2">
      <c r="A2553" s="1">
        <f ca="1">IFERROR(__xludf.DUMMYFUNCTION("""COMPUTED_VALUE"""),234)</f>
        <v>234</v>
      </c>
      <c r="B2553" s="1" t="str">
        <f ca="1">IFERROR(__xludf.DUMMYFUNCTION("""COMPUTED_VALUE"""),"WWM_VV2_KA53B3461_Dumptanker")</f>
        <v>WWM_VV2_KA53B3461_Dumptanker</v>
      </c>
      <c r="C2553" s="1" t="str">
        <f ca="1">IFERROR(__xludf.DUMMYFUNCTION("""COMPUTED_VALUE"""),"wwm_vv2_ka53b3461_dumptanker")</f>
        <v>wwm_vv2_ka53b3461_dumptanker</v>
      </c>
      <c r="D2553" s="2">
        <f ca="1">IFERROR(__xludf.DUMMYFUNCTION("""COMPUTED_VALUE"""),44830)</f>
        <v>44830</v>
      </c>
      <c r="E2553" s="3">
        <f ca="1">IFERROR(__xludf.DUMMYFUNCTION("""COMPUTED_VALUE"""),0.999305555556929)</f>
        <v>0.99930555555692901</v>
      </c>
      <c r="F2553" s="1">
        <f ca="1">IFERROR(__xludf.DUMMYFUNCTION("""COMPUTED_VALUE"""),19913)</f>
        <v>19913</v>
      </c>
      <c r="G2553" s="1"/>
      <c r="H2553" s="1"/>
      <c r="I2553" s="1"/>
      <c r="J2553" s="1" t="str">
        <f ca="1">IFERROR(__xludf.DUMMYFUNCTION("""COMPUTED_VALUE"""),"0d 00h 00m")</f>
        <v>0d 00h 00m</v>
      </c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13.2">
      <c r="A2554" s="1">
        <f ca="1">IFERROR(__xludf.DUMMYFUNCTION("""COMPUTED_VALUE"""),201)</f>
        <v>201</v>
      </c>
      <c r="B2554" s="1" t="str">
        <f ca="1">IFERROR(__xludf.DUMMYFUNCTION("""COMPUTED_VALUE"""),"WWM_VV2_KA53B3461_Dumptanker")</f>
        <v>WWM_VV2_KA53B3461_Dumptanker</v>
      </c>
      <c r="C2554" s="1" t="str">
        <f ca="1">IFERROR(__xludf.DUMMYFUNCTION("""COMPUTED_VALUE"""),"wwm_vv2_ka53b3461_dumptanker")</f>
        <v>wwm_vv2_ka53b3461_dumptanker</v>
      </c>
      <c r="D2554" s="2">
        <f ca="1">IFERROR(__xludf.DUMMYFUNCTION("""COMPUTED_VALUE"""),44860)</f>
        <v>44860</v>
      </c>
      <c r="E2554" s="3">
        <f ca="1">IFERROR(__xludf.DUMMYFUNCTION("""COMPUTED_VALUE"""),0.999166666668315)</f>
        <v>0.999166666668315</v>
      </c>
      <c r="F2554" s="1">
        <f ca="1">IFERROR(__xludf.DUMMYFUNCTION("""COMPUTED_VALUE"""),20356)</f>
        <v>20356</v>
      </c>
      <c r="G2554" s="1"/>
      <c r="H2554" s="1"/>
      <c r="I2554" s="1"/>
      <c r="J2554" s="1" t="str">
        <f ca="1">IFERROR(__xludf.DUMMYFUNCTION("""COMPUTED_VALUE"""),"0d 00h 00m")</f>
        <v>0d 00h 00m</v>
      </c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13.2">
      <c r="A2555" s="1">
        <f ca="1">IFERROR(__xludf.DUMMYFUNCTION("""COMPUTED_VALUE"""),42)</f>
        <v>42</v>
      </c>
      <c r="B2555" s="1" t="str">
        <f ca="1">IFERROR(__xludf.DUMMYFUNCTION("""COMPUTED_VALUE"""),"Wwm_Vv2_KA53B3462_Jetting")</f>
        <v>Wwm_Vv2_KA53B3462_Jetting</v>
      </c>
      <c r="C2555" s="1" t="str">
        <f ca="1">IFERROR(__xludf.DUMMYFUNCTION("""COMPUTED_VALUE"""),"wwm_vv2_ka53b3462_jetting")</f>
        <v>wwm_vv2_ka53b3462_jetting</v>
      </c>
      <c r="D2555" s="2">
        <f ca="1">IFERROR(__xludf.DUMMYFUNCTION("""COMPUTED_VALUE"""),44539)</f>
        <v>44539</v>
      </c>
      <c r="E2555" s="3">
        <f ca="1">IFERROR(__xludf.DUMMYFUNCTION("""COMPUTED_VALUE"""),0.55278935185197)</f>
        <v>0.55278935185196998</v>
      </c>
      <c r="F2555" s="1">
        <f ca="1">IFERROR(__xludf.DUMMYFUNCTION("""COMPUTED_VALUE"""),12263)</f>
        <v>12263</v>
      </c>
      <c r="G2555" s="1" t="str">
        <f ca="1">IFERROR(__xludf.DUMMYFUNCTION("""COMPUTED_VALUE"""),"12.9366/77.5211")</f>
        <v>12.9366/77.5211</v>
      </c>
      <c r="H2555" s="1" t="str">
        <f ca="1">IFERROR(__xludf.DUMMYFUNCTION("""COMPUTED_VALUE"""),"Nayandanahalli")</f>
        <v>Nayandanahalli</v>
      </c>
      <c r="I2555" s="1"/>
      <c r="J2555" s="1" t="str">
        <f ca="1">IFERROR(__xludf.DUMMYFUNCTION("""COMPUTED_VALUE"""),"377d 21h 15m")</f>
        <v>377d 21h 15m</v>
      </c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13.2">
      <c r="A2556" s="1">
        <f ca="1">IFERROR(__xludf.DUMMYFUNCTION("""COMPUTED_VALUE"""),38)</f>
        <v>38</v>
      </c>
      <c r="B2556" s="1" t="str">
        <f ca="1">IFERROR(__xludf.DUMMYFUNCTION("""COMPUTED_VALUE"""),"Wwm_Vv2_KA53B3462_Jetting")</f>
        <v>Wwm_Vv2_KA53B3462_Jetting</v>
      </c>
      <c r="C2556" s="1" t="str">
        <f ca="1">IFERROR(__xludf.DUMMYFUNCTION("""COMPUTED_VALUE"""),"wwm_vv2_ka53b3462_jetting")</f>
        <v>wwm_vv2_ka53b3462_jetting</v>
      </c>
      <c r="D2556" s="2">
        <f ca="1">IFERROR(__xludf.DUMMYFUNCTION("""COMPUTED_VALUE"""),44539)</f>
        <v>44539</v>
      </c>
      <c r="E2556" s="3">
        <f ca="1">IFERROR(__xludf.DUMMYFUNCTION("""COMPUTED_VALUE"""),0.55278935185197)</f>
        <v>0.55278935185196998</v>
      </c>
      <c r="F2556" s="1">
        <f ca="1">IFERROR(__xludf.DUMMYFUNCTION("""COMPUTED_VALUE"""),12263)</f>
        <v>12263</v>
      </c>
      <c r="G2556" s="1" t="str">
        <f ca="1">IFERROR(__xludf.DUMMYFUNCTION("""COMPUTED_VALUE"""),"12.9366/77.5211")</f>
        <v>12.9366/77.5211</v>
      </c>
      <c r="H2556" s="1" t="str">
        <f ca="1">IFERROR(__xludf.DUMMYFUNCTION("""COMPUTED_VALUE"""),"Nayandanahalli")</f>
        <v>Nayandanahalli</v>
      </c>
      <c r="I2556" s="1"/>
      <c r="J2556" s="1" t="str">
        <f ca="1">IFERROR(__xludf.DUMMYFUNCTION("""COMPUTED_VALUE"""),"377d 21h 16m")</f>
        <v>377d 21h 16m</v>
      </c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13.2">
      <c r="A2557" s="1">
        <f ca="1">IFERROR(__xludf.DUMMYFUNCTION("""COMPUTED_VALUE"""),38)</f>
        <v>38</v>
      </c>
      <c r="B2557" s="1" t="str">
        <f ca="1">IFERROR(__xludf.DUMMYFUNCTION("""COMPUTED_VALUE"""),"Wwm_Vv2_KA53B3462_Jetting")</f>
        <v>Wwm_Vv2_KA53B3462_Jetting</v>
      </c>
      <c r="C2557" s="1" t="str">
        <f ca="1">IFERROR(__xludf.DUMMYFUNCTION("""COMPUTED_VALUE"""),"wwm_vv2_ka53b3462_jetting")</f>
        <v>wwm_vv2_ka53b3462_jetting</v>
      </c>
      <c r="D2557" s="2">
        <f ca="1">IFERROR(__xludf.DUMMYFUNCTION("""COMPUTED_VALUE"""),44539)</f>
        <v>44539</v>
      </c>
      <c r="E2557" s="3">
        <f ca="1">IFERROR(__xludf.DUMMYFUNCTION("""COMPUTED_VALUE"""),0.55278935185197)</f>
        <v>0.55278935185196998</v>
      </c>
      <c r="F2557" s="1">
        <f ca="1">IFERROR(__xludf.DUMMYFUNCTION("""COMPUTED_VALUE"""),12263)</f>
        <v>12263</v>
      </c>
      <c r="G2557" s="1" t="str">
        <f ca="1">IFERROR(__xludf.DUMMYFUNCTION("""COMPUTED_VALUE"""),"12.9366/77.5211")</f>
        <v>12.9366/77.5211</v>
      </c>
      <c r="H2557" s="1" t="str">
        <f ca="1">IFERROR(__xludf.DUMMYFUNCTION("""COMPUTED_VALUE"""),"Nayandanahalli")</f>
        <v>Nayandanahalli</v>
      </c>
      <c r="I2557" s="1"/>
      <c r="J2557" s="1" t="str">
        <f ca="1">IFERROR(__xludf.DUMMYFUNCTION("""COMPUTED_VALUE"""),"377d 21h 17m")</f>
        <v>377d 21h 17m</v>
      </c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13.2">
      <c r="A2558" s="1">
        <f ca="1">IFERROR(__xludf.DUMMYFUNCTION("""COMPUTED_VALUE"""),38)</f>
        <v>38</v>
      </c>
      <c r="B2558" s="1" t="str">
        <f ca="1">IFERROR(__xludf.DUMMYFUNCTION("""COMPUTED_VALUE"""),"Wwm_Vv2_KA53B3462_Jetting")</f>
        <v>Wwm_Vv2_KA53B3462_Jetting</v>
      </c>
      <c r="C2558" s="1" t="str">
        <f ca="1">IFERROR(__xludf.DUMMYFUNCTION("""COMPUTED_VALUE"""),"wwm_vv2_ka53b3462_jetting")</f>
        <v>wwm_vv2_ka53b3462_jetting</v>
      </c>
      <c r="D2558" s="2">
        <f ca="1">IFERROR(__xludf.DUMMYFUNCTION("""COMPUTED_VALUE"""),44539)</f>
        <v>44539</v>
      </c>
      <c r="E2558" s="3">
        <f ca="1">IFERROR(__xludf.DUMMYFUNCTION("""COMPUTED_VALUE"""),0.55278935185197)</f>
        <v>0.55278935185196998</v>
      </c>
      <c r="F2558" s="1">
        <f ca="1">IFERROR(__xludf.DUMMYFUNCTION("""COMPUTED_VALUE"""),12263)</f>
        <v>12263</v>
      </c>
      <c r="G2558" s="1" t="str">
        <f ca="1">IFERROR(__xludf.DUMMYFUNCTION("""COMPUTED_VALUE"""),"12.9366/77.5211")</f>
        <v>12.9366/77.5211</v>
      </c>
      <c r="H2558" s="1" t="str">
        <f ca="1">IFERROR(__xludf.DUMMYFUNCTION("""COMPUTED_VALUE"""),"Nayandanahalli")</f>
        <v>Nayandanahalli</v>
      </c>
      <c r="I2558" s="1"/>
      <c r="J2558" s="1" t="str">
        <f ca="1">IFERROR(__xludf.DUMMYFUNCTION("""COMPUTED_VALUE"""),"377d 21h 17m")</f>
        <v>377d 21h 17m</v>
      </c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13.2">
      <c r="A2559" s="1">
        <f ca="1">IFERROR(__xludf.DUMMYFUNCTION("""COMPUTED_VALUE"""),37)</f>
        <v>37</v>
      </c>
      <c r="B2559" s="1" t="str">
        <f ca="1">IFERROR(__xludf.DUMMYFUNCTION("""COMPUTED_VALUE"""),"Wwm_Vv2_KA53B3462_Jetting")</f>
        <v>Wwm_Vv2_KA53B3462_Jetting</v>
      </c>
      <c r="C2559" s="1" t="str">
        <f ca="1">IFERROR(__xludf.DUMMYFUNCTION("""COMPUTED_VALUE"""),"wwm_vv2_ka53b3462_jetting")</f>
        <v>wwm_vv2_ka53b3462_jetting</v>
      </c>
      <c r="D2559" s="2">
        <f ca="1">IFERROR(__xludf.DUMMYFUNCTION("""COMPUTED_VALUE"""),44539)</f>
        <v>44539</v>
      </c>
      <c r="E2559" s="3">
        <f ca="1">IFERROR(__xludf.DUMMYFUNCTION("""COMPUTED_VALUE"""),0.55278935185197)</f>
        <v>0.55278935185196998</v>
      </c>
      <c r="F2559" s="1">
        <f ca="1">IFERROR(__xludf.DUMMYFUNCTION("""COMPUTED_VALUE"""),12263)</f>
        <v>12263</v>
      </c>
      <c r="G2559" s="1" t="str">
        <f ca="1">IFERROR(__xludf.DUMMYFUNCTION("""COMPUTED_VALUE"""),"12.9366/77.5211")</f>
        <v>12.9366/77.5211</v>
      </c>
      <c r="H2559" s="1" t="str">
        <f ca="1">IFERROR(__xludf.DUMMYFUNCTION("""COMPUTED_VALUE"""),"Nayandanahalli")</f>
        <v>Nayandanahalli</v>
      </c>
      <c r="I2559" s="1"/>
      <c r="J2559" s="1" t="str">
        <f ca="1">IFERROR(__xludf.DUMMYFUNCTION("""COMPUTED_VALUE"""),"377d 21h 18m")</f>
        <v>377d 21h 18m</v>
      </c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13.2">
      <c r="A2560" s="1">
        <f ca="1">IFERROR(__xludf.DUMMYFUNCTION("""COMPUTED_VALUE"""),37)</f>
        <v>37</v>
      </c>
      <c r="B2560" s="1" t="str">
        <f ca="1">IFERROR(__xludf.DUMMYFUNCTION("""COMPUTED_VALUE"""),"Wwm_Vv2_KA53B3462_Jetting")</f>
        <v>Wwm_Vv2_KA53B3462_Jetting</v>
      </c>
      <c r="C2560" s="1" t="str">
        <f ca="1">IFERROR(__xludf.DUMMYFUNCTION("""COMPUTED_VALUE"""),"wwm_vv2_ka53b3462_jetting")</f>
        <v>wwm_vv2_ka53b3462_jetting</v>
      </c>
      <c r="D2560" s="2">
        <f ca="1">IFERROR(__xludf.DUMMYFUNCTION("""COMPUTED_VALUE"""),44539)</f>
        <v>44539</v>
      </c>
      <c r="E2560" s="3">
        <f ca="1">IFERROR(__xludf.DUMMYFUNCTION("""COMPUTED_VALUE"""),0.55278935185197)</f>
        <v>0.55278935185196998</v>
      </c>
      <c r="F2560" s="1">
        <f ca="1">IFERROR(__xludf.DUMMYFUNCTION("""COMPUTED_VALUE"""),12263)</f>
        <v>12263</v>
      </c>
      <c r="G2560" s="1" t="str">
        <f ca="1">IFERROR(__xludf.DUMMYFUNCTION("""COMPUTED_VALUE"""),"12.9366/77.5211")</f>
        <v>12.9366/77.5211</v>
      </c>
      <c r="H2560" s="1" t="str">
        <f ca="1">IFERROR(__xludf.DUMMYFUNCTION("""COMPUTED_VALUE"""),"Nayandanahalli")</f>
        <v>Nayandanahalli</v>
      </c>
      <c r="I2560" s="1"/>
      <c r="J2560" s="1" t="str">
        <f ca="1">IFERROR(__xludf.DUMMYFUNCTION("""COMPUTED_VALUE"""),"377d 21h 19m")</f>
        <v>377d 21h 19m</v>
      </c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13.2">
      <c r="A2561" s="1">
        <f ca="1">IFERROR(__xludf.DUMMYFUNCTION("""COMPUTED_VALUE"""),7)</f>
        <v>7</v>
      </c>
      <c r="B2561" s="1" t="str">
        <f ca="1">IFERROR(__xludf.DUMMYFUNCTION("""COMPUTED_VALUE"""),"WWMN_CV1_KA04AA9020_DESILTING")</f>
        <v>WWMN_CV1_KA04AA9020_DESILTING</v>
      </c>
      <c r="C2561" s="1" t="str">
        <f ca="1">IFERROR(__xludf.DUMMYFUNCTION("""COMPUTED_VALUE"""),"wwmn_cv1_ka04aa9020_desilting")</f>
        <v>wwmn_cv1_ka04aa9020_desilting</v>
      </c>
      <c r="D2561" s="2">
        <f ca="1">IFERROR(__xludf.DUMMYFUNCTION("""COMPUTED_VALUE"""),41640)</f>
        <v>41640</v>
      </c>
      <c r="E2561" s="3">
        <f ca="1">IFERROR(__xludf.DUMMYFUNCTION("""COMPUTED_VALUE"""),0.229398148148902)</f>
        <v>0.229398148148902</v>
      </c>
      <c r="F2561" s="1">
        <f ca="1">IFERROR(__xludf.DUMMYFUNCTION("""COMPUTED_VALUE"""),14801)</f>
        <v>14801</v>
      </c>
      <c r="G2561" s="1"/>
      <c r="H2561" s="1"/>
      <c r="I2561" s="1"/>
      <c r="J2561" s="1" t="str">
        <f ca="1">IFERROR(__xludf.DUMMYFUNCTION("""COMPUTED_VALUE"""),"1d 00h 07m")</f>
        <v>1d 00h 07m</v>
      </c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13.2">
      <c r="A2562" s="1">
        <f ca="1">IFERROR(__xludf.DUMMYFUNCTION("""COMPUTED_VALUE"""),7)</f>
        <v>7</v>
      </c>
      <c r="B2562" s="1" t="str">
        <f ca="1">IFERROR(__xludf.DUMMYFUNCTION("""COMPUTED_VALUE"""),"WWMN_CV1_KA04AA9020_DESILTING")</f>
        <v>WWMN_CV1_KA04AA9020_DESILTING</v>
      </c>
      <c r="C2562" s="1" t="str">
        <f ca="1">IFERROR(__xludf.DUMMYFUNCTION("""COMPUTED_VALUE"""),"wwmn_cv1_ka04aa9020_desilting")</f>
        <v>wwmn_cv1_ka04aa9020_desilting</v>
      </c>
      <c r="D2562" s="2">
        <f ca="1">IFERROR(__xludf.DUMMYFUNCTION("""COMPUTED_VALUE"""),41640)</f>
        <v>41640</v>
      </c>
      <c r="E2562" s="3">
        <f ca="1">IFERROR(__xludf.DUMMYFUNCTION("""COMPUTED_VALUE"""),0.229398148148902)</f>
        <v>0.229398148148902</v>
      </c>
      <c r="F2562" s="1">
        <f ca="1">IFERROR(__xludf.DUMMYFUNCTION("""COMPUTED_VALUE"""),14801)</f>
        <v>14801</v>
      </c>
      <c r="G2562" s="1"/>
      <c r="H2562" s="1"/>
      <c r="I2562" s="1"/>
      <c r="J2562" s="1" t="str">
        <f ca="1">IFERROR(__xludf.DUMMYFUNCTION("""COMPUTED_VALUE"""),"1d 00h 08m")</f>
        <v>1d 00h 08m</v>
      </c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13.2">
      <c r="A2563" s="1">
        <f ca="1">IFERROR(__xludf.DUMMYFUNCTION("""COMPUTED_VALUE"""),7)</f>
        <v>7</v>
      </c>
      <c r="B2563" s="1" t="str">
        <f ca="1">IFERROR(__xludf.DUMMYFUNCTION("""COMPUTED_VALUE"""),"WWMN_CV1_KA04AA9020_DESILTING")</f>
        <v>WWMN_CV1_KA04AA9020_DESILTING</v>
      </c>
      <c r="C2563" s="1" t="str">
        <f ca="1">IFERROR(__xludf.DUMMYFUNCTION("""COMPUTED_VALUE"""),"wwmn_cv1_ka04aa9020_desilting")</f>
        <v>wwmn_cv1_ka04aa9020_desilting</v>
      </c>
      <c r="D2563" s="2">
        <f ca="1">IFERROR(__xludf.DUMMYFUNCTION("""COMPUTED_VALUE"""),41640)</f>
        <v>41640</v>
      </c>
      <c r="E2563" s="3">
        <f ca="1">IFERROR(__xludf.DUMMYFUNCTION("""COMPUTED_VALUE"""),0.229398148148902)</f>
        <v>0.229398148148902</v>
      </c>
      <c r="F2563" s="1">
        <f ca="1">IFERROR(__xludf.DUMMYFUNCTION("""COMPUTED_VALUE"""),14801)</f>
        <v>14801</v>
      </c>
      <c r="G2563" s="1"/>
      <c r="H2563" s="1"/>
      <c r="I2563" s="1"/>
      <c r="J2563" s="1" t="str">
        <f ca="1">IFERROR(__xludf.DUMMYFUNCTION("""COMPUTED_VALUE"""),"1d 00h 11m")</f>
        <v>1d 00h 11m</v>
      </c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13.2">
      <c r="A2564" s="1">
        <f ca="1">IFERROR(__xludf.DUMMYFUNCTION("""COMPUTED_VALUE"""),7)</f>
        <v>7</v>
      </c>
      <c r="B2564" s="1" t="str">
        <f ca="1">IFERROR(__xludf.DUMMYFUNCTION("""COMPUTED_VALUE"""),"WWMN_CV1_KA04AA9020_DESILTING")</f>
        <v>WWMN_CV1_KA04AA9020_DESILTING</v>
      </c>
      <c r="C2564" s="1" t="str">
        <f ca="1">IFERROR(__xludf.DUMMYFUNCTION("""COMPUTED_VALUE"""),"wwmn_cv1_ka04aa9020_desilting")</f>
        <v>wwmn_cv1_ka04aa9020_desilting</v>
      </c>
      <c r="D2564" s="2">
        <f ca="1">IFERROR(__xludf.DUMMYFUNCTION("""COMPUTED_VALUE"""),41640)</f>
        <v>41640</v>
      </c>
      <c r="E2564" s="3">
        <f ca="1">IFERROR(__xludf.DUMMYFUNCTION("""COMPUTED_VALUE"""),0.229398148148902)</f>
        <v>0.229398148148902</v>
      </c>
      <c r="F2564" s="1">
        <f ca="1">IFERROR(__xludf.DUMMYFUNCTION("""COMPUTED_VALUE"""),14801)</f>
        <v>14801</v>
      </c>
      <c r="G2564" s="1"/>
      <c r="H2564" s="1"/>
      <c r="I2564" s="1"/>
      <c r="J2564" s="1" t="str">
        <f ca="1">IFERROR(__xludf.DUMMYFUNCTION("""COMPUTED_VALUE"""),"1d 00h 12m")</f>
        <v>1d 00h 12m</v>
      </c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13.2">
      <c r="A2565" s="1">
        <f ca="1">IFERROR(__xludf.DUMMYFUNCTION("""COMPUTED_VALUE"""),7)</f>
        <v>7</v>
      </c>
      <c r="B2565" s="1" t="str">
        <f ca="1">IFERROR(__xludf.DUMMYFUNCTION("""COMPUTED_VALUE"""),"WWMN_CV1_KA04AA9020_DESILTING")</f>
        <v>WWMN_CV1_KA04AA9020_DESILTING</v>
      </c>
      <c r="C2565" s="1" t="str">
        <f ca="1">IFERROR(__xludf.DUMMYFUNCTION("""COMPUTED_VALUE"""),"wwmn_cv1_ka04aa9020_desilting")</f>
        <v>wwmn_cv1_ka04aa9020_desilting</v>
      </c>
      <c r="D2565" s="2">
        <f ca="1">IFERROR(__xludf.DUMMYFUNCTION("""COMPUTED_VALUE"""),41640)</f>
        <v>41640</v>
      </c>
      <c r="E2565" s="3">
        <f ca="1">IFERROR(__xludf.DUMMYFUNCTION("""COMPUTED_VALUE"""),0.229398148148902)</f>
        <v>0.229398148148902</v>
      </c>
      <c r="F2565" s="1">
        <f ca="1">IFERROR(__xludf.DUMMYFUNCTION("""COMPUTED_VALUE"""),14801)</f>
        <v>14801</v>
      </c>
      <c r="G2565" s="1"/>
      <c r="H2565" s="1"/>
      <c r="I2565" s="1"/>
      <c r="J2565" s="1" t="str">
        <f ca="1">IFERROR(__xludf.DUMMYFUNCTION("""COMPUTED_VALUE"""),"1d 00h 13m")</f>
        <v>1d 00h 13m</v>
      </c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13.2">
      <c r="A2566" s="1">
        <f ca="1">IFERROR(__xludf.DUMMYFUNCTION("""COMPUTED_VALUE"""),7)</f>
        <v>7</v>
      </c>
      <c r="B2566" s="1" t="str">
        <f ca="1">IFERROR(__xludf.DUMMYFUNCTION("""COMPUTED_VALUE"""),"WWMN_CV1_KA04AA9020_DESILTING")</f>
        <v>WWMN_CV1_KA04AA9020_DESILTING</v>
      </c>
      <c r="C2566" s="1" t="str">
        <f ca="1">IFERROR(__xludf.DUMMYFUNCTION("""COMPUTED_VALUE"""),"wwmn_cv1_ka04aa9020_desilting")</f>
        <v>wwmn_cv1_ka04aa9020_desilting</v>
      </c>
      <c r="D2566" s="2">
        <f ca="1">IFERROR(__xludf.DUMMYFUNCTION("""COMPUTED_VALUE"""),41640)</f>
        <v>41640</v>
      </c>
      <c r="E2566" s="3">
        <f ca="1">IFERROR(__xludf.DUMMYFUNCTION("""COMPUTED_VALUE"""),0.229398148148902)</f>
        <v>0.229398148148902</v>
      </c>
      <c r="F2566" s="1">
        <f ca="1">IFERROR(__xludf.DUMMYFUNCTION("""COMPUTED_VALUE"""),14801)</f>
        <v>14801</v>
      </c>
      <c r="G2566" s="1"/>
      <c r="H2566" s="1"/>
      <c r="I2566" s="1"/>
      <c r="J2566" s="1" t="str">
        <f ca="1">IFERROR(__xludf.DUMMYFUNCTION("""COMPUTED_VALUE"""),"1d 00h 14m")</f>
        <v>1d 00h 14m</v>
      </c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13.2">
      <c r="A2567" s="1">
        <f ca="1">IFERROR(__xludf.DUMMYFUNCTION("""COMPUTED_VALUE"""),7)</f>
        <v>7</v>
      </c>
      <c r="B2567" s="1" t="str">
        <f ca="1">IFERROR(__xludf.DUMMYFUNCTION("""COMPUTED_VALUE"""),"WWMN_CV1_KA04AA9020_DESILTING")</f>
        <v>WWMN_CV1_KA04AA9020_DESILTING</v>
      </c>
      <c r="C2567" s="1" t="str">
        <f ca="1">IFERROR(__xludf.DUMMYFUNCTION("""COMPUTED_VALUE"""),"wwmn_cv1_ka04aa9020_desilting")</f>
        <v>wwmn_cv1_ka04aa9020_desilting</v>
      </c>
      <c r="D2567" s="2">
        <f ca="1">IFERROR(__xludf.DUMMYFUNCTION("""COMPUTED_VALUE"""),41640)</f>
        <v>41640</v>
      </c>
      <c r="E2567" s="3">
        <f ca="1">IFERROR(__xludf.DUMMYFUNCTION("""COMPUTED_VALUE"""),0.229398148148902)</f>
        <v>0.229398148148902</v>
      </c>
      <c r="F2567" s="1">
        <f ca="1">IFERROR(__xludf.DUMMYFUNCTION("""COMPUTED_VALUE"""),14801)</f>
        <v>14801</v>
      </c>
      <c r="G2567" s="1"/>
      <c r="H2567" s="1"/>
      <c r="I2567" s="1"/>
      <c r="J2567" s="1" t="str">
        <f ca="1">IFERROR(__xludf.DUMMYFUNCTION("""COMPUTED_VALUE"""),"1d 00h 15m")</f>
        <v>1d 00h 15m</v>
      </c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13.2">
      <c r="A2568" s="1">
        <f ca="1">IFERROR(__xludf.DUMMYFUNCTION("""COMPUTED_VALUE"""),23)</f>
        <v>23</v>
      </c>
      <c r="B2568" s="1" t="str">
        <f ca="1">IFERROR(__xludf.DUMMYFUNCTION("""COMPUTED_VALUE"""),"WWMN_CV1_KA53B3463_DUMPTANKER")</f>
        <v>WWMN_CV1_KA53B3463_DUMPTANKER</v>
      </c>
      <c r="C2568" s="1" t="str">
        <f ca="1">IFERROR(__xludf.DUMMYFUNCTION("""COMPUTED_VALUE"""),"wwmn_cv1_ka53b3463_dumptanker")</f>
        <v>wwmn_cv1_ka53b3463_dumptanker</v>
      </c>
      <c r="D2568" s="2">
        <f ca="1">IFERROR(__xludf.DUMMYFUNCTION("""COMPUTED_VALUE"""),41640)</f>
        <v>41640</v>
      </c>
      <c r="E2568" s="3">
        <f ca="1">IFERROR(__xludf.DUMMYFUNCTION("""COMPUTED_VALUE"""),0.229861111110949)</f>
        <v>0.22986111111094901</v>
      </c>
      <c r="F2568" s="1">
        <f ca="1">IFERROR(__xludf.DUMMYFUNCTION("""COMPUTED_VALUE"""),15425)</f>
        <v>15425</v>
      </c>
      <c r="G2568" s="1"/>
      <c r="H2568" s="1"/>
      <c r="I2568" s="1"/>
      <c r="J2568" s="1" t="str">
        <f ca="1">IFERROR(__xludf.DUMMYFUNCTION("""COMPUTED_VALUE"""),"0d 00h 00m")</f>
        <v>0d 00h 00m</v>
      </c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13.2">
      <c r="A2569" s="1">
        <f ca="1">IFERROR(__xludf.DUMMYFUNCTION("""COMPUTED_VALUE"""),23)</f>
        <v>23</v>
      </c>
      <c r="B2569" s="1" t="str">
        <f ca="1">IFERROR(__xludf.DUMMYFUNCTION("""COMPUTED_VALUE"""),"WWMN_CV1_KA53B3463_DUMPTANKER")</f>
        <v>WWMN_CV1_KA53B3463_DUMPTANKER</v>
      </c>
      <c r="C2569" s="1" t="str">
        <f ca="1">IFERROR(__xludf.DUMMYFUNCTION("""COMPUTED_VALUE"""),"wwmn_cv1_ka53b3463_dumptanker")</f>
        <v>wwmn_cv1_ka53b3463_dumptanker</v>
      </c>
      <c r="D2569" s="2">
        <f ca="1">IFERROR(__xludf.DUMMYFUNCTION("""COMPUTED_VALUE"""),41640)</f>
        <v>41640</v>
      </c>
      <c r="E2569" s="3">
        <f ca="1">IFERROR(__xludf.DUMMYFUNCTION("""COMPUTED_VALUE"""),0.229861111110949)</f>
        <v>0.22986111111094901</v>
      </c>
      <c r="F2569" s="1">
        <f ca="1">IFERROR(__xludf.DUMMYFUNCTION("""COMPUTED_VALUE"""),15425)</f>
        <v>15425</v>
      </c>
      <c r="G2569" s="1"/>
      <c r="H2569" s="1"/>
      <c r="I2569" s="1"/>
      <c r="J2569" s="1" t="str">
        <f ca="1">IFERROR(__xludf.DUMMYFUNCTION("""COMPUTED_VALUE"""),"0d 00h 00m")</f>
        <v>0d 00h 00m</v>
      </c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13.2">
      <c r="A2570" s="1">
        <f ca="1">IFERROR(__xludf.DUMMYFUNCTION("""COMPUTED_VALUE"""),23)</f>
        <v>23</v>
      </c>
      <c r="B2570" s="1" t="str">
        <f ca="1">IFERROR(__xludf.DUMMYFUNCTION("""COMPUTED_VALUE"""),"WWMN_CV1_KA53B3463_DUMPTANKER")</f>
        <v>WWMN_CV1_KA53B3463_DUMPTANKER</v>
      </c>
      <c r="C2570" s="1" t="str">
        <f ca="1">IFERROR(__xludf.DUMMYFUNCTION("""COMPUTED_VALUE"""),"wwmn_cv1_ka53b3463_dumptanker")</f>
        <v>wwmn_cv1_ka53b3463_dumptanker</v>
      </c>
      <c r="D2570" s="2">
        <f ca="1">IFERROR(__xludf.DUMMYFUNCTION("""COMPUTED_VALUE"""),41640)</f>
        <v>41640</v>
      </c>
      <c r="E2570" s="3">
        <f ca="1">IFERROR(__xludf.DUMMYFUNCTION("""COMPUTED_VALUE"""),0.229861111110949)</f>
        <v>0.22986111111094901</v>
      </c>
      <c r="F2570" s="1">
        <f ca="1">IFERROR(__xludf.DUMMYFUNCTION("""COMPUTED_VALUE"""),15425)</f>
        <v>15425</v>
      </c>
      <c r="G2570" s="1"/>
      <c r="H2570" s="1"/>
      <c r="I2570" s="1"/>
      <c r="J2570" s="1" t="str">
        <f ca="1">IFERROR(__xludf.DUMMYFUNCTION("""COMPUTED_VALUE"""),"0d 00h 00m")</f>
        <v>0d 00h 00m</v>
      </c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13.2">
      <c r="A2571" s="1">
        <f ca="1">IFERROR(__xludf.DUMMYFUNCTION("""COMPUTED_VALUE"""),23)</f>
        <v>23</v>
      </c>
      <c r="B2571" s="1" t="str">
        <f ca="1">IFERROR(__xludf.DUMMYFUNCTION("""COMPUTED_VALUE"""),"WWMN_CV1_KA53B3463_DUMPTANKER")</f>
        <v>WWMN_CV1_KA53B3463_DUMPTANKER</v>
      </c>
      <c r="C2571" s="1" t="str">
        <f ca="1">IFERROR(__xludf.DUMMYFUNCTION("""COMPUTED_VALUE"""),"wwmn_cv1_ka53b3463_dumptanker")</f>
        <v>wwmn_cv1_ka53b3463_dumptanker</v>
      </c>
      <c r="D2571" s="2">
        <f ca="1">IFERROR(__xludf.DUMMYFUNCTION("""COMPUTED_VALUE"""),41640)</f>
        <v>41640</v>
      </c>
      <c r="E2571" s="3">
        <f ca="1">IFERROR(__xludf.DUMMYFUNCTION("""COMPUTED_VALUE"""),0.229861111110949)</f>
        <v>0.22986111111094901</v>
      </c>
      <c r="F2571" s="1">
        <f ca="1">IFERROR(__xludf.DUMMYFUNCTION("""COMPUTED_VALUE"""),15425)</f>
        <v>15425</v>
      </c>
      <c r="G2571" s="1"/>
      <c r="H2571" s="1"/>
      <c r="I2571" s="1"/>
      <c r="J2571" s="1" t="str">
        <f ca="1">IFERROR(__xludf.DUMMYFUNCTION("""COMPUTED_VALUE"""),"0d 00h 00m")</f>
        <v>0d 00h 00m</v>
      </c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13.2">
      <c r="A2572" s="1">
        <f ca="1">IFERROR(__xludf.DUMMYFUNCTION("""COMPUTED_VALUE"""),23)</f>
        <v>23</v>
      </c>
      <c r="B2572" s="1" t="str">
        <f ca="1">IFERROR(__xludf.DUMMYFUNCTION("""COMPUTED_VALUE"""),"WWMN_CV1_KA53B3463_DUMPTANKER")</f>
        <v>WWMN_CV1_KA53B3463_DUMPTANKER</v>
      </c>
      <c r="C2572" s="1" t="str">
        <f ca="1">IFERROR(__xludf.DUMMYFUNCTION("""COMPUTED_VALUE"""),"wwmn_cv1_ka53b3463_dumptanker")</f>
        <v>wwmn_cv1_ka53b3463_dumptanker</v>
      </c>
      <c r="D2572" s="2">
        <f ca="1">IFERROR(__xludf.DUMMYFUNCTION("""COMPUTED_VALUE"""),41640)</f>
        <v>41640</v>
      </c>
      <c r="E2572" s="3">
        <f ca="1">IFERROR(__xludf.DUMMYFUNCTION("""COMPUTED_VALUE"""),0.229861111110949)</f>
        <v>0.22986111111094901</v>
      </c>
      <c r="F2572" s="1">
        <f ca="1">IFERROR(__xludf.DUMMYFUNCTION("""COMPUTED_VALUE"""),15425)</f>
        <v>15425</v>
      </c>
      <c r="G2572" s="1"/>
      <c r="H2572" s="1"/>
      <c r="I2572" s="1"/>
      <c r="J2572" s="1" t="str">
        <f ca="1">IFERROR(__xludf.DUMMYFUNCTION("""COMPUTED_VALUE"""),"0d 00h 00m")</f>
        <v>0d 00h 00m</v>
      </c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13.2">
      <c r="A2573" s="1">
        <f ca="1">IFERROR(__xludf.DUMMYFUNCTION("""COMPUTED_VALUE"""),23)</f>
        <v>23</v>
      </c>
      <c r="B2573" s="1" t="str">
        <f ca="1">IFERROR(__xludf.DUMMYFUNCTION("""COMPUTED_VALUE"""),"WWMN_CV1_KA53B3463_DUMPTANKER")</f>
        <v>WWMN_CV1_KA53B3463_DUMPTANKER</v>
      </c>
      <c r="C2573" s="1" t="str">
        <f ca="1">IFERROR(__xludf.DUMMYFUNCTION("""COMPUTED_VALUE"""),"wwmn_cv1_ka53b3463_dumptanker")</f>
        <v>wwmn_cv1_ka53b3463_dumptanker</v>
      </c>
      <c r="D2573" s="2">
        <f ca="1">IFERROR(__xludf.DUMMYFUNCTION("""COMPUTED_VALUE"""),41640)</f>
        <v>41640</v>
      </c>
      <c r="E2573" s="3">
        <f ca="1">IFERROR(__xludf.DUMMYFUNCTION("""COMPUTED_VALUE"""),0.229861111110949)</f>
        <v>0.22986111111094901</v>
      </c>
      <c r="F2573" s="1">
        <f ca="1">IFERROR(__xludf.DUMMYFUNCTION("""COMPUTED_VALUE"""),15425)</f>
        <v>15425</v>
      </c>
      <c r="G2573" s="1"/>
      <c r="H2573" s="1"/>
      <c r="I2573" s="1"/>
      <c r="J2573" s="1" t="str">
        <f ca="1">IFERROR(__xludf.DUMMYFUNCTION("""COMPUTED_VALUE"""),"0d 00h 00m")</f>
        <v>0d 00h 00m</v>
      </c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13.2">
      <c r="A2574" s="1">
        <f ca="1">IFERROR(__xludf.DUMMYFUNCTION("""COMPUTED_VALUE"""),23)</f>
        <v>23</v>
      </c>
      <c r="B2574" s="1" t="str">
        <f ca="1">IFERROR(__xludf.DUMMYFUNCTION("""COMPUTED_VALUE"""),"WWMN_CV1_KA53B3463_DUMPTANKER")</f>
        <v>WWMN_CV1_KA53B3463_DUMPTANKER</v>
      </c>
      <c r="C2574" s="1" t="str">
        <f ca="1">IFERROR(__xludf.DUMMYFUNCTION("""COMPUTED_VALUE"""),"wwmn_cv1_ka53b3463_dumptanker")</f>
        <v>wwmn_cv1_ka53b3463_dumptanker</v>
      </c>
      <c r="D2574" s="2">
        <f ca="1">IFERROR(__xludf.DUMMYFUNCTION("""COMPUTED_VALUE"""),41640)</f>
        <v>41640</v>
      </c>
      <c r="E2574" s="3">
        <f ca="1">IFERROR(__xludf.DUMMYFUNCTION("""COMPUTED_VALUE"""),0.229861111110949)</f>
        <v>0.22986111111094901</v>
      </c>
      <c r="F2574" s="1">
        <f ca="1">IFERROR(__xludf.DUMMYFUNCTION("""COMPUTED_VALUE"""),15425)</f>
        <v>15425</v>
      </c>
      <c r="G2574" s="1"/>
      <c r="H2574" s="1"/>
      <c r="I2574" s="1"/>
      <c r="J2574" s="1" t="str">
        <f ca="1">IFERROR(__xludf.DUMMYFUNCTION("""COMPUTED_VALUE"""),"0d 00h 00m")</f>
        <v>0d 00h 00m</v>
      </c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13.2">
      <c r="A2575" s="1">
        <f ca="1">IFERROR(__xludf.DUMMYFUNCTION("""COMPUTED_VALUE"""),4)</f>
        <v>4</v>
      </c>
      <c r="B2575" s="1" t="str">
        <f ca="1">IFERROR(__xludf.DUMMYFUNCTION("""COMPUTED_VALUE"""),"WWMN_CV1_KA53B3464_JETTING")</f>
        <v>WWMN_CV1_KA53B3464_JETTING</v>
      </c>
      <c r="C2575" s="1" t="str">
        <f ca="1">IFERROR(__xludf.DUMMYFUNCTION("""COMPUTED_VALUE"""),"wwmn_cv1_ka53b3464_jetting")</f>
        <v>wwmn_cv1_ka53b3464_jetting</v>
      </c>
      <c r="D2575" s="2">
        <f ca="1">IFERROR(__xludf.DUMMYFUNCTION("""COMPUTED_VALUE"""),41640)</f>
        <v>41640</v>
      </c>
      <c r="E2575" s="3">
        <f ca="1">IFERROR(__xludf.DUMMYFUNCTION("""COMPUTED_VALUE"""),0.229398148148902)</f>
        <v>0.229398148148902</v>
      </c>
      <c r="F2575" s="1">
        <f ca="1">IFERROR(__xludf.DUMMYFUNCTION("""COMPUTED_VALUE"""),14804)</f>
        <v>14804</v>
      </c>
      <c r="G2575" s="1"/>
      <c r="H2575" s="1"/>
      <c r="I2575" s="1"/>
      <c r="J2575" s="1" t="str">
        <f ca="1">IFERROR(__xludf.DUMMYFUNCTION("""COMPUTED_VALUE"""),"28d 08h 07m")</f>
        <v>28d 08h 07m</v>
      </c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13.2">
      <c r="A2576" s="1">
        <f ca="1">IFERROR(__xludf.DUMMYFUNCTION("""COMPUTED_VALUE"""),4)</f>
        <v>4</v>
      </c>
      <c r="B2576" s="1" t="str">
        <f ca="1">IFERROR(__xludf.DUMMYFUNCTION("""COMPUTED_VALUE"""),"WWMN_CV1_KA53B3464_JETTING")</f>
        <v>WWMN_CV1_KA53B3464_JETTING</v>
      </c>
      <c r="C2576" s="1" t="str">
        <f ca="1">IFERROR(__xludf.DUMMYFUNCTION("""COMPUTED_VALUE"""),"wwmn_cv1_ka53b3464_jetting")</f>
        <v>wwmn_cv1_ka53b3464_jetting</v>
      </c>
      <c r="D2576" s="2">
        <f ca="1">IFERROR(__xludf.DUMMYFUNCTION("""COMPUTED_VALUE"""),41640)</f>
        <v>41640</v>
      </c>
      <c r="E2576" s="3">
        <f ca="1">IFERROR(__xludf.DUMMYFUNCTION("""COMPUTED_VALUE"""),0.229398148148902)</f>
        <v>0.229398148148902</v>
      </c>
      <c r="F2576" s="1">
        <f ca="1">IFERROR(__xludf.DUMMYFUNCTION("""COMPUTED_VALUE"""),14804)</f>
        <v>14804</v>
      </c>
      <c r="G2576" s="1"/>
      <c r="H2576" s="1"/>
      <c r="I2576" s="1"/>
      <c r="J2576" s="1" t="str">
        <f ca="1">IFERROR(__xludf.DUMMYFUNCTION("""COMPUTED_VALUE"""),"28d 08h 08m")</f>
        <v>28d 08h 08m</v>
      </c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13.2">
      <c r="A2577" s="1">
        <f ca="1">IFERROR(__xludf.DUMMYFUNCTION("""COMPUTED_VALUE"""),4)</f>
        <v>4</v>
      </c>
      <c r="B2577" s="1" t="str">
        <f ca="1">IFERROR(__xludf.DUMMYFUNCTION("""COMPUTED_VALUE"""),"WWMN_CV1_KA53B3464_JETTING")</f>
        <v>WWMN_CV1_KA53B3464_JETTING</v>
      </c>
      <c r="C2577" s="1" t="str">
        <f ca="1">IFERROR(__xludf.DUMMYFUNCTION("""COMPUTED_VALUE"""),"wwmn_cv1_ka53b3464_jetting")</f>
        <v>wwmn_cv1_ka53b3464_jetting</v>
      </c>
      <c r="D2577" s="2">
        <f ca="1">IFERROR(__xludf.DUMMYFUNCTION("""COMPUTED_VALUE"""),41640)</f>
        <v>41640</v>
      </c>
      <c r="E2577" s="3">
        <f ca="1">IFERROR(__xludf.DUMMYFUNCTION("""COMPUTED_VALUE"""),0.229398148148902)</f>
        <v>0.229398148148902</v>
      </c>
      <c r="F2577" s="1">
        <f ca="1">IFERROR(__xludf.DUMMYFUNCTION("""COMPUTED_VALUE"""),14804)</f>
        <v>14804</v>
      </c>
      <c r="G2577" s="1"/>
      <c r="H2577" s="1"/>
      <c r="I2577" s="1"/>
      <c r="J2577" s="1" t="str">
        <f ca="1">IFERROR(__xludf.DUMMYFUNCTION("""COMPUTED_VALUE"""),"28d 08h 11m")</f>
        <v>28d 08h 11m</v>
      </c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13.2">
      <c r="A2578" s="1">
        <f ca="1">IFERROR(__xludf.DUMMYFUNCTION("""COMPUTED_VALUE"""),4)</f>
        <v>4</v>
      </c>
      <c r="B2578" s="1" t="str">
        <f ca="1">IFERROR(__xludf.DUMMYFUNCTION("""COMPUTED_VALUE"""),"WWMN_CV1_KA53B3464_JETTING")</f>
        <v>WWMN_CV1_KA53B3464_JETTING</v>
      </c>
      <c r="C2578" s="1" t="str">
        <f ca="1">IFERROR(__xludf.DUMMYFUNCTION("""COMPUTED_VALUE"""),"wwmn_cv1_ka53b3464_jetting")</f>
        <v>wwmn_cv1_ka53b3464_jetting</v>
      </c>
      <c r="D2578" s="2">
        <f ca="1">IFERROR(__xludf.DUMMYFUNCTION("""COMPUTED_VALUE"""),41640)</f>
        <v>41640</v>
      </c>
      <c r="E2578" s="3">
        <f ca="1">IFERROR(__xludf.DUMMYFUNCTION("""COMPUTED_VALUE"""),0.229398148148902)</f>
        <v>0.229398148148902</v>
      </c>
      <c r="F2578" s="1">
        <f ca="1">IFERROR(__xludf.DUMMYFUNCTION("""COMPUTED_VALUE"""),14804)</f>
        <v>14804</v>
      </c>
      <c r="G2578" s="1"/>
      <c r="H2578" s="1"/>
      <c r="I2578" s="1"/>
      <c r="J2578" s="1" t="str">
        <f ca="1">IFERROR(__xludf.DUMMYFUNCTION("""COMPUTED_VALUE"""),"28d 08h 12m")</f>
        <v>28d 08h 12m</v>
      </c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13.2">
      <c r="A2579" s="1">
        <f ca="1">IFERROR(__xludf.DUMMYFUNCTION("""COMPUTED_VALUE"""),4)</f>
        <v>4</v>
      </c>
      <c r="B2579" s="1" t="str">
        <f ca="1">IFERROR(__xludf.DUMMYFUNCTION("""COMPUTED_VALUE"""),"WWMN_CV1_KA53B3464_JETTING")</f>
        <v>WWMN_CV1_KA53B3464_JETTING</v>
      </c>
      <c r="C2579" s="1" t="str">
        <f ca="1">IFERROR(__xludf.DUMMYFUNCTION("""COMPUTED_VALUE"""),"wwmn_cv1_ka53b3464_jetting")</f>
        <v>wwmn_cv1_ka53b3464_jetting</v>
      </c>
      <c r="D2579" s="2">
        <f ca="1">IFERROR(__xludf.DUMMYFUNCTION("""COMPUTED_VALUE"""),41640)</f>
        <v>41640</v>
      </c>
      <c r="E2579" s="3">
        <f ca="1">IFERROR(__xludf.DUMMYFUNCTION("""COMPUTED_VALUE"""),0.229398148148902)</f>
        <v>0.229398148148902</v>
      </c>
      <c r="F2579" s="1">
        <f ca="1">IFERROR(__xludf.DUMMYFUNCTION("""COMPUTED_VALUE"""),14804)</f>
        <v>14804</v>
      </c>
      <c r="G2579" s="1"/>
      <c r="H2579" s="1"/>
      <c r="I2579" s="1"/>
      <c r="J2579" s="1" t="str">
        <f ca="1">IFERROR(__xludf.DUMMYFUNCTION("""COMPUTED_VALUE"""),"28d 08h 13m")</f>
        <v>28d 08h 13m</v>
      </c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13.2">
      <c r="A2580" s="1">
        <f ca="1">IFERROR(__xludf.DUMMYFUNCTION("""COMPUTED_VALUE"""),4)</f>
        <v>4</v>
      </c>
      <c r="B2580" s="1" t="str">
        <f ca="1">IFERROR(__xludf.DUMMYFUNCTION("""COMPUTED_VALUE"""),"WWMN_CV1_KA53B3464_JETTING")</f>
        <v>WWMN_CV1_KA53B3464_JETTING</v>
      </c>
      <c r="C2580" s="1" t="str">
        <f ca="1">IFERROR(__xludf.DUMMYFUNCTION("""COMPUTED_VALUE"""),"wwmn_cv1_ka53b3464_jetting")</f>
        <v>wwmn_cv1_ka53b3464_jetting</v>
      </c>
      <c r="D2580" s="2">
        <f ca="1">IFERROR(__xludf.DUMMYFUNCTION("""COMPUTED_VALUE"""),41640)</f>
        <v>41640</v>
      </c>
      <c r="E2580" s="3">
        <f ca="1">IFERROR(__xludf.DUMMYFUNCTION("""COMPUTED_VALUE"""),0.229398148148902)</f>
        <v>0.229398148148902</v>
      </c>
      <c r="F2580" s="1">
        <f ca="1">IFERROR(__xludf.DUMMYFUNCTION("""COMPUTED_VALUE"""),14804)</f>
        <v>14804</v>
      </c>
      <c r="G2580" s="1"/>
      <c r="H2580" s="1"/>
      <c r="I2580" s="1"/>
      <c r="J2580" s="1" t="str">
        <f ca="1">IFERROR(__xludf.DUMMYFUNCTION("""COMPUTED_VALUE"""),"28d 08h 15m")</f>
        <v>28d 08h 15m</v>
      </c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13.2">
      <c r="A2581" s="1">
        <f ca="1">IFERROR(__xludf.DUMMYFUNCTION("""COMPUTED_VALUE"""),4)</f>
        <v>4</v>
      </c>
      <c r="B2581" s="1" t="str">
        <f ca="1">IFERROR(__xludf.DUMMYFUNCTION("""COMPUTED_VALUE"""),"WWMN_CV1_KA53B3464_JETTING")</f>
        <v>WWMN_CV1_KA53B3464_JETTING</v>
      </c>
      <c r="C2581" s="1" t="str">
        <f ca="1">IFERROR(__xludf.DUMMYFUNCTION("""COMPUTED_VALUE"""),"wwmn_cv1_ka53b3464_jetting")</f>
        <v>wwmn_cv1_ka53b3464_jetting</v>
      </c>
      <c r="D2581" s="2">
        <f ca="1">IFERROR(__xludf.DUMMYFUNCTION("""COMPUTED_VALUE"""),41640)</f>
        <v>41640</v>
      </c>
      <c r="E2581" s="3">
        <f ca="1">IFERROR(__xludf.DUMMYFUNCTION("""COMPUTED_VALUE"""),0.229398148148902)</f>
        <v>0.229398148148902</v>
      </c>
      <c r="F2581" s="1">
        <f ca="1">IFERROR(__xludf.DUMMYFUNCTION("""COMPUTED_VALUE"""),14804)</f>
        <v>14804</v>
      </c>
      <c r="G2581" s="1"/>
      <c r="H2581" s="1"/>
      <c r="I2581" s="1"/>
      <c r="J2581" s="1" t="str">
        <f ca="1">IFERROR(__xludf.DUMMYFUNCTION("""COMPUTED_VALUE"""),"28d 08h 16m")</f>
        <v>28d 08h 16m</v>
      </c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13.2">
      <c r="A2582" s="1">
        <f ca="1">IFERROR(__xludf.DUMMYFUNCTION("""COMPUTED_VALUE"""),113)</f>
        <v>113</v>
      </c>
      <c r="B2582" s="1" t="str">
        <f ca="1">IFERROR(__xludf.DUMMYFUNCTION("""COMPUTED_VALUE"""),"WWMN_CV1_KA53B3468_JETTING")</f>
        <v>WWMN_CV1_KA53B3468_JETTING</v>
      </c>
      <c r="C2582" s="1" t="str">
        <f ca="1">IFERROR(__xludf.DUMMYFUNCTION("""COMPUTED_VALUE"""),"wwmn_cv1_ka53b3468_jetting")</f>
        <v>wwmn_cv1_ka53b3468_jetting</v>
      </c>
      <c r="D2582" s="2">
        <f ca="1">IFERROR(__xludf.DUMMYFUNCTION("""COMPUTED_VALUE"""),43867)</f>
        <v>43867</v>
      </c>
      <c r="E2582" s="3">
        <f ca="1">IFERROR(__xludf.DUMMYFUNCTION("""COMPUTED_VALUE"""),0.91306712962978)</f>
        <v>0.91306712962977998</v>
      </c>
      <c r="F2582" s="1">
        <f ca="1">IFERROR(__xludf.DUMMYFUNCTION("""COMPUTED_VALUE"""),816669)</f>
        <v>816669</v>
      </c>
      <c r="G2582" s="1"/>
      <c r="H2582" s="1"/>
      <c r="I2582" s="1"/>
      <c r="J2582" s="1" t="str">
        <f ca="1">IFERROR(__xludf.DUMMYFUNCTION("""COMPUTED_VALUE"""),"0d 00h 00m")</f>
        <v>0d 00h 00m</v>
      </c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13.2">
      <c r="A2583" s="1">
        <f ca="1">IFERROR(__xludf.DUMMYFUNCTION("""COMPUTED_VALUE"""),113)</f>
        <v>113</v>
      </c>
      <c r="B2583" s="1" t="str">
        <f ca="1">IFERROR(__xludf.DUMMYFUNCTION("""COMPUTED_VALUE"""),"WWMN_CV1_KA53B3468_JETTING")</f>
        <v>WWMN_CV1_KA53B3468_JETTING</v>
      </c>
      <c r="C2583" s="1" t="str">
        <f ca="1">IFERROR(__xludf.DUMMYFUNCTION("""COMPUTED_VALUE"""),"wwmn_cv1_ka53b3468_jetting")</f>
        <v>wwmn_cv1_ka53b3468_jetting</v>
      </c>
      <c r="D2583" s="2">
        <f ca="1">IFERROR(__xludf.DUMMYFUNCTION("""COMPUTED_VALUE"""),43867)</f>
        <v>43867</v>
      </c>
      <c r="E2583" s="3">
        <f ca="1">IFERROR(__xludf.DUMMYFUNCTION("""COMPUTED_VALUE"""),0.91306712962978)</f>
        <v>0.91306712962977998</v>
      </c>
      <c r="F2583" s="1">
        <f ca="1">IFERROR(__xludf.DUMMYFUNCTION("""COMPUTED_VALUE"""),816669)</f>
        <v>816669</v>
      </c>
      <c r="G2583" s="1"/>
      <c r="H2583" s="1"/>
      <c r="I2583" s="1"/>
      <c r="J2583" s="1" t="str">
        <f ca="1">IFERROR(__xludf.DUMMYFUNCTION("""COMPUTED_VALUE"""),"0d 00h 00m")</f>
        <v>0d 00h 00m</v>
      </c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13.2">
      <c r="A2584" s="1">
        <f ca="1">IFERROR(__xludf.DUMMYFUNCTION("""COMPUTED_VALUE"""),110)</f>
        <v>110</v>
      </c>
      <c r="B2584" s="1" t="str">
        <f ca="1">IFERROR(__xludf.DUMMYFUNCTION("""COMPUTED_VALUE"""),"WWMN_CV1_KA53B3468_JETTING")</f>
        <v>WWMN_CV1_KA53B3468_JETTING</v>
      </c>
      <c r="C2584" s="1" t="str">
        <f ca="1">IFERROR(__xludf.DUMMYFUNCTION("""COMPUTED_VALUE"""),"wwmn_cv1_ka53b3468_jetting")</f>
        <v>wwmn_cv1_ka53b3468_jetting</v>
      </c>
      <c r="D2584" s="2">
        <f ca="1">IFERROR(__xludf.DUMMYFUNCTION("""COMPUTED_VALUE"""),43867)</f>
        <v>43867</v>
      </c>
      <c r="E2584" s="3">
        <f ca="1">IFERROR(__xludf.DUMMYFUNCTION("""COMPUTED_VALUE"""),0.91306712962978)</f>
        <v>0.91306712962977998</v>
      </c>
      <c r="F2584" s="1">
        <f ca="1">IFERROR(__xludf.DUMMYFUNCTION("""COMPUTED_VALUE"""),816669)</f>
        <v>816669</v>
      </c>
      <c r="G2584" s="1"/>
      <c r="H2584" s="1"/>
      <c r="I2584" s="1"/>
      <c r="J2584" s="1" t="str">
        <f ca="1">IFERROR(__xludf.DUMMYFUNCTION("""COMPUTED_VALUE"""),"0d 00h 00m")</f>
        <v>0d 00h 00m</v>
      </c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13.2">
      <c r="A2585" s="1">
        <f ca="1">IFERROR(__xludf.DUMMYFUNCTION("""COMPUTED_VALUE"""),110)</f>
        <v>110</v>
      </c>
      <c r="B2585" s="1" t="str">
        <f ca="1">IFERROR(__xludf.DUMMYFUNCTION("""COMPUTED_VALUE"""),"WWMN_CV1_KA53B3468_JETTING")</f>
        <v>WWMN_CV1_KA53B3468_JETTING</v>
      </c>
      <c r="C2585" s="1" t="str">
        <f ca="1">IFERROR(__xludf.DUMMYFUNCTION("""COMPUTED_VALUE"""),"wwmn_cv1_ka53b3468_jetting")</f>
        <v>wwmn_cv1_ka53b3468_jetting</v>
      </c>
      <c r="D2585" s="2">
        <f ca="1">IFERROR(__xludf.DUMMYFUNCTION("""COMPUTED_VALUE"""),43867)</f>
        <v>43867</v>
      </c>
      <c r="E2585" s="3">
        <f ca="1">IFERROR(__xludf.DUMMYFUNCTION("""COMPUTED_VALUE"""),0.91306712962978)</f>
        <v>0.91306712962977998</v>
      </c>
      <c r="F2585" s="1">
        <f ca="1">IFERROR(__xludf.DUMMYFUNCTION("""COMPUTED_VALUE"""),816669)</f>
        <v>816669</v>
      </c>
      <c r="G2585" s="1"/>
      <c r="H2585" s="1"/>
      <c r="I2585" s="1"/>
      <c r="J2585" s="1" t="str">
        <f ca="1">IFERROR(__xludf.DUMMYFUNCTION("""COMPUTED_VALUE"""),"0d 00h 00m")</f>
        <v>0d 00h 00m</v>
      </c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13.2">
      <c r="A2586" s="1">
        <f ca="1">IFERROR(__xludf.DUMMYFUNCTION("""COMPUTED_VALUE"""),110)</f>
        <v>110</v>
      </c>
      <c r="B2586" s="1" t="str">
        <f ca="1">IFERROR(__xludf.DUMMYFUNCTION("""COMPUTED_VALUE"""),"WWMN_CV1_KA53B3468_JETTING")</f>
        <v>WWMN_CV1_KA53B3468_JETTING</v>
      </c>
      <c r="C2586" s="1" t="str">
        <f ca="1">IFERROR(__xludf.DUMMYFUNCTION("""COMPUTED_VALUE"""),"wwmn_cv1_ka53b3468_jetting")</f>
        <v>wwmn_cv1_ka53b3468_jetting</v>
      </c>
      <c r="D2586" s="2">
        <f ca="1">IFERROR(__xludf.DUMMYFUNCTION("""COMPUTED_VALUE"""),43867)</f>
        <v>43867</v>
      </c>
      <c r="E2586" s="3">
        <f ca="1">IFERROR(__xludf.DUMMYFUNCTION("""COMPUTED_VALUE"""),0.91306712962978)</f>
        <v>0.91306712962977998</v>
      </c>
      <c r="F2586" s="1">
        <f ca="1">IFERROR(__xludf.DUMMYFUNCTION("""COMPUTED_VALUE"""),816669)</f>
        <v>816669</v>
      </c>
      <c r="G2586" s="1"/>
      <c r="H2586" s="1"/>
      <c r="I2586" s="1"/>
      <c r="J2586" s="1" t="str">
        <f ca="1">IFERROR(__xludf.DUMMYFUNCTION("""COMPUTED_VALUE"""),"0d 00h 00m")</f>
        <v>0d 00h 00m</v>
      </c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  <row r="2587" spans="1:26" ht="13.2">
      <c r="A2587" s="1">
        <f ca="1">IFERROR(__xludf.DUMMYFUNCTION("""COMPUTED_VALUE"""),110)</f>
        <v>110</v>
      </c>
      <c r="B2587" s="1" t="str">
        <f ca="1">IFERROR(__xludf.DUMMYFUNCTION("""COMPUTED_VALUE"""),"WWMN_CV1_KA53B3468_JETTING")</f>
        <v>WWMN_CV1_KA53B3468_JETTING</v>
      </c>
      <c r="C2587" s="1" t="str">
        <f ca="1">IFERROR(__xludf.DUMMYFUNCTION("""COMPUTED_VALUE"""),"wwmn_cv1_ka53b3468_jetting")</f>
        <v>wwmn_cv1_ka53b3468_jetting</v>
      </c>
      <c r="D2587" s="2">
        <f ca="1">IFERROR(__xludf.DUMMYFUNCTION("""COMPUTED_VALUE"""),43867)</f>
        <v>43867</v>
      </c>
      <c r="E2587" s="3">
        <f ca="1">IFERROR(__xludf.DUMMYFUNCTION("""COMPUTED_VALUE"""),0.91306712962978)</f>
        <v>0.91306712962977998</v>
      </c>
      <c r="F2587" s="1">
        <f ca="1">IFERROR(__xludf.DUMMYFUNCTION("""COMPUTED_VALUE"""),816669)</f>
        <v>816669</v>
      </c>
      <c r="G2587" s="1"/>
      <c r="H2587" s="1"/>
      <c r="I2587" s="1"/>
      <c r="J2587" s="1" t="str">
        <f ca="1">IFERROR(__xludf.DUMMYFUNCTION("""COMPUTED_VALUE"""),"0d 00h 00m")</f>
        <v>0d 00h 00m</v>
      </c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</row>
    <row r="2588" spans="1:26" ht="13.2">
      <c r="A2588" s="1">
        <f ca="1">IFERROR(__xludf.DUMMYFUNCTION("""COMPUTED_VALUE"""),110)</f>
        <v>110</v>
      </c>
      <c r="B2588" s="1" t="str">
        <f ca="1">IFERROR(__xludf.DUMMYFUNCTION("""COMPUTED_VALUE"""),"WWMN_CV1_KA53B3468_JETTING")</f>
        <v>WWMN_CV1_KA53B3468_JETTING</v>
      </c>
      <c r="C2588" s="1" t="str">
        <f ca="1">IFERROR(__xludf.DUMMYFUNCTION("""COMPUTED_VALUE"""),"wwmn_cv1_ka53b3468_jetting")</f>
        <v>wwmn_cv1_ka53b3468_jetting</v>
      </c>
      <c r="D2588" s="2">
        <f ca="1">IFERROR(__xludf.DUMMYFUNCTION("""COMPUTED_VALUE"""),43867)</f>
        <v>43867</v>
      </c>
      <c r="E2588" s="3">
        <f ca="1">IFERROR(__xludf.DUMMYFUNCTION("""COMPUTED_VALUE"""),0.91306712962978)</f>
        <v>0.91306712962977998</v>
      </c>
      <c r="F2588" s="1">
        <f ca="1">IFERROR(__xludf.DUMMYFUNCTION("""COMPUTED_VALUE"""),816669)</f>
        <v>816669</v>
      </c>
      <c r="G2588" s="1"/>
      <c r="H2588" s="1"/>
      <c r="I2588" s="1"/>
      <c r="J2588" s="1" t="str">
        <f ca="1">IFERROR(__xludf.DUMMYFUNCTION("""COMPUTED_VALUE"""),"0d 00h 00m")</f>
        <v>0d 00h 00m</v>
      </c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</row>
    <row r="2589" spans="1:26" ht="13.2">
      <c r="A2589" s="1">
        <f ca="1">IFERROR(__xludf.DUMMYFUNCTION("""COMPUTED_VALUE"""),32)</f>
        <v>32</v>
      </c>
      <c r="B2589" s="1" t="str">
        <f ca="1">IFERROR(__xludf.DUMMYFUNCTION("""COMPUTED_VALUE"""),"WWW_V_VV1_KA53B3462_JETTING")</f>
        <v>WWW_V_VV1_KA53B3462_JETTING</v>
      </c>
      <c r="C2589" s="1" t="str">
        <f ca="1">IFERROR(__xludf.DUMMYFUNCTION("""COMPUTED_VALUE"""),"www_v_vv1_ka53b3462_jetting")</f>
        <v>www_v_vv1_ka53b3462_jetting</v>
      </c>
      <c r="D2589" s="2">
        <f ca="1">IFERROR(__xludf.DUMMYFUNCTION("""COMPUTED_VALUE"""),41640)</f>
        <v>41640</v>
      </c>
      <c r="E2589" s="3">
        <f ca="1">IFERROR(__xludf.DUMMYFUNCTION("""COMPUTED_VALUE"""),0.230439814815326)</f>
        <v>0.23043981481532599</v>
      </c>
      <c r="F2589" s="1">
        <f ca="1">IFERROR(__xludf.DUMMYFUNCTION("""COMPUTED_VALUE"""),12743)</f>
        <v>12743</v>
      </c>
      <c r="G2589" s="1"/>
      <c r="H2589" s="1"/>
      <c r="I2589" s="1"/>
      <c r="J2589" s="1" t="str">
        <f ca="1">IFERROR(__xludf.DUMMYFUNCTION("""COMPUTED_VALUE"""),"0d 00h 00m")</f>
        <v>0d 00h 00m</v>
      </c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</row>
    <row r="2590" spans="1:26" ht="13.2">
      <c r="A2590" s="1">
        <f ca="1">IFERROR(__xludf.DUMMYFUNCTION("""COMPUTED_VALUE"""),32)</f>
        <v>32</v>
      </c>
      <c r="B2590" s="1" t="str">
        <f ca="1">IFERROR(__xludf.DUMMYFUNCTION("""COMPUTED_VALUE"""),"WWW_V_VV1_KA53B3462_JETTING")</f>
        <v>WWW_V_VV1_KA53B3462_JETTING</v>
      </c>
      <c r="C2590" s="1" t="str">
        <f ca="1">IFERROR(__xludf.DUMMYFUNCTION("""COMPUTED_VALUE"""),"www_v_vv1_ka53b3462_jetting")</f>
        <v>www_v_vv1_ka53b3462_jetting</v>
      </c>
      <c r="D2590" s="2">
        <f ca="1">IFERROR(__xludf.DUMMYFUNCTION("""COMPUTED_VALUE"""),41640)</f>
        <v>41640</v>
      </c>
      <c r="E2590" s="3">
        <f ca="1">IFERROR(__xludf.DUMMYFUNCTION("""COMPUTED_VALUE"""),0.230439814815326)</f>
        <v>0.23043981481532599</v>
      </c>
      <c r="F2590" s="1">
        <f ca="1">IFERROR(__xludf.DUMMYFUNCTION("""COMPUTED_VALUE"""),12743)</f>
        <v>12743</v>
      </c>
      <c r="G2590" s="1"/>
      <c r="H2590" s="1"/>
      <c r="I2590" s="1"/>
      <c r="J2590" s="1" t="str">
        <f ca="1">IFERROR(__xludf.DUMMYFUNCTION("""COMPUTED_VALUE"""),"0d 00h 00m")</f>
        <v>0d 00h 00m</v>
      </c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</row>
    <row r="2591" spans="1:26" ht="13.2">
      <c r="A2591" s="1">
        <f ca="1">IFERROR(__xludf.DUMMYFUNCTION("""COMPUTED_VALUE"""),32)</f>
        <v>32</v>
      </c>
      <c r="B2591" s="1" t="str">
        <f ca="1">IFERROR(__xludf.DUMMYFUNCTION("""COMPUTED_VALUE"""),"WWW_V_VV1_KA53B3462_JETTING")</f>
        <v>WWW_V_VV1_KA53B3462_JETTING</v>
      </c>
      <c r="C2591" s="1" t="str">
        <f ca="1">IFERROR(__xludf.DUMMYFUNCTION("""COMPUTED_VALUE"""),"www_v_vv1_ka53b3462_jetting")</f>
        <v>www_v_vv1_ka53b3462_jetting</v>
      </c>
      <c r="D2591" s="2">
        <f ca="1">IFERROR(__xludf.DUMMYFUNCTION("""COMPUTED_VALUE"""),41640)</f>
        <v>41640</v>
      </c>
      <c r="E2591" s="3">
        <f ca="1">IFERROR(__xludf.DUMMYFUNCTION("""COMPUTED_VALUE"""),0.230439814815326)</f>
        <v>0.23043981481532599</v>
      </c>
      <c r="F2591" s="1">
        <f ca="1">IFERROR(__xludf.DUMMYFUNCTION("""COMPUTED_VALUE"""),12743)</f>
        <v>12743</v>
      </c>
      <c r="G2591" s="1"/>
      <c r="H2591" s="1"/>
      <c r="I2591" s="1"/>
      <c r="J2591" s="1" t="str">
        <f ca="1">IFERROR(__xludf.DUMMYFUNCTION("""COMPUTED_VALUE"""),"0d 00h 00m")</f>
        <v>0d 00h 00m</v>
      </c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</row>
    <row r="2592" spans="1:26" ht="13.2">
      <c r="A2592" s="1">
        <f ca="1">IFERROR(__xludf.DUMMYFUNCTION("""COMPUTED_VALUE"""),32)</f>
        <v>32</v>
      </c>
      <c r="B2592" s="1" t="str">
        <f ca="1">IFERROR(__xludf.DUMMYFUNCTION("""COMPUTED_VALUE"""),"WWW_V_VV1_KA53B3462_JETTING")</f>
        <v>WWW_V_VV1_KA53B3462_JETTING</v>
      </c>
      <c r="C2592" s="1" t="str">
        <f ca="1">IFERROR(__xludf.DUMMYFUNCTION("""COMPUTED_VALUE"""),"www_v_vv1_ka53b3462_jetting")</f>
        <v>www_v_vv1_ka53b3462_jetting</v>
      </c>
      <c r="D2592" s="2">
        <f ca="1">IFERROR(__xludf.DUMMYFUNCTION("""COMPUTED_VALUE"""),41640)</f>
        <v>41640</v>
      </c>
      <c r="E2592" s="3">
        <f ca="1">IFERROR(__xludf.DUMMYFUNCTION("""COMPUTED_VALUE"""),0.230439814815326)</f>
        <v>0.23043981481532599</v>
      </c>
      <c r="F2592" s="1">
        <f ca="1">IFERROR(__xludf.DUMMYFUNCTION("""COMPUTED_VALUE"""),12743)</f>
        <v>12743</v>
      </c>
      <c r="G2592" s="1"/>
      <c r="H2592" s="1"/>
      <c r="I2592" s="1"/>
      <c r="J2592" s="1" t="str">
        <f ca="1">IFERROR(__xludf.DUMMYFUNCTION("""COMPUTED_VALUE"""),"0d 00h 00m")</f>
        <v>0d 00h 00m</v>
      </c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</row>
    <row r="2593" spans="1:26" ht="13.2">
      <c r="A2593" s="1">
        <f ca="1">IFERROR(__xludf.DUMMYFUNCTION("""COMPUTED_VALUE"""),32)</f>
        <v>32</v>
      </c>
      <c r="B2593" s="1" t="str">
        <f ca="1">IFERROR(__xludf.DUMMYFUNCTION("""COMPUTED_VALUE"""),"WWW_V_VV1_KA53B3462_JETTING")</f>
        <v>WWW_V_VV1_KA53B3462_JETTING</v>
      </c>
      <c r="C2593" s="1" t="str">
        <f ca="1">IFERROR(__xludf.DUMMYFUNCTION("""COMPUTED_VALUE"""),"www_v_vv1_ka53b3462_jetting")</f>
        <v>www_v_vv1_ka53b3462_jetting</v>
      </c>
      <c r="D2593" s="2">
        <f ca="1">IFERROR(__xludf.DUMMYFUNCTION("""COMPUTED_VALUE"""),41640)</f>
        <v>41640</v>
      </c>
      <c r="E2593" s="3">
        <f ca="1">IFERROR(__xludf.DUMMYFUNCTION("""COMPUTED_VALUE"""),0.230439814815326)</f>
        <v>0.23043981481532599</v>
      </c>
      <c r="F2593" s="1">
        <f ca="1">IFERROR(__xludf.DUMMYFUNCTION("""COMPUTED_VALUE"""),12743)</f>
        <v>12743</v>
      </c>
      <c r="G2593" s="1"/>
      <c r="H2593" s="1"/>
      <c r="I2593" s="1"/>
      <c r="J2593" s="1" t="str">
        <f ca="1">IFERROR(__xludf.DUMMYFUNCTION("""COMPUTED_VALUE"""),"0d 00h 00m")</f>
        <v>0d 00h 00m</v>
      </c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</row>
    <row r="2594" spans="1:26" ht="13.2">
      <c r="A2594" s="1">
        <f ca="1">IFERROR(__xludf.DUMMYFUNCTION("""COMPUTED_VALUE"""),32)</f>
        <v>32</v>
      </c>
      <c r="B2594" s="1" t="str">
        <f ca="1">IFERROR(__xludf.DUMMYFUNCTION("""COMPUTED_VALUE"""),"WWW_V_VV1_KA53B3462_JETTING")</f>
        <v>WWW_V_VV1_KA53B3462_JETTING</v>
      </c>
      <c r="C2594" s="1" t="str">
        <f ca="1">IFERROR(__xludf.DUMMYFUNCTION("""COMPUTED_VALUE"""),"www_v_vv1_ka53b3462_jetting")</f>
        <v>www_v_vv1_ka53b3462_jetting</v>
      </c>
      <c r="D2594" s="2">
        <f ca="1">IFERROR(__xludf.DUMMYFUNCTION("""COMPUTED_VALUE"""),41640)</f>
        <v>41640</v>
      </c>
      <c r="E2594" s="3">
        <f ca="1">IFERROR(__xludf.DUMMYFUNCTION("""COMPUTED_VALUE"""),0.230439814815326)</f>
        <v>0.23043981481532599</v>
      </c>
      <c r="F2594" s="1">
        <f ca="1">IFERROR(__xludf.DUMMYFUNCTION("""COMPUTED_VALUE"""),12743)</f>
        <v>12743</v>
      </c>
      <c r="G2594" s="1"/>
      <c r="H2594" s="1"/>
      <c r="I2594" s="1"/>
      <c r="J2594" s="1" t="str">
        <f ca="1">IFERROR(__xludf.DUMMYFUNCTION("""COMPUTED_VALUE"""),"0d 00h 00m")</f>
        <v>0d 00h 00m</v>
      </c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</row>
    <row r="2595" spans="1:26" ht="13.2">
      <c r="A2595" s="1">
        <f ca="1">IFERROR(__xludf.DUMMYFUNCTION("""COMPUTED_VALUE"""),32)</f>
        <v>32</v>
      </c>
      <c r="B2595" s="1" t="str">
        <f ca="1">IFERROR(__xludf.DUMMYFUNCTION("""COMPUTED_VALUE"""),"WWW_V_VV1_KA53B3462_JETTING")</f>
        <v>WWW_V_VV1_KA53B3462_JETTING</v>
      </c>
      <c r="C2595" s="1" t="str">
        <f ca="1">IFERROR(__xludf.DUMMYFUNCTION("""COMPUTED_VALUE"""),"www_v_vv1_ka53b3462_jetting")</f>
        <v>www_v_vv1_ka53b3462_jetting</v>
      </c>
      <c r="D2595" s="2">
        <f ca="1">IFERROR(__xludf.DUMMYFUNCTION("""COMPUTED_VALUE"""),41640)</f>
        <v>41640</v>
      </c>
      <c r="E2595" s="3">
        <f ca="1">IFERROR(__xludf.DUMMYFUNCTION("""COMPUTED_VALUE"""),0.230439814815326)</f>
        <v>0.23043981481532599</v>
      </c>
      <c r="F2595" s="1">
        <f ca="1">IFERROR(__xludf.DUMMYFUNCTION("""COMPUTED_VALUE"""),12743)</f>
        <v>12743</v>
      </c>
      <c r="G2595" s="1"/>
      <c r="H2595" s="1"/>
      <c r="I2595" s="1"/>
      <c r="J2595" s="1" t="str">
        <f ca="1">IFERROR(__xludf.DUMMYFUNCTION("""COMPUTED_VALUE"""),"0d 00h 00m")</f>
        <v>0d 00h 00m</v>
      </c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</row>
    <row r="2596" spans="1:26" ht="13.2">
      <c r="A2596" s="1">
        <f ca="1">IFERROR(__xludf.DUMMYFUNCTION("""COMPUTED_VALUE"""),84)</f>
        <v>84</v>
      </c>
      <c r="B2596" s="1" t="str">
        <f ca="1">IFERROR(__xludf.DUMMYFUNCTION("""COMPUTED_VALUE"""),"WWW_V_VV1_KA53B3465_JETTING")</f>
        <v>WWW_V_VV1_KA53B3465_JETTING</v>
      </c>
      <c r="C2596" s="1" t="str">
        <f ca="1">IFERROR(__xludf.DUMMYFUNCTION("""COMPUTED_VALUE"""),"www_v_vv1_ka53b3465_jetting")</f>
        <v>www_v_vv1_ka53b3465_jetting</v>
      </c>
      <c r="D2596" s="2">
        <f ca="1">IFERROR(__xludf.DUMMYFUNCTION("""COMPUTED_VALUE"""),41640)</f>
        <v>41640</v>
      </c>
      <c r="E2596" s="3">
        <f ca="1">IFERROR(__xludf.DUMMYFUNCTION("""COMPUTED_VALUE"""),0.683356481480586)</f>
        <v>0.68335648148058603</v>
      </c>
      <c r="F2596" s="1">
        <f ca="1">IFERROR(__xludf.DUMMYFUNCTION("""COMPUTED_VALUE"""),31739)</f>
        <v>31739</v>
      </c>
      <c r="G2596" s="1" t="str">
        <f ca="1">IFERROR(__xludf.DUMMYFUNCTION("""COMPUTED_VALUE"""),"12.9834/77.5206")</f>
        <v>12.9834/77.5206</v>
      </c>
      <c r="H2596" s="1" t="str">
        <f ca="1">IFERROR(__xludf.DUMMYFUNCTION("""COMPUTED_VALUE"""),"Kamakshi Palya")</f>
        <v>Kamakshi Palya</v>
      </c>
      <c r="I2596" s="1"/>
      <c r="J2596" s="1" t="str">
        <f ca="1">IFERROR(__xludf.DUMMYFUNCTION("""COMPUTED_VALUE"""),"0d 21h 04m")</f>
        <v>0d 21h 04m</v>
      </c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</row>
    <row r="2597" spans="1:26" ht="13.2">
      <c r="A2597" s="1">
        <f ca="1">IFERROR(__xludf.DUMMYFUNCTION("""COMPUTED_VALUE"""),84)</f>
        <v>84</v>
      </c>
      <c r="B2597" s="1" t="str">
        <f ca="1">IFERROR(__xludf.DUMMYFUNCTION("""COMPUTED_VALUE"""),"WWW_V_VV1_KA53B3465_JETTING")</f>
        <v>WWW_V_VV1_KA53B3465_JETTING</v>
      </c>
      <c r="C2597" s="1" t="str">
        <f ca="1">IFERROR(__xludf.DUMMYFUNCTION("""COMPUTED_VALUE"""),"www_v_vv1_ka53b3465_jetting")</f>
        <v>www_v_vv1_ka53b3465_jetting</v>
      </c>
      <c r="D2597" s="2">
        <f ca="1">IFERROR(__xludf.DUMMYFUNCTION("""COMPUTED_VALUE"""),41640)</f>
        <v>41640</v>
      </c>
      <c r="E2597" s="3">
        <f ca="1">IFERROR(__xludf.DUMMYFUNCTION("""COMPUTED_VALUE"""),0.683356481480586)</f>
        <v>0.68335648148058603</v>
      </c>
      <c r="F2597" s="1">
        <f ca="1">IFERROR(__xludf.DUMMYFUNCTION("""COMPUTED_VALUE"""),31739)</f>
        <v>31739</v>
      </c>
      <c r="G2597" s="1" t="str">
        <f ca="1">IFERROR(__xludf.DUMMYFUNCTION("""COMPUTED_VALUE"""),"12.9834/77.5206")</f>
        <v>12.9834/77.5206</v>
      </c>
      <c r="H2597" s="1" t="str">
        <f ca="1">IFERROR(__xludf.DUMMYFUNCTION("""COMPUTED_VALUE"""),"Kamakshi Palya")</f>
        <v>Kamakshi Palya</v>
      </c>
      <c r="I2597" s="1"/>
      <c r="J2597" s="1" t="str">
        <f ca="1">IFERROR(__xludf.DUMMYFUNCTION("""COMPUTED_VALUE"""),"0d 21h 05m")</f>
        <v>0d 21h 05m</v>
      </c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</row>
    <row r="2598" spans="1:26" ht="13.2">
      <c r="A2598" s="1">
        <f ca="1">IFERROR(__xludf.DUMMYFUNCTION("""COMPUTED_VALUE"""),81)</f>
        <v>81</v>
      </c>
      <c r="B2598" s="1" t="str">
        <f ca="1">IFERROR(__xludf.DUMMYFUNCTION("""COMPUTED_VALUE"""),"WWW_V_VV1_KA53B3465_JETTING")</f>
        <v>WWW_V_VV1_KA53B3465_JETTING</v>
      </c>
      <c r="C2598" s="1" t="str">
        <f ca="1">IFERROR(__xludf.DUMMYFUNCTION("""COMPUTED_VALUE"""),"www_v_vv1_ka53b3465_jetting")</f>
        <v>www_v_vv1_ka53b3465_jetting</v>
      </c>
      <c r="D2598" s="2">
        <f ca="1">IFERROR(__xludf.DUMMYFUNCTION("""COMPUTED_VALUE"""),41640)</f>
        <v>41640</v>
      </c>
      <c r="E2598" s="3">
        <f ca="1">IFERROR(__xludf.DUMMYFUNCTION("""COMPUTED_VALUE"""),0.683356481480586)</f>
        <v>0.68335648148058603</v>
      </c>
      <c r="F2598" s="1">
        <f ca="1">IFERROR(__xludf.DUMMYFUNCTION("""COMPUTED_VALUE"""),31739)</f>
        <v>31739</v>
      </c>
      <c r="G2598" s="1" t="str">
        <f ca="1">IFERROR(__xludf.DUMMYFUNCTION("""COMPUTED_VALUE"""),"12.9834/77.5206")</f>
        <v>12.9834/77.5206</v>
      </c>
      <c r="H2598" s="1" t="str">
        <f ca="1">IFERROR(__xludf.DUMMYFUNCTION("""COMPUTED_VALUE"""),"Kamakshi Palya")</f>
        <v>Kamakshi Palya</v>
      </c>
      <c r="I2598" s="1"/>
      <c r="J2598" s="1" t="str">
        <f ca="1">IFERROR(__xludf.DUMMYFUNCTION("""COMPUTED_VALUE"""),"0d 21h 08m")</f>
        <v>0d 21h 08m</v>
      </c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</row>
    <row r="2599" spans="1:26" ht="13.2">
      <c r="A2599" s="1">
        <f ca="1">IFERROR(__xludf.DUMMYFUNCTION("""COMPUTED_VALUE"""),81)</f>
        <v>81</v>
      </c>
      <c r="B2599" s="1" t="str">
        <f ca="1">IFERROR(__xludf.DUMMYFUNCTION("""COMPUTED_VALUE"""),"WWW_V_VV1_KA53B3465_JETTING")</f>
        <v>WWW_V_VV1_KA53B3465_JETTING</v>
      </c>
      <c r="C2599" s="1" t="str">
        <f ca="1">IFERROR(__xludf.DUMMYFUNCTION("""COMPUTED_VALUE"""),"www_v_vv1_ka53b3465_jetting")</f>
        <v>www_v_vv1_ka53b3465_jetting</v>
      </c>
      <c r="D2599" s="2">
        <f ca="1">IFERROR(__xludf.DUMMYFUNCTION("""COMPUTED_VALUE"""),41640)</f>
        <v>41640</v>
      </c>
      <c r="E2599" s="3">
        <f ca="1">IFERROR(__xludf.DUMMYFUNCTION("""COMPUTED_VALUE"""),0.683356481480586)</f>
        <v>0.68335648148058603</v>
      </c>
      <c r="F2599" s="1">
        <f ca="1">IFERROR(__xludf.DUMMYFUNCTION("""COMPUTED_VALUE"""),31739)</f>
        <v>31739</v>
      </c>
      <c r="G2599" s="1" t="str">
        <f ca="1">IFERROR(__xludf.DUMMYFUNCTION("""COMPUTED_VALUE"""),"12.9834/77.5206")</f>
        <v>12.9834/77.5206</v>
      </c>
      <c r="H2599" s="1" t="str">
        <f ca="1">IFERROR(__xludf.DUMMYFUNCTION("""COMPUTED_VALUE"""),"Kamakshi Palya")</f>
        <v>Kamakshi Palya</v>
      </c>
      <c r="I2599" s="1"/>
      <c r="J2599" s="1" t="str">
        <f ca="1">IFERROR(__xludf.DUMMYFUNCTION("""COMPUTED_VALUE"""),"0d 21h 09m")</f>
        <v>0d 21h 09m</v>
      </c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</row>
    <row r="2600" spans="1:26" ht="13.2">
      <c r="A2600" s="1">
        <f ca="1">IFERROR(__xludf.DUMMYFUNCTION("""COMPUTED_VALUE"""),81)</f>
        <v>81</v>
      </c>
      <c r="B2600" s="1" t="str">
        <f ca="1">IFERROR(__xludf.DUMMYFUNCTION("""COMPUTED_VALUE"""),"WWW_V_VV1_KA53B3465_JETTING")</f>
        <v>WWW_V_VV1_KA53B3465_JETTING</v>
      </c>
      <c r="C2600" s="1" t="str">
        <f ca="1">IFERROR(__xludf.DUMMYFUNCTION("""COMPUTED_VALUE"""),"www_v_vv1_ka53b3465_jetting")</f>
        <v>www_v_vv1_ka53b3465_jetting</v>
      </c>
      <c r="D2600" s="2">
        <f ca="1">IFERROR(__xludf.DUMMYFUNCTION("""COMPUTED_VALUE"""),41640)</f>
        <v>41640</v>
      </c>
      <c r="E2600" s="3">
        <f ca="1">IFERROR(__xludf.DUMMYFUNCTION("""COMPUTED_VALUE"""),0.683356481480586)</f>
        <v>0.68335648148058603</v>
      </c>
      <c r="F2600" s="1">
        <f ca="1">IFERROR(__xludf.DUMMYFUNCTION("""COMPUTED_VALUE"""),31739)</f>
        <v>31739</v>
      </c>
      <c r="G2600" s="1" t="str">
        <f ca="1">IFERROR(__xludf.DUMMYFUNCTION("""COMPUTED_VALUE"""),"12.9834/77.5206")</f>
        <v>12.9834/77.5206</v>
      </c>
      <c r="H2600" s="1" t="str">
        <f ca="1">IFERROR(__xludf.DUMMYFUNCTION("""COMPUTED_VALUE"""),"Kamakshi Palya")</f>
        <v>Kamakshi Palya</v>
      </c>
      <c r="I2600" s="1"/>
      <c r="J2600" s="1" t="str">
        <f ca="1">IFERROR(__xludf.DUMMYFUNCTION("""COMPUTED_VALUE"""),"0d 21h 10m")</f>
        <v>0d 21h 10m</v>
      </c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</row>
    <row r="2601" spans="1:26" ht="13.2">
      <c r="A2601" s="1">
        <f ca="1">IFERROR(__xludf.DUMMYFUNCTION("""COMPUTED_VALUE"""),81)</f>
        <v>81</v>
      </c>
      <c r="B2601" s="1" t="str">
        <f ca="1">IFERROR(__xludf.DUMMYFUNCTION("""COMPUTED_VALUE"""),"WWW_V_VV1_KA53B3465_JETTING")</f>
        <v>WWW_V_VV1_KA53B3465_JETTING</v>
      </c>
      <c r="C2601" s="1" t="str">
        <f ca="1">IFERROR(__xludf.DUMMYFUNCTION("""COMPUTED_VALUE"""),"www_v_vv1_ka53b3465_jetting")</f>
        <v>www_v_vv1_ka53b3465_jetting</v>
      </c>
      <c r="D2601" s="2">
        <f ca="1">IFERROR(__xludf.DUMMYFUNCTION("""COMPUTED_VALUE"""),41640)</f>
        <v>41640</v>
      </c>
      <c r="E2601" s="3">
        <f ca="1">IFERROR(__xludf.DUMMYFUNCTION("""COMPUTED_VALUE"""),0.683356481480586)</f>
        <v>0.68335648148058603</v>
      </c>
      <c r="F2601" s="1">
        <f ca="1">IFERROR(__xludf.DUMMYFUNCTION("""COMPUTED_VALUE"""),31739)</f>
        <v>31739</v>
      </c>
      <c r="G2601" s="1" t="str">
        <f ca="1">IFERROR(__xludf.DUMMYFUNCTION("""COMPUTED_VALUE"""),"12.9834/77.5206")</f>
        <v>12.9834/77.5206</v>
      </c>
      <c r="H2601" s="1" t="str">
        <f ca="1">IFERROR(__xludf.DUMMYFUNCTION("""COMPUTED_VALUE"""),"Kamakshi Palya")</f>
        <v>Kamakshi Palya</v>
      </c>
      <c r="I2601" s="1"/>
      <c r="J2601" s="1" t="str">
        <f ca="1">IFERROR(__xludf.DUMMYFUNCTION("""COMPUTED_VALUE"""),"0d 21h 12m")</f>
        <v>0d 21h 12m</v>
      </c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</row>
    <row r="2602" spans="1:26" ht="13.2">
      <c r="A2602" s="1">
        <f ca="1">IFERROR(__xludf.DUMMYFUNCTION("""COMPUTED_VALUE"""),81)</f>
        <v>81</v>
      </c>
      <c r="B2602" s="1" t="str">
        <f ca="1">IFERROR(__xludf.DUMMYFUNCTION("""COMPUTED_VALUE"""),"WWW_V_VV1_KA53B3465_JETTING")</f>
        <v>WWW_V_VV1_KA53B3465_JETTING</v>
      </c>
      <c r="C2602" s="1" t="str">
        <f ca="1">IFERROR(__xludf.DUMMYFUNCTION("""COMPUTED_VALUE"""),"www_v_vv1_ka53b3465_jetting")</f>
        <v>www_v_vv1_ka53b3465_jetting</v>
      </c>
      <c r="D2602" s="2">
        <f ca="1">IFERROR(__xludf.DUMMYFUNCTION("""COMPUTED_VALUE"""),41640)</f>
        <v>41640</v>
      </c>
      <c r="E2602" s="3">
        <f ca="1">IFERROR(__xludf.DUMMYFUNCTION("""COMPUTED_VALUE"""),0.683356481480586)</f>
        <v>0.68335648148058603</v>
      </c>
      <c r="F2602" s="1">
        <f ca="1">IFERROR(__xludf.DUMMYFUNCTION("""COMPUTED_VALUE"""),31739)</f>
        <v>31739</v>
      </c>
      <c r="G2602" s="1" t="str">
        <f ca="1">IFERROR(__xludf.DUMMYFUNCTION("""COMPUTED_VALUE"""),"12.9834/77.5206")</f>
        <v>12.9834/77.5206</v>
      </c>
      <c r="H2602" s="1" t="str">
        <f ca="1">IFERROR(__xludf.DUMMYFUNCTION("""COMPUTED_VALUE"""),"Kamakshi Palya")</f>
        <v>Kamakshi Palya</v>
      </c>
      <c r="I2602" s="1"/>
      <c r="J2602" s="1" t="str">
        <f ca="1">IFERROR(__xludf.DUMMYFUNCTION("""COMPUTED_VALUE"""),"0d 21h 13m")</f>
        <v>0d 21h 13m</v>
      </c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</row>
    <row r="2603" spans="1:26" ht="13.2">
      <c r="A2603" s="1">
        <f ca="1">IFERROR(__xludf.DUMMYFUNCTION("""COMPUTED_VALUE"""),43)</f>
        <v>43</v>
      </c>
      <c r="B2603" s="1" t="str">
        <f ca="1">IFERROR(__xludf.DUMMYFUNCTION("""COMPUTED_VALUE"""),"WWW_V_VV1_KA53B3467_JETTING")</f>
        <v>WWW_V_VV1_KA53B3467_JETTING</v>
      </c>
      <c r="C2603" s="1" t="str">
        <f ca="1">IFERROR(__xludf.DUMMYFUNCTION("""COMPUTED_VALUE"""),"www_v_vv1_ka53b3467_jetting")</f>
        <v>www_v_vv1_ka53b3467_jetting</v>
      </c>
      <c r="D2603" s="2">
        <f ca="1">IFERROR(__xludf.DUMMYFUNCTION("""COMPUTED_VALUE"""),41640)</f>
        <v>41640</v>
      </c>
      <c r="E2603" s="3">
        <f ca="1">IFERROR(__xludf.DUMMYFUNCTION("""COMPUTED_VALUE"""),0.241666666664968)</f>
        <v>0.241666666664968</v>
      </c>
      <c r="F2603" s="1">
        <f ca="1">IFERROR(__xludf.DUMMYFUNCTION("""COMPUTED_VALUE"""),49084)</f>
        <v>49084</v>
      </c>
      <c r="G2603" s="1"/>
      <c r="H2603" s="1"/>
      <c r="I2603" s="1"/>
      <c r="J2603" s="1" t="str">
        <f ca="1">IFERROR(__xludf.DUMMYFUNCTION("""COMPUTED_VALUE"""),"4d 19h 17m")</f>
        <v>4d 19h 17m</v>
      </c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</row>
    <row r="2604" spans="1:26" ht="13.2">
      <c r="A2604" s="1">
        <f ca="1">IFERROR(__xludf.DUMMYFUNCTION("""COMPUTED_VALUE"""),43)</f>
        <v>43</v>
      </c>
      <c r="B2604" s="1" t="str">
        <f ca="1">IFERROR(__xludf.DUMMYFUNCTION("""COMPUTED_VALUE"""),"WWW_V_VV1_KA53B3467_JETTING")</f>
        <v>WWW_V_VV1_KA53B3467_JETTING</v>
      </c>
      <c r="C2604" s="1" t="str">
        <f ca="1">IFERROR(__xludf.DUMMYFUNCTION("""COMPUTED_VALUE"""),"www_v_vv1_ka53b3467_jetting")</f>
        <v>www_v_vv1_ka53b3467_jetting</v>
      </c>
      <c r="D2604" s="2">
        <f ca="1">IFERROR(__xludf.DUMMYFUNCTION("""COMPUTED_VALUE"""),41640)</f>
        <v>41640</v>
      </c>
      <c r="E2604" s="3">
        <f ca="1">IFERROR(__xludf.DUMMYFUNCTION("""COMPUTED_VALUE"""),0.241666666664968)</f>
        <v>0.241666666664968</v>
      </c>
      <c r="F2604" s="1">
        <f ca="1">IFERROR(__xludf.DUMMYFUNCTION("""COMPUTED_VALUE"""),49084)</f>
        <v>49084</v>
      </c>
      <c r="G2604" s="1"/>
      <c r="H2604" s="1"/>
      <c r="I2604" s="1"/>
      <c r="J2604" s="1" t="str">
        <f ca="1">IFERROR(__xludf.DUMMYFUNCTION("""COMPUTED_VALUE"""),"4d 19h 18m")</f>
        <v>4d 19h 18m</v>
      </c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</row>
    <row r="2605" spans="1:26" ht="13.2">
      <c r="A2605" s="1">
        <f ca="1">IFERROR(__xludf.DUMMYFUNCTION("""COMPUTED_VALUE"""),43)</f>
        <v>43</v>
      </c>
      <c r="B2605" s="1" t="str">
        <f ca="1">IFERROR(__xludf.DUMMYFUNCTION("""COMPUTED_VALUE"""),"WWW_V_VV1_KA53B3467_JETTING")</f>
        <v>WWW_V_VV1_KA53B3467_JETTING</v>
      </c>
      <c r="C2605" s="1" t="str">
        <f ca="1">IFERROR(__xludf.DUMMYFUNCTION("""COMPUTED_VALUE"""),"www_v_vv1_ka53b3467_jetting")</f>
        <v>www_v_vv1_ka53b3467_jetting</v>
      </c>
      <c r="D2605" s="2">
        <f ca="1">IFERROR(__xludf.DUMMYFUNCTION("""COMPUTED_VALUE"""),41640)</f>
        <v>41640</v>
      </c>
      <c r="E2605" s="3">
        <f ca="1">IFERROR(__xludf.DUMMYFUNCTION("""COMPUTED_VALUE"""),0.241666666664968)</f>
        <v>0.241666666664968</v>
      </c>
      <c r="F2605" s="1">
        <f ca="1">IFERROR(__xludf.DUMMYFUNCTION("""COMPUTED_VALUE"""),49084)</f>
        <v>49084</v>
      </c>
      <c r="G2605" s="1"/>
      <c r="H2605" s="1"/>
      <c r="I2605" s="1"/>
      <c r="J2605" s="1" t="str">
        <f ca="1">IFERROR(__xludf.DUMMYFUNCTION("""COMPUTED_VALUE"""),"4d 19h 21m")</f>
        <v>4d 19h 21m</v>
      </c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</row>
    <row r="2606" spans="1:26" ht="13.2">
      <c r="A2606" s="1">
        <f ca="1">IFERROR(__xludf.DUMMYFUNCTION("""COMPUTED_VALUE"""),43)</f>
        <v>43</v>
      </c>
      <c r="B2606" s="1" t="str">
        <f ca="1">IFERROR(__xludf.DUMMYFUNCTION("""COMPUTED_VALUE"""),"WWW_V_VV1_KA53B3467_JETTING")</f>
        <v>WWW_V_VV1_KA53B3467_JETTING</v>
      </c>
      <c r="C2606" s="1" t="str">
        <f ca="1">IFERROR(__xludf.DUMMYFUNCTION("""COMPUTED_VALUE"""),"www_v_vv1_ka53b3467_jetting")</f>
        <v>www_v_vv1_ka53b3467_jetting</v>
      </c>
      <c r="D2606" s="2">
        <f ca="1">IFERROR(__xludf.DUMMYFUNCTION("""COMPUTED_VALUE"""),41640)</f>
        <v>41640</v>
      </c>
      <c r="E2606" s="3">
        <f ca="1">IFERROR(__xludf.DUMMYFUNCTION("""COMPUTED_VALUE"""),0.241666666664968)</f>
        <v>0.241666666664968</v>
      </c>
      <c r="F2606" s="1">
        <f ca="1">IFERROR(__xludf.DUMMYFUNCTION("""COMPUTED_VALUE"""),49084)</f>
        <v>49084</v>
      </c>
      <c r="G2606" s="1"/>
      <c r="H2606" s="1"/>
      <c r="I2606" s="1"/>
      <c r="J2606" s="1" t="str">
        <f ca="1">IFERROR(__xludf.DUMMYFUNCTION("""COMPUTED_VALUE"""),"4d 19h 22m")</f>
        <v>4d 19h 22m</v>
      </c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</row>
    <row r="2607" spans="1:26" ht="13.2">
      <c r="A2607" s="1">
        <f ca="1">IFERROR(__xludf.DUMMYFUNCTION("""COMPUTED_VALUE"""),43)</f>
        <v>43</v>
      </c>
      <c r="B2607" s="1" t="str">
        <f ca="1">IFERROR(__xludf.DUMMYFUNCTION("""COMPUTED_VALUE"""),"WWW_V_VV1_KA53B3467_JETTING")</f>
        <v>WWW_V_VV1_KA53B3467_JETTING</v>
      </c>
      <c r="C2607" s="1" t="str">
        <f ca="1">IFERROR(__xludf.DUMMYFUNCTION("""COMPUTED_VALUE"""),"www_v_vv1_ka53b3467_jetting")</f>
        <v>www_v_vv1_ka53b3467_jetting</v>
      </c>
      <c r="D2607" s="2">
        <f ca="1">IFERROR(__xludf.DUMMYFUNCTION("""COMPUTED_VALUE"""),41640)</f>
        <v>41640</v>
      </c>
      <c r="E2607" s="3">
        <f ca="1">IFERROR(__xludf.DUMMYFUNCTION("""COMPUTED_VALUE"""),0.241666666664968)</f>
        <v>0.241666666664968</v>
      </c>
      <c r="F2607" s="1">
        <f ca="1">IFERROR(__xludf.DUMMYFUNCTION("""COMPUTED_VALUE"""),49084)</f>
        <v>49084</v>
      </c>
      <c r="G2607" s="1"/>
      <c r="H2607" s="1"/>
      <c r="I2607" s="1"/>
      <c r="J2607" s="1" t="str">
        <f ca="1">IFERROR(__xludf.DUMMYFUNCTION("""COMPUTED_VALUE"""),"4d 19h 23m")</f>
        <v>4d 19h 23m</v>
      </c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</row>
    <row r="2608" spans="1:26" ht="13.2">
      <c r="A2608" s="1">
        <f ca="1">IFERROR(__xludf.DUMMYFUNCTION("""COMPUTED_VALUE"""),43)</f>
        <v>43</v>
      </c>
      <c r="B2608" s="1" t="str">
        <f ca="1">IFERROR(__xludf.DUMMYFUNCTION("""COMPUTED_VALUE"""),"WWW_V_VV1_KA53B3467_JETTING")</f>
        <v>WWW_V_VV1_KA53B3467_JETTING</v>
      </c>
      <c r="C2608" s="1" t="str">
        <f ca="1">IFERROR(__xludf.DUMMYFUNCTION("""COMPUTED_VALUE"""),"www_v_vv1_ka53b3467_jetting")</f>
        <v>www_v_vv1_ka53b3467_jetting</v>
      </c>
      <c r="D2608" s="2">
        <f ca="1">IFERROR(__xludf.DUMMYFUNCTION("""COMPUTED_VALUE"""),41640)</f>
        <v>41640</v>
      </c>
      <c r="E2608" s="3">
        <f ca="1">IFERROR(__xludf.DUMMYFUNCTION("""COMPUTED_VALUE"""),0.241666666664968)</f>
        <v>0.241666666664968</v>
      </c>
      <c r="F2608" s="1">
        <f ca="1">IFERROR(__xludf.DUMMYFUNCTION("""COMPUTED_VALUE"""),49084)</f>
        <v>49084</v>
      </c>
      <c r="G2608" s="1"/>
      <c r="H2608" s="1"/>
      <c r="I2608" s="1"/>
      <c r="J2608" s="1" t="str">
        <f ca="1">IFERROR(__xludf.DUMMYFUNCTION("""COMPUTED_VALUE"""),"4d 19h 25m")</f>
        <v>4d 19h 25m</v>
      </c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</row>
    <row r="2609" spans="1:26" ht="13.2">
      <c r="A2609" s="1">
        <f ca="1">IFERROR(__xludf.DUMMYFUNCTION("""COMPUTED_VALUE"""),43)</f>
        <v>43</v>
      </c>
      <c r="B2609" s="1" t="str">
        <f ca="1">IFERROR(__xludf.DUMMYFUNCTION("""COMPUTED_VALUE"""),"WWW_V_VV1_KA53B3467_JETTING")</f>
        <v>WWW_V_VV1_KA53B3467_JETTING</v>
      </c>
      <c r="C2609" s="1" t="str">
        <f ca="1">IFERROR(__xludf.DUMMYFUNCTION("""COMPUTED_VALUE"""),"www_v_vv1_ka53b3467_jetting")</f>
        <v>www_v_vv1_ka53b3467_jetting</v>
      </c>
      <c r="D2609" s="2">
        <f ca="1">IFERROR(__xludf.DUMMYFUNCTION("""COMPUTED_VALUE"""),41640)</f>
        <v>41640</v>
      </c>
      <c r="E2609" s="3">
        <f ca="1">IFERROR(__xludf.DUMMYFUNCTION("""COMPUTED_VALUE"""),0.241666666664968)</f>
        <v>0.241666666664968</v>
      </c>
      <c r="F2609" s="1">
        <f ca="1">IFERROR(__xludf.DUMMYFUNCTION("""COMPUTED_VALUE"""),49084)</f>
        <v>49084</v>
      </c>
      <c r="G2609" s="1"/>
      <c r="H2609" s="1"/>
      <c r="I2609" s="1"/>
      <c r="J2609" s="1" t="str">
        <f ca="1">IFERROR(__xludf.DUMMYFUNCTION("""COMPUTED_VALUE"""),"4d 19h 26m")</f>
        <v>4d 19h 26m</v>
      </c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</row>
  </sheetData>
  <autoFilter ref="A1:J2609" xr:uid="{00000000-0009-0000-0000-00000F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I202"/>
  <sheetViews>
    <sheetView workbookViewId="0"/>
  </sheetViews>
  <sheetFormatPr defaultColWidth="12.6640625" defaultRowHeight="15.75" customHeight="1"/>
  <cols>
    <col min="2" max="2" width="26.21875" customWidth="1"/>
    <col min="3" max="3" width="27.109375" customWidth="1"/>
    <col min="5" max="5" width="23.109375" customWidth="1"/>
    <col min="8" max="8" width="33.33203125" customWidth="1"/>
  </cols>
  <sheetData>
    <row r="1" spans="1:9">
      <c r="A1" s="1" t="s">
        <v>119</v>
      </c>
      <c r="B1" s="1" t="s">
        <v>0</v>
      </c>
      <c r="C1" s="1" t="s">
        <v>85</v>
      </c>
      <c r="D1" s="1" t="s">
        <v>120</v>
      </c>
      <c r="E1" s="1" t="s">
        <v>89</v>
      </c>
      <c r="F1" s="1" t="s">
        <v>88</v>
      </c>
      <c r="G1" s="1" t="s">
        <v>1</v>
      </c>
      <c r="H1" s="1" t="s">
        <v>2</v>
      </c>
      <c r="I1" s="1" t="s">
        <v>121</v>
      </c>
    </row>
    <row r="2" spans="1:9">
      <c r="A2" s="1" t="s">
        <v>122</v>
      </c>
      <c r="B2" s="1" t="s">
        <v>123</v>
      </c>
      <c r="C2" s="1" t="s">
        <v>123</v>
      </c>
      <c r="D2" s="1" t="s">
        <v>123</v>
      </c>
      <c r="E2" s="1" t="s">
        <v>123</v>
      </c>
      <c r="F2" s="1" t="s">
        <v>123</v>
      </c>
      <c r="G2" s="1" t="s">
        <v>123</v>
      </c>
      <c r="H2" s="1" t="s">
        <v>123</v>
      </c>
      <c r="I2" s="1" t="s">
        <v>121</v>
      </c>
    </row>
    <row r="3" spans="1:9">
      <c r="A3" s="1">
        <v>1</v>
      </c>
      <c r="B3" s="1" t="s">
        <v>124</v>
      </c>
      <c r="C3" s="1" t="s">
        <v>125</v>
      </c>
      <c r="D3" s="1">
        <v>112014</v>
      </c>
      <c r="E3" s="1" t="s">
        <v>121</v>
      </c>
      <c r="F3" s="1">
        <v>61300</v>
      </c>
      <c r="G3" s="1">
        <v>25</v>
      </c>
      <c r="H3" s="1" t="s">
        <v>92</v>
      </c>
      <c r="I3" s="1" t="s">
        <v>121</v>
      </c>
    </row>
    <row r="4" spans="1:9">
      <c r="A4" s="1">
        <v>2</v>
      </c>
      <c r="B4" s="1" t="s">
        <v>126</v>
      </c>
      <c r="C4" s="1" t="s">
        <v>127</v>
      </c>
      <c r="D4" s="1">
        <v>112014</v>
      </c>
      <c r="E4" s="1" t="s">
        <v>121</v>
      </c>
      <c r="F4" s="1">
        <v>133001</v>
      </c>
      <c r="G4" s="1" t="s">
        <v>121</v>
      </c>
      <c r="H4" s="1" t="s">
        <v>3</v>
      </c>
      <c r="I4" s="1" t="s">
        <v>121</v>
      </c>
    </row>
    <row r="5" spans="1:9">
      <c r="A5" s="1">
        <v>3</v>
      </c>
      <c r="B5" s="1" t="s">
        <v>128</v>
      </c>
      <c r="C5" s="1" t="s">
        <v>128</v>
      </c>
      <c r="D5" s="1">
        <v>17112016</v>
      </c>
      <c r="E5" s="1" t="s">
        <v>129</v>
      </c>
      <c r="F5" s="1">
        <v>155115</v>
      </c>
      <c r="G5" s="1">
        <v>58</v>
      </c>
      <c r="H5" s="1" t="s">
        <v>93</v>
      </c>
      <c r="I5" s="1" t="s">
        <v>121</v>
      </c>
    </row>
    <row r="6" spans="1:9">
      <c r="A6" s="1">
        <v>4</v>
      </c>
      <c r="B6" s="1" t="s">
        <v>130</v>
      </c>
      <c r="C6" s="1" t="s">
        <v>130</v>
      </c>
      <c r="D6" s="1">
        <v>23112016</v>
      </c>
      <c r="E6" s="1" t="s">
        <v>129</v>
      </c>
      <c r="F6" s="1">
        <v>124325</v>
      </c>
      <c r="G6" s="1">
        <v>772</v>
      </c>
      <c r="H6" s="1" t="s">
        <v>94</v>
      </c>
      <c r="I6" s="1" t="s">
        <v>121</v>
      </c>
    </row>
    <row r="7" spans="1:9">
      <c r="A7" s="1">
        <v>5</v>
      </c>
      <c r="B7" s="1" t="s">
        <v>131</v>
      </c>
      <c r="C7" s="1" t="s">
        <v>132</v>
      </c>
      <c r="D7" s="1">
        <v>30102018</v>
      </c>
      <c r="E7" s="1" t="s">
        <v>133</v>
      </c>
      <c r="F7" s="1">
        <v>143757</v>
      </c>
      <c r="G7" s="1" t="s">
        <v>121</v>
      </c>
      <c r="H7" s="1" t="s">
        <v>95</v>
      </c>
      <c r="I7" s="1" t="s">
        <v>121</v>
      </c>
    </row>
    <row r="8" spans="1:9">
      <c r="A8" s="1">
        <v>6</v>
      </c>
      <c r="B8" s="1" t="s">
        <v>134</v>
      </c>
      <c r="C8" s="1" t="s">
        <v>134</v>
      </c>
      <c r="D8" s="1">
        <v>31102018</v>
      </c>
      <c r="E8" s="1" t="s">
        <v>135</v>
      </c>
      <c r="F8" s="1">
        <v>112159</v>
      </c>
      <c r="G8" s="1">
        <v>326</v>
      </c>
      <c r="H8" s="1" t="s">
        <v>96</v>
      </c>
      <c r="I8" s="1" t="s">
        <v>121</v>
      </c>
    </row>
    <row r="9" spans="1:9">
      <c r="A9" s="1">
        <v>7</v>
      </c>
      <c r="B9" s="1" t="s">
        <v>136</v>
      </c>
      <c r="C9" s="1" t="s">
        <v>136</v>
      </c>
      <c r="D9" s="1">
        <v>23082019</v>
      </c>
      <c r="E9" s="1" t="s">
        <v>137</v>
      </c>
      <c r="F9" s="1">
        <v>111059</v>
      </c>
      <c r="G9" s="1">
        <v>479</v>
      </c>
      <c r="H9" s="1" t="s">
        <v>97</v>
      </c>
      <c r="I9" s="1" t="s">
        <v>121</v>
      </c>
    </row>
    <row r="10" spans="1:9">
      <c r="A10" s="1">
        <v>8</v>
      </c>
      <c r="B10" s="1" t="s">
        <v>138</v>
      </c>
      <c r="C10" s="1" t="s">
        <v>139</v>
      </c>
      <c r="D10" s="1">
        <v>26082019</v>
      </c>
      <c r="E10" s="1" t="s">
        <v>140</v>
      </c>
      <c r="F10" s="1">
        <v>151735</v>
      </c>
      <c r="G10" s="1">
        <v>3920</v>
      </c>
      <c r="H10" s="1" t="s">
        <v>98</v>
      </c>
      <c r="I10" s="1" t="s">
        <v>121</v>
      </c>
    </row>
    <row r="11" spans="1:9">
      <c r="A11" s="1">
        <v>9</v>
      </c>
      <c r="B11" s="1" t="s">
        <v>141</v>
      </c>
      <c r="C11" s="1" t="s">
        <v>141</v>
      </c>
      <c r="D11" s="1">
        <v>7102019</v>
      </c>
      <c r="E11" s="1" t="s">
        <v>142</v>
      </c>
      <c r="F11" s="1">
        <v>102125</v>
      </c>
      <c r="G11" s="1">
        <v>479</v>
      </c>
      <c r="H11" s="1" t="s">
        <v>99</v>
      </c>
      <c r="I11" s="1" t="s">
        <v>121</v>
      </c>
    </row>
    <row r="12" spans="1:9">
      <c r="A12" s="1">
        <v>10</v>
      </c>
      <c r="B12" s="1" t="s">
        <v>143</v>
      </c>
      <c r="C12" s="1" t="s">
        <v>144</v>
      </c>
      <c r="D12" s="1">
        <v>18112019</v>
      </c>
      <c r="E12" s="1" t="s">
        <v>145</v>
      </c>
      <c r="F12" s="1">
        <v>165837</v>
      </c>
      <c r="G12" s="1">
        <v>28</v>
      </c>
      <c r="H12" s="1" t="s">
        <v>100</v>
      </c>
      <c r="I12" s="1" t="s">
        <v>121</v>
      </c>
    </row>
    <row r="13" spans="1:9">
      <c r="A13" s="1">
        <v>11</v>
      </c>
      <c r="B13" s="1" t="s">
        <v>146</v>
      </c>
      <c r="C13" s="1" t="s">
        <v>147</v>
      </c>
      <c r="D13" s="1">
        <v>20112019</v>
      </c>
      <c r="E13" s="1" t="s">
        <v>148</v>
      </c>
      <c r="F13" s="1">
        <v>161440</v>
      </c>
      <c r="G13" s="1">
        <v>3576</v>
      </c>
      <c r="H13" s="1" t="s">
        <v>101</v>
      </c>
      <c r="I13" s="1" t="s">
        <v>121</v>
      </c>
    </row>
    <row r="14" spans="1:9">
      <c r="A14" s="1">
        <v>12</v>
      </c>
      <c r="B14" s="1" t="s">
        <v>149</v>
      </c>
      <c r="C14" s="1" t="s">
        <v>150</v>
      </c>
      <c r="D14" s="1">
        <v>30122019</v>
      </c>
      <c r="E14" s="1" t="s">
        <v>151</v>
      </c>
      <c r="F14" s="1">
        <v>142916</v>
      </c>
      <c r="G14" s="1">
        <v>11427</v>
      </c>
      <c r="H14" s="1" t="s">
        <v>102</v>
      </c>
      <c r="I14" s="1" t="s">
        <v>121</v>
      </c>
    </row>
    <row r="15" spans="1:9">
      <c r="A15" s="1">
        <v>13</v>
      </c>
      <c r="B15" s="1" t="s">
        <v>152</v>
      </c>
      <c r="C15" s="1" t="s">
        <v>153</v>
      </c>
      <c r="D15" s="1">
        <v>212020</v>
      </c>
      <c r="E15" s="1" t="s">
        <v>154</v>
      </c>
      <c r="F15" s="1">
        <v>125816</v>
      </c>
      <c r="G15" s="1">
        <v>1736</v>
      </c>
      <c r="H15" s="1" t="s">
        <v>103</v>
      </c>
      <c r="I15" s="1" t="s">
        <v>121</v>
      </c>
    </row>
    <row r="16" spans="1:9">
      <c r="A16" s="1">
        <v>14</v>
      </c>
      <c r="B16" s="1" t="s">
        <v>155</v>
      </c>
      <c r="C16" s="1" t="s">
        <v>156</v>
      </c>
      <c r="D16" s="1">
        <v>812020</v>
      </c>
      <c r="E16" s="1" t="s">
        <v>157</v>
      </c>
      <c r="F16" s="1">
        <v>102215</v>
      </c>
      <c r="G16" s="1">
        <v>15629</v>
      </c>
      <c r="H16" s="1" t="s">
        <v>104</v>
      </c>
      <c r="I16" s="1" t="s">
        <v>121</v>
      </c>
    </row>
    <row r="17" spans="1:9">
      <c r="A17" s="1">
        <v>15</v>
      </c>
      <c r="B17" s="1" t="s">
        <v>158</v>
      </c>
      <c r="C17" s="1" t="s">
        <v>159</v>
      </c>
      <c r="D17" s="1">
        <v>912020</v>
      </c>
      <c r="E17" s="1" t="s">
        <v>160</v>
      </c>
      <c r="F17" s="1">
        <v>141039</v>
      </c>
      <c r="G17" s="1">
        <v>16856</v>
      </c>
      <c r="H17" s="1" t="s">
        <v>105</v>
      </c>
      <c r="I17" s="1" t="s">
        <v>121</v>
      </c>
    </row>
    <row r="18" spans="1:9">
      <c r="A18" s="1">
        <v>16</v>
      </c>
      <c r="B18" s="1" t="s">
        <v>161</v>
      </c>
      <c r="C18" s="1" t="s">
        <v>162</v>
      </c>
      <c r="D18" s="1">
        <v>14012020</v>
      </c>
      <c r="E18" s="1" t="s">
        <v>163</v>
      </c>
      <c r="F18" s="1">
        <v>170209</v>
      </c>
      <c r="G18" s="1">
        <v>21679</v>
      </c>
      <c r="H18" s="1" t="s">
        <v>40</v>
      </c>
      <c r="I18" s="1" t="s">
        <v>121</v>
      </c>
    </row>
    <row r="19" spans="1:9">
      <c r="A19" s="1">
        <v>17</v>
      </c>
      <c r="B19" s="1" t="s">
        <v>164</v>
      </c>
      <c r="C19" s="1" t="s">
        <v>165</v>
      </c>
      <c r="D19" s="1">
        <v>14012020</v>
      </c>
      <c r="E19" s="1" t="s">
        <v>166</v>
      </c>
      <c r="F19" s="1">
        <v>181254</v>
      </c>
      <c r="G19" s="1">
        <v>769415</v>
      </c>
      <c r="H19" s="1" t="s">
        <v>106</v>
      </c>
      <c r="I19" s="1" t="s">
        <v>121</v>
      </c>
    </row>
    <row r="20" spans="1:9">
      <c r="A20" s="1">
        <v>18</v>
      </c>
      <c r="B20" s="1" t="s">
        <v>167</v>
      </c>
      <c r="C20" s="1" t="s">
        <v>168</v>
      </c>
      <c r="D20" s="1">
        <v>16012020</v>
      </c>
      <c r="E20" s="1" t="s">
        <v>169</v>
      </c>
      <c r="F20" s="1">
        <v>121615</v>
      </c>
      <c r="G20" s="1">
        <v>17587</v>
      </c>
      <c r="H20" s="1" t="s">
        <v>107</v>
      </c>
      <c r="I20" s="1" t="s">
        <v>121</v>
      </c>
    </row>
    <row r="21" spans="1:9">
      <c r="A21" s="1">
        <v>19</v>
      </c>
      <c r="B21" s="1" t="s">
        <v>170</v>
      </c>
      <c r="C21" s="1" t="s">
        <v>171</v>
      </c>
      <c r="D21" s="1">
        <v>16012020</v>
      </c>
      <c r="E21" s="1" t="s">
        <v>172</v>
      </c>
      <c r="F21" s="1">
        <v>133230</v>
      </c>
      <c r="G21" s="1">
        <v>23445</v>
      </c>
      <c r="H21" s="1" t="s">
        <v>108</v>
      </c>
      <c r="I21" s="1" t="s">
        <v>121</v>
      </c>
    </row>
    <row r="22" spans="1:9">
      <c r="A22" s="1">
        <v>20</v>
      </c>
      <c r="B22" s="1" t="s">
        <v>173</v>
      </c>
      <c r="C22" s="1" t="s">
        <v>174</v>
      </c>
      <c r="D22" s="1">
        <v>16012020</v>
      </c>
      <c r="E22" s="1" t="s">
        <v>175</v>
      </c>
      <c r="F22" s="1">
        <v>133237</v>
      </c>
      <c r="G22" s="1">
        <v>18216</v>
      </c>
      <c r="H22" s="1" t="s">
        <v>109</v>
      </c>
      <c r="I22" s="1" t="s">
        <v>121</v>
      </c>
    </row>
    <row r="23" spans="1:9">
      <c r="A23" s="1">
        <v>21</v>
      </c>
      <c r="B23" s="1" t="s">
        <v>176</v>
      </c>
      <c r="C23" s="1" t="s">
        <v>177</v>
      </c>
      <c r="D23" s="1">
        <v>16012020</v>
      </c>
      <c r="E23" s="1" t="s">
        <v>178</v>
      </c>
      <c r="F23" s="1">
        <v>133237</v>
      </c>
      <c r="G23" s="1">
        <v>16480</v>
      </c>
      <c r="H23" s="1" t="s">
        <v>110</v>
      </c>
      <c r="I23" s="1" t="s">
        <v>121</v>
      </c>
    </row>
    <row r="24" spans="1:9">
      <c r="A24" s="1">
        <v>22</v>
      </c>
      <c r="B24" s="1" t="s">
        <v>179</v>
      </c>
      <c r="C24" s="1" t="s">
        <v>180</v>
      </c>
      <c r="D24" s="1">
        <v>16062020</v>
      </c>
      <c r="E24" s="1" t="s">
        <v>181</v>
      </c>
      <c r="F24" s="1">
        <v>130434</v>
      </c>
      <c r="G24" s="1">
        <v>18568</v>
      </c>
      <c r="H24" s="1" t="s">
        <v>111</v>
      </c>
      <c r="I24" s="1" t="s">
        <v>121</v>
      </c>
    </row>
    <row r="25" spans="1:9">
      <c r="A25" s="1">
        <v>23</v>
      </c>
      <c r="B25" s="1" t="s">
        <v>182</v>
      </c>
      <c r="C25" s="1" t="s">
        <v>183</v>
      </c>
      <c r="D25" s="1">
        <v>772020</v>
      </c>
      <c r="E25" s="1" t="s">
        <v>184</v>
      </c>
      <c r="F25" s="1">
        <v>144705</v>
      </c>
      <c r="G25" s="1">
        <v>18982</v>
      </c>
      <c r="H25" s="1" t="s">
        <v>112</v>
      </c>
      <c r="I25" s="1" t="s">
        <v>121</v>
      </c>
    </row>
    <row r="26" spans="1:9">
      <c r="A26" s="1">
        <v>24</v>
      </c>
      <c r="B26" s="1" t="s">
        <v>185</v>
      </c>
      <c r="C26" s="1" t="s">
        <v>186</v>
      </c>
      <c r="D26" s="1">
        <v>23072020</v>
      </c>
      <c r="E26" s="1" t="s">
        <v>187</v>
      </c>
      <c r="F26" s="1">
        <v>132039</v>
      </c>
      <c r="G26" s="1">
        <v>48091</v>
      </c>
      <c r="H26" s="1" t="s">
        <v>113</v>
      </c>
      <c r="I26" s="1" t="s">
        <v>121</v>
      </c>
    </row>
    <row r="27" spans="1:9">
      <c r="A27" s="1">
        <v>25</v>
      </c>
      <c r="B27" s="1" t="s">
        <v>188</v>
      </c>
      <c r="C27" s="1" t="s">
        <v>189</v>
      </c>
      <c r="D27" s="1">
        <v>29072020</v>
      </c>
      <c r="E27" s="1" t="s">
        <v>190</v>
      </c>
      <c r="F27" s="1">
        <v>95245</v>
      </c>
      <c r="G27" s="1">
        <v>45534</v>
      </c>
      <c r="H27" s="1" t="s">
        <v>3</v>
      </c>
      <c r="I27" s="1" t="s">
        <v>121</v>
      </c>
    </row>
    <row r="28" spans="1:9">
      <c r="A28" s="1">
        <v>26</v>
      </c>
      <c r="B28" s="1" t="s">
        <v>191</v>
      </c>
      <c r="C28" s="1" t="s">
        <v>192</v>
      </c>
      <c r="D28" s="1">
        <v>29072020</v>
      </c>
      <c r="E28" s="1" t="s">
        <v>193</v>
      </c>
      <c r="F28" s="1">
        <v>102519</v>
      </c>
      <c r="G28" s="1">
        <v>17890</v>
      </c>
      <c r="H28" s="1" t="s">
        <v>4</v>
      </c>
      <c r="I28" s="1" t="s">
        <v>121</v>
      </c>
    </row>
    <row r="29" spans="1:9">
      <c r="A29" s="1">
        <v>27</v>
      </c>
      <c r="B29" s="1" t="s">
        <v>194</v>
      </c>
      <c r="C29" s="1" t="s">
        <v>195</v>
      </c>
      <c r="D29" s="1">
        <v>29072020</v>
      </c>
      <c r="E29" s="1" t="s">
        <v>196</v>
      </c>
      <c r="F29" s="1">
        <v>102911</v>
      </c>
      <c r="G29" s="1">
        <v>13729</v>
      </c>
      <c r="H29" s="1" t="s">
        <v>5</v>
      </c>
      <c r="I29" s="1" t="s">
        <v>121</v>
      </c>
    </row>
    <row r="30" spans="1:9">
      <c r="A30" s="1">
        <v>28</v>
      </c>
      <c r="B30" s="1" t="s">
        <v>197</v>
      </c>
      <c r="C30" s="1" t="s">
        <v>198</v>
      </c>
      <c r="D30" s="1">
        <v>7102020</v>
      </c>
      <c r="E30" s="1" t="s">
        <v>199</v>
      </c>
      <c r="F30" s="1">
        <v>113401</v>
      </c>
      <c r="G30" s="1">
        <v>4283</v>
      </c>
      <c r="H30" s="1" t="s">
        <v>6</v>
      </c>
      <c r="I30" s="1" t="s">
        <v>121</v>
      </c>
    </row>
    <row r="31" spans="1:9">
      <c r="A31" s="1">
        <v>29</v>
      </c>
      <c r="B31" s="1" t="s">
        <v>200</v>
      </c>
      <c r="C31" s="1" t="s">
        <v>201</v>
      </c>
      <c r="D31" s="1">
        <v>30112020</v>
      </c>
      <c r="E31" s="1" t="s">
        <v>202</v>
      </c>
      <c r="F31" s="1">
        <v>154416</v>
      </c>
      <c r="G31" s="1">
        <v>8278</v>
      </c>
      <c r="H31" s="1" t="s">
        <v>7</v>
      </c>
      <c r="I31" s="1" t="s">
        <v>121</v>
      </c>
    </row>
    <row r="32" spans="1:9">
      <c r="A32" s="1">
        <v>30</v>
      </c>
      <c r="B32" s="1" t="s">
        <v>203</v>
      </c>
      <c r="C32" s="1" t="s">
        <v>204</v>
      </c>
      <c r="D32" s="1">
        <v>7122020</v>
      </c>
      <c r="E32" s="1" t="s">
        <v>205</v>
      </c>
      <c r="F32" s="1">
        <v>123406</v>
      </c>
      <c r="G32" s="1">
        <v>281</v>
      </c>
      <c r="H32" s="1" t="s">
        <v>8</v>
      </c>
      <c r="I32" s="1" t="s">
        <v>121</v>
      </c>
    </row>
    <row r="33" spans="1:9">
      <c r="A33" s="1">
        <v>31</v>
      </c>
      <c r="B33" s="1" t="s">
        <v>206</v>
      </c>
      <c r="C33" s="1" t="s">
        <v>207</v>
      </c>
      <c r="D33" s="1">
        <v>1212021</v>
      </c>
      <c r="E33" s="1" t="s">
        <v>208</v>
      </c>
      <c r="F33" s="1">
        <v>121759</v>
      </c>
      <c r="G33" s="1">
        <v>9897</v>
      </c>
      <c r="H33" s="1" t="s">
        <v>114</v>
      </c>
      <c r="I33" s="1" t="s">
        <v>121</v>
      </c>
    </row>
    <row r="34" spans="1:9">
      <c r="A34" s="1">
        <v>32</v>
      </c>
      <c r="B34" s="1" t="s">
        <v>209</v>
      </c>
      <c r="C34" s="1" t="s">
        <v>210</v>
      </c>
      <c r="D34" s="1">
        <v>26012021</v>
      </c>
      <c r="E34" s="1" t="s">
        <v>211</v>
      </c>
      <c r="F34" s="1">
        <v>161526</v>
      </c>
      <c r="G34" s="1">
        <v>19876</v>
      </c>
      <c r="H34" s="1" t="s">
        <v>115</v>
      </c>
      <c r="I34" s="1" t="s">
        <v>121</v>
      </c>
    </row>
    <row r="35" spans="1:9">
      <c r="A35" s="1">
        <v>33</v>
      </c>
      <c r="B35" s="1" t="s">
        <v>212</v>
      </c>
      <c r="C35" s="1" t="s">
        <v>213</v>
      </c>
      <c r="D35" s="1">
        <v>19062021</v>
      </c>
      <c r="E35" s="1" t="s">
        <v>214</v>
      </c>
      <c r="F35" s="1">
        <v>153104</v>
      </c>
      <c r="G35" s="1">
        <v>60465</v>
      </c>
      <c r="H35" s="1" t="s">
        <v>9</v>
      </c>
      <c r="I35" s="1" t="s">
        <v>121</v>
      </c>
    </row>
    <row r="36" spans="1:9">
      <c r="A36" s="1">
        <v>34</v>
      </c>
      <c r="B36" s="1" t="s">
        <v>215</v>
      </c>
      <c r="C36" s="1" t="s">
        <v>216</v>
      </c>
      <c r="D36" s="1">
        <v>172021</v>
      </c>
      <c r="E36" s="1" t="s">
        <v>217</v>
      </c>
      <c r="F36" s="1">
        <v>133559</v>
      </c>
      <c r="G36" s="1">
        <v>15913</v>
      </c>
      <c r="H36" s="1" t="s">
        <v>10</v>
      </c>
      <c r="I36" s="1" t="s">
        <v>121</v>
      </c>
    </row>
    <row r="37" spans="1:9">
      <c r="A37" s="1">
        <v>35</v>
      </c>
      <c r="B37" s="1" t="s">
        <v>218</v>
      </c>
      <c r="C37" s="1" t="s">
        <v>219</v>
      </c>
      <c r="D37" s="1">
        <v>17092021</v>
      </c>
      <c r="E37" s="1" t="s">
        <v>220</v>
      </c>
      <c r="F37" s="1">
        <v>111520</v>
      </c>
      <c r="G37" s="1">
        <v>7200</v>
      </c>
      <c r="H37" s="1" t="s">
        <v>11</v>
      </c>
      <c r="I37" s="1" t="s">
        <v>121</v>
      </c>
    </row>
    <row r="38" spans="1:9">
      <c r="A38" s="1">
        <v>36</v>
      </c>
      <c r="B38" s="1" t="s">
        <v>221</v>
      </c>
      <c r="C38" s="1" t="s">
        <v>222</v>
      </c>
      <c r="D38" s="1">
        <v>26092021</v>
      </c>
      <c r="E38" s="1" t="s">
        <v>223</v>
      </c>
      <c r="F38" s="1">
        <v>105146</v>
      </c>
      <c r="G38" s="1">
        <v>3048</v>
      </c>
      <c r="H38" s="1" t="s">
        <v>12</v>
      </c>
      <c r="I38" s="1" t="s">
        <v>121</v>
      </c>
    </row>
    <row r="39" spans="1:9">
      <c r="A39" s="1">
        <v>37</v>
      </c>
      <c r="B39" s="1" t="s">
        <v>224</v>
      </c>
      <c r="C39" s="1" t="s">
        <v>225</v>
      </c>
      <c r="D39" s="1">
        <v>2102021</v>
      </c>
      <c r="E39" s="1" t="s">
        <v>226</v>
      </c>
      <c r="F39" s="1">
        <v>131013</v>
      </c>
      <c r="G39" s="1">
        <v>9619</v>
      </c>
      <c r="H39" s="1" t="s">
        <v>13</v>
      </c>
      <c r="I39" s="1" t="s">
        <v>121</v>
      </c>
    </row>
    <row r="40" spans="1:9">
      <c r="A40" s="1">
        <v>38</v>
      </c>
      <c r="B40" s="1" t="s">
        <v>227</v>
      </c>
      <c r="C40" s="1" t="s">
        <v>228</v>
      </c>
      <c r="D40" s="1">
        <v>27112021</v>
      </c>
      <c r="E40" s="1" t="s">
        <v>229</v>
      </c>
      <c r="F40" s="1">
        <v>91153</v>
      </c>
      <c r="G40" s="1">
        <v>15431</v>
      </c>
      <c r="H40" s="1" t="s">
        <v>3</v>
      </c>
      <c r="I40" s="1" t="s">
        <v>121</v>
      </c>
    </row>
    <row r="41" spans="1:9">
      <c r="A41" s="1">
        <v>39</v>
      </c>
      <c r="B41" s="1" t="s">
        <v>230</v>
      </c>
      <c r="C41" s="1" t="s">
        <v>231</v>
      </c>
      <c r="D41" s="1">
        <v>9122021</v>
      </c>
      <c r="E41" s="1" t="s">
        <v>232</v>
      </c>
      <c r="F41" s="1">
        <v>131601</v>
      </c>
      <c r="G41" s="1">
        <v>12263</v>
      </c>
      <c r="H41" s="1" t="s">
        <v>14</v>
      </c>
      <c r="I41" s="1" t="s">
        <v>121</v>
      </c>
    </row>
    <row r="42" spans="1:9">
      <c r="A42" s="1">
        <v>40</v>
      </c>
      <c r="B42" s="1" t="s">
        <v>233</v>
      </c>
      <c r="C42" s="1" t="s">
        <v>234</v>
      </c>
      <c r="D42" s="1">
        <v>15122021</v>
      </c>
      <c r="E42" s="1" t="s">
        <v>235</v>
      </c>
      <c r="F42" s="1">
        <v>83030</v>
      </c>
      <c r="G42" s="1">
        <v>26901</v>
      </c>
      <c r="H42" s="1" t="s">
        <v>15</v>
      </c>
      <c r="I42" s="1" t="s">
        <v>121</v>
      </c>
    </row>
    <row r="43" spans="1:9">
      <c r="A43" s="1">
        <v>41</v>
      </c>
      <c r="B43" s="1" t="s">
        <v>236</v>
      </c>
      <c r="C43" s="1" t="s">
        <v>237</v>
      </c>
      <c r="D43" s="1">
        <v>31122021</v>
      </c>
      <c r="E43" s="1" t="s">
        <v>238</v>
      </c>
      <c r="F43" s="1">
        <v>173516</v>
      </c>
      <c r="G43" s="1">
        <v>21600</v>
      </c>
      <c r="H43" s="1" t="s">
        <v>3</v>
      </c>
      <c r="I43" s="1" t="s">
        <v>121</v>
      </c>
    </row>
    <row r="44" spans="1:9">
      <c r="A44" s="1">
        <v>42</v>
      </c>
      <c r="B44" s="1" t="s">
        <v>239</v>
      </c>
      <c r="C44" s="1" t="s">
        <v>240</v>
      </c>
      <c r="D44" s="1">
        <v>1012022</v>
      </c>
      <c r="E44" s="1" t="s">
        <v>241</v>
      </c>
      <c r="F44" s="1">
        <v>135803</v>
      </c>
      <c r="G44" s="1">
        <v>10586</v>
      </c>
      <c r="H44" s="1" t="s">
        <v>16</v>
      </c>
      <c r="I44" s="1" t="s">
        <v>121</v>
      </c>
    </row>
    <row r="45" spans="1:9">
      <c r="A45" s="1">
        <v>43</v>
      </c>
      <c r="B45" s="1" t="s">
        <v>242</v>
      </c>
      <c r="C45" s="1" t="s">
        <v>243</v>
      </c>
      <c r="D45" s="1">
        <v>25012022</v>
      </c>
      <c r="E45" s="1" t="s">
        <v>244</v>
      </c>
      <c r="F45" s="1">
        <v>115550</v>
      </c>
      <c r="G45" s="1">
        <v>13752</v>
      </c>
      <c r="H45" s="1" t="s">
        <v>17</v>
      </c>
      <c r="I45" s="1" t="s">
        <v>121</v>
      </c>
    </row>
    <row r="46" spans="1:9">
      <c r="A46" s="1">
        <v>44</v>
      </c>
      <c r="B46" s="1" t="s">
        <v>245</v>
      </c>
      <c r="C46" s="1" t="s">
        <v>246</v>
      </c>
      <c r="D46" s="1">
        <v>1022022</v>
      </c>
      <c r="E46" s="1" t="s">
        <v>247</v>
      </c>
      <c r="F46" s="1">
        <v>71213</v>
      </c>
      <c r="G46" s="1">
        <v>13623</v>
      </c>
      <c r="H46" s="1" t="s">
        <v>18</v>
      </c>
      <c r="I46" s="1" t="s">
        <v>121</v>
      </c>
    </row>
    <row r="47" spans="1:9">
      <c r="A47" s="1">
        <v>45</v>
      </c>
      <c r="B47" s="1" t="s">
        <v>248</v>
      </c>
      <c r="C47" s="1" t="s">
        <v>249</v>
      </c>
      <c r="D47" s="1">
        <v>13022022</v>
      </c>
      <c r="E47" s="1" t="s">
        <v>250</v>
      </c>
      <c r="F47" s="1">
        <v>214327</v>
      </c>
      <c r="G47" s="1">
        <v>17166</v>
      </c>
      <c r="H47" s="1" t="s">
        <v>3</v>
      </c>
      <c r="I47" s="1" t="s">
        <v>121</v>
      </c>
    </row>
    <row r="48" spans="1:9">
      <c r="A48" s="1">
        <v>46</v>
      </c>
      <c r="B48" s="1" t="s">
        <v>251</v>
      </c>
      <c r="C48" s="1" t="s">
        <v>252</v>
      </c>
      <c r="D48" s="1">
        <v>15022022</v>
      </c>
      <c r="E48" s="1" t="s">
        <v>253</v>
      </c>
      <c r="F48" s="1">
        <v>91439</v>
      </c>
      <c r="G48" s="1">
        <v>20342</v>
      </c>
      <c r="H48" s="1" t="s">
        <v>3</v>
      </c>
      <c r="I48" s="1" t="s">
        <v>121</v>
      </c>
    </row>
    <row r="49" spans="1:9">
      <c r="A49" s="1">
        <v>47</v>
      </c>
      <c r="B49" s="1" t="s">
        <v>254</v>
      </c>
      <c r="C49" s="1" t="s">
        <v>255</v>
      </c>
      <c r="D49" s="1">
        <v>17022022</v>
      </c>
      <c r="E49" s="1" t="s">
        <v>256</v>
      </c>
      <c r="F49" s="1">
        <v>144015</v>
      </c>
      <c r="G49" s="1">
        <v>12299</v>
      </c>
      <c r="H49" s="1" t="s">
        <v>19</v>
      </c>
      <c r="I49" s="1" t="s">
        <v>121</v>
      </c>
    </row>
    <row r="50" spans="1:9">
      <c r="A50" s="1">
        <v>48</v>
      </c>
      <c r="B50" s="1" t="s">
        <v>257</v>
      </c>
      <c r="C50" s="1" t="s">
        <v>258</v>
      </c>
      <c r="D50" s="1">
        <v>18022022</v>
      </c>
      <c r="E50" s="1" t="s">
        <v>259</v>
      </c>
      <c r="F50" s="1">
        <v>150347</v>
      </c>
      <c r="G50" s="1">
        <v>14805</v>
      </c>
      <c r="H50" s="1" t="s">
        <v>20</v>
      </c>
      <c r="I50" s="1" t="s">
        <v>121</v>
      </c>
    </row>
    <row r="51" spans="1:9">
      <c r="A51" s="1">
        <v>49</v>
      </c>
      <c r="B51" s="1" t="s">
        <v>260</v>
      </c>
      <c r="C51" s="1" t="s">
        <v>261</v>
      </c>
      <c r="D51" s="1">
        <v>28022022</v>
      </c>
      <c r="E51" s="1" t="s">
        <v>262</v>
      </c>
      <c r="F51" s="1">
        <v>170427</v>
      </c>
      <c r="G51" s="1">
        <v>40552</v>
      </c>
      <c r="H51" s="1" t="s">
        <v>21</v>
      </c>
      <c r="I51" s="1" t="s">
        <v>121</v>
      </c>
    </row>
    <row r="52" spans="1:9">
      <c r="A52" s="1">
        <v>50</v>
      </c>
      <c r="B52" s="1" t="s">
        <v>263</v>
      </c>
      <c r="C52" s="1" t="s">
        <v>264</v>
      </c>
      <c r="D52" s="1">
        <v>332022</v>
      </c>
      <c r="E52" s="1" t="s">
        <v>265</v>
      </c>
      <c r="F52" s="1">
        <v>175157</v>
      </c>
      <c r="G52" s="1">
        <v>1056415</v>
      </c>
      <c r="H52" s="1" t="s">
        <v>22</v>
      </c>
      <c r="I52" s="1" t="s">
        <v>121</v>
      </c>
    </row>
    <row r="53" spans="1:9">
      <c r="A53" s="1">
        <v>51</v>
      </c>
      <c r="B53" s="1" t="s">
        <v>266</v>
      </c>
      <c r="C53" s="1" t="s">
        <v>267</v>
      </c>
      <c r="D53" s="1">
        <v>27032022</v>
      </c>
      <c r="E53" s="1" t="s">
        <v>268</v>
      </c>
      <c r="F53" s="1">
        <v>234842</v>
      </c>
      <c r="G53" s="1">
        <v>273</v>
      </c>
      <c r="H53" s="1" t="s">
        <v>23</v>
      </c>
      <c r="I53" s="1" t="s">
        <v>121</v>
      </c>
    </row>
    <row r="54" spans="1:9">
      <c r="A54" s="1">
        <v>52</v>
      </c>
      <c r="B54" s="1" t="s">
        <v>269</v>
      </c>
      <c r="C54" s="1" t="s">
        <v>270</v>
      </c>
      <c r="D54" s="1">
        <v>542022</v>
      </c>
      <c r="E54" s="1" t="s">
        <v>271</v>
      </c>
      <c r="F54" s="1">
        <v>100548</v>
      </c>
      <c r="G54" s="1">
        <v>12340</v>
      </c>
      <c r="H54" s="1" t="s">
        <v>24</v>
      </c>
      <c r="I54" s="1" t="s">
        <v>121</v>
      </c>
    </row>
    <row r="55" spans="1:9">
      <c r="A55" s="1">
        <v>53</v>
      </c>
      <c r="B55" s="1" t="s">
        <v>272</v>
      </c>
      <c r="C55" s="1" t="s">
        <v>273</v>
      </c>
      <c r="D55" s="1">
        <v>842022</v>
      </c>
      <c r="E55" s="1" t="s">
        <v>274</v>
      </c>
      <c r="F55" s="1">
        <v>122421</v>
      </c>
      <c r="G55" s="1">
        <v>15080</v>
      </c>
      <c r="H55" s="1" t="s">
        <v>25</v>
      </c>
      <c r="I55" s="1" t="s">
        <v>121</v>
      </c>
    </row>
    <row r="56" spans="1:9">
      <c r="A56" s="1">
        <v>54</v>
      </c>
      <c r="B56" s="1" t="s">
        <v>275</v>
      </c>
      <c r="C56" s="1" t="s">
        <v>276</v>
      </c>
      <c r="D56" s="1">
        <v>942022</v>
      </c>
      <c r="E56" s="1" t="s">
        <v>277</v>
      </c>
      <c r="F56" s="1">
        <v>185313</v>
      </c>
      <c r="G56" s="1">
        <v>8994</v>
      </c>
      <c r="H56" s="1" t="s">
        <v>3</v>
      </c>
      <c r="I56" s="1" t="s">
        <v>121</v>
      </c>
    </row>
    <row r="57" spans="1:9">
      <c r="A57" s="1">
        <v>55</v>
      </c>
      <c r="B57" s="1" t="s">
        <v>278</v>
      </c>
      <c r="C57" s="1" t="s">
        <v>279</v>
      </c>
      <c r="D57" s="1">
        <v>13042022</v>
      </c>
      <c r="E57" s="1" t="s">
        <v>280</v>
      </c>
      <c r="F57" s="1">
        <v>93300</v>
      </c>
      <c r="G57" s="1">
        <v>22221</v>
      </c>
      <c r="H57" s="1" t="s">
        <v>26</v>
      </c>
      <c r="I57" s="1" t="s">
        <v>121</v>
      </c>
    </row>
    <row r="58" spans="1:9">
      <c r="A58" s="1">
        <v>56</v>
      </c>
      <c r="B58" s="1" t="s">
        <v>281</v>
      </c>
      <c r="C58" s="1" t="s">
        <v>282</v>
      </c>
      <c r="D58" s="1">
        <v>15042022</v>
      </c>
      <c r="E58" s="1" t="s">
        <v>283</v>
      </c>
      <c r="F58" s="1">
        <v>65521</v>
      </c>
      <c r="G58" s="1">
        <v>76084</v>
      </c>
      <c r="H58" s="1" t="s">
        <v>3</v>
      </c>
      <c r="I58" s="1" t="s">
        <v>121</v>
      </c>
    </row>
    <row r="59" spans="1:9">
      <c r="A59" s="1">
        <v>57</v>
      </c>
      <c r="B59" s="1" t="s">
        <v>284</v>
      </c>
      <c r="C59" s="1" t="s">
        <v>285</v>
      </c>
      <c r="D59" s="1">
        <v>20042022</v>
      </c>
      <c r="E59" s="1" t="s">
        <v>286</v>
      </c>
      <c r="F59" s="1">
        <v>132115</v>
      </c>
      <c r="G59" s="1">
        <v>13467</v>
      </c>
      <c r="H59" s="1" t="s">
        <v>27</v>
      </c>
      <c r="I59" s="1" t="s">
        <v>121</v>
      </c>
    </row>
    <row r="60" spans="1:9">
      <c r="A60" s="1">
        <v>58</v>
      </c>
      <c r="B60" s="1" t="s">
        <v>287</v>
      </c>
      <c r="C60" s="1" t="s">
        <v>288</v>
      </c>
      <c r="D60" s="1">
        <v>22042022</v>
      </c>
      <c r="E60" s="1" t="s">
        <v>289</v>
      </c>
      <c r="F60" s="1">
        <v>104908</v>
      </c>
      <c r="G60" s="1">
        <v>24278</v>
      </c>
      <c r="H60" s="1" t="s">
        <v>28</v>
      </c>
      <c r="I60" s="1" t="s">
        <v>121</v>
      </c>
    </row>
    <row r="61" spans="1:9">
      <c r="A61" s="1">
        <v>59</v>
      </c>
      <c r="B61" s="1" t="s">
        <v>290</v>
      </c>
      <c r="C61" s="1" t="s">
        <v>291</v>
      </c>
      <c r="D61" s="1">
        <v>23042022</v>
      </c>
      <c r="E61" s="1" t="s">
        <v>292</v>
      </c>
      <c r="F61" s="1">
        <v>152703</v>
      </c>
      <c r="G61" s="1">
        <v>18011</v>
      </c>
      <c r="H61" s="1" t="s">
        <v>29</v>
      </c>
      <c r="I61" s="1" t="s">
        <v>121</v>
      </c>
    </row>
    <row r="62" spans="1:9">
      <c r="A62" s="1">
        <v>60</v>
      </c>
      <c r="B62" s="1" t="s">
        <v>293</v>
      </c>
      <c r="C62" s="1" t="s">
        <v>294</v>
      </c>
      <c r="D62" s="1">
        <v>24042022</v>
      </c>
      <c r="E62" s="1" t="s">
        <v>295</v>
      </c>
      <c r="F62" s="1">
        <v>182707</v>
      </c>
      <c r="G62" s="1">
        <v>48841</v>
      </c>
      <c r="H62" s="1" t="s">
        <v>3</v>
      </c>
      <c r="I62" s="1" t="s">
        <v>121</v>
      </c>
    </row>
    <row r="63" spans="1:9">
      <c r="A63" s="1">
        <v>61</v>
      </c>
      <c r="B63" s="1" t="s">
        <v>296</v>
      </c>
      <c r="C63" s="1" t="s">
        <v>297</v>
      </c>
      <c r="D63" s="1">
        <v>25042022</v>
      </c>
      <c r="E63" s="1" t="s">
        <v>298</v>
      </c>
      <c r="F63" s="1">
        <v>223004</v>
      </c>
      <c r="G63" s="1">
        <v>1609348</v>
      </c>
      <c r="H63" s="1" t="s">
        <v>30</v>
      </c>
      <c r="I63" s="1" t="s">
        <v>121</v>
      </c>
    </row>
    <row r="64" spans="1:9">
      <c r="A64" s="1">
        <v>62</v>
      </c>
      <c r="B64" s="1" t="s">
        <v>299</v>
      </c>
      <c r="C64" s="1" t="s">
        <v>300</v>
      </c>
      <c r="D64" s="1">
        <v>26042022</v>
      </c>
      <c r="E64" s="1" t="s">
        <v>301</v>
      </c>
      <c r="F64" s="1">
        <v>112550</v>
      </c>
      <c r="G64" s="1">
        <v>22168</v>
      </c>
      <c r="H64" s="1" t="s">
        <v>30</v>
      </c>
      <c r="I64" s="1" t="s">
        <v>121</v>
      </c>
    </row>
    <row r="65" spans="1:9">
      <c r="A65" s="1">
        <v>63</v>
      </c>
      <c r="B65" s="1" t="s">
        <v>302</v>
      </c>
      <c r="C65" s="1" t="s">
        <v>303</v>
      </c>
      <c r="D65" s="1">
        <v>26042022</v>
      </c>
      <c r="E65" s="1" t="s">
        <v>304</v>
      </c>
      <c r="F65" s="1">
        <v>120159</v>
      </c>
      <c r="G65" s="1">
        <v>5684</v>
      </c>
      <c r="H65" s="1" t="s">
        <v>31</v>
      </c>
      <c r="I65" s="1" t="s">
        <v>121</v>
      </c>
    </row>
    <row r="66" spans="1:9">
      <c r="A66" s="1">
        <v>64</v>
      </c>
      <c r="B66" s="1" t="s">
        <v>305</v>
      </c>
      <c r="C66" s="1" t="s">
        <v>306</v>
      </c>
      <c r="D66" s="1">
        <v>29042022</v>
      </c>
      <c r="E66" s="1" t="s">
        <v>307</v>
      </c>
      <c r="F66" s="1">
        <v>64150</v>
      </c>
      <c r="G66" s="1">
        <v>25684</v>
      </c>
      <c r="H66" s="1" t="s">
        <v>3</v>
      </c>
      <c r="I66" s="1" t="s">
        <v>121</v>
      </c>
    </row>
    <row r="67" spans="1:9">
      <c r="A67" s="1">
        <v>65</v>
      </c>
      <c r="B67" s="1" t="s">
        <v>308</v>
      </c>
      <c r="C67" s="1" t="s">
        <v>309</v>
      </c>
      <c r="D67" s="1">
        <v>452022</v>
      </c>
      <c r="E67" s="1" t="s">
        <v>310</v>
      </c>
      <c r="F67" s="1">
        <v>95822</v>
      </c>
      <c r="G67" s="1">
        <v>35624</v>
      </c>
      <c r="H67" s="1" t="s">
        <v>26</v>
      </c>
      <c r="I67" s="1" t="s">
        <v>121</v>
      </c>
    </row>
    <row r="68" spans="1:9">
      <c r="A68" s="1">
        <v>66</v>
      </c>
      <c r="B68" s="1" t="s">
        <v>311</v>
      </c>
      <c r="C68" s="1" t="s">
        <v>312</v>
      </c>
      <c r="D68" s="1">
        <v>652022</v>
      </c>
      <c r="E68" s="1" t="s">
        <v>313</v>
      </c>
      <c r="F68" s="1">
        <v>150515</v>
      </c>
      <c r="G68" s="1">
        <v>1575129</v>
      </c>
      <c r="H68" s="1" t="s">
        <v>3</v>
      </c>
      <c r="I68" s="1" t="s">
        <v>121</v>
      </c>
    </row>
    <row r="69" spans="1:9">
      <c r="A69" s="1">
        <v>67</v>
      </c>
      <c r="B69" s="1" t="s">
        <v>314</v>
      </c>
      <c r="C69" s="1" t="s">
        <v>315</v>
      </c>
      <c r="D69" s="1">
        <v>752022</v>
      </c>
      <c r="E69" s="1" t="s">
        <v>316</v>
      </c>
      <c r="F69" s="1">
        <v>153849</v>
      </c>
      <c r="G69" s="1">
        <v>13275</v>
      </c>
      <c r="H69" s="1" t="s">
        <v>3</v>
      </c>
      <c r="I69" s="1" t="s">
        <v>121</v>
      </c>
    </row>
    <row r="70" spans="1:9">
      <c r="A70" s="1">
        <v>68</v>
      </c>
      <c r="B70" s="1" t="s">
        <v>317</v>
      </c>
      <c r="C70" s="1" t="s">
        <v>318</v>
      </c>
      <c r="D70" s="1">
        <v>752022</v>
      </c>
      <c r="E70" s="1" t="s">
        <v>319</v>
      </c>
      <c r="F70" s="1">
        <v>173357</v>
      </c>
      <c r="G70" s="1">
        <v>38838</v>
      </c>
      <c r="H70" s="1" t="s">
        <v>3</v>
      </c>
      <c r="I70" s="1" t="s">
        <v>121</v>
      </c>
    </row>
    <row r="71" spans="1:9">
      <c r="A71" s="1">
        <v>69</v>
      </c>
      <c r="B71" s="1" t="s">
        <v>320</v>
      </c>
      <c r="C71" s="1" t="s">
        <v>321</v>
      </c>
      <c r="D71" s="1">
        <v>852022</v>
      </c>
      <c r="E71" s="1" t="s">
        <v>322</v>
      </c>
      <c r="F71" s="1">
        <v>180257</v>
      </c>
      <c r="G71" s="1">
        <v>85269</v>
      </c>
      <c r="H71" s="1" t="s">
        <v>3</v>
      </c>
      <c r="I71" s="1" t="s">
        <v>121</v>
      </c>
    </row>
    <row r="72" spans="1:9">
      <c r="A72" s="1">
        <v>70</v>
      </c>
      <c r="B72" s="1" t="s">
        <v>323</v>
      </c>
      <c r="C72" s="1" t="s">
        <v>324</v>
      </c>
      <c r="D72" s="1">
        <v>1152022</v>
      </c>
      <c r="E72" s="1" t="s">
        <v>325</v>
      </c>
      <c r="F72" s="1">
        <v>132649</v>
      </c>
      <c r="G72" s="1">
        <v>45396</v>
      </c>
      <c r="H72" s="1" t="s">
        <v>3</v>
      </c>
      <c r="I72" s="1" t="s">
        <v>121</v>
      </c>
    </row>
    <row r="73" spans="1:9">
      <c r="A73" s="1">
        <v>71</v>
      </c>
      <c r="B73" s="1" t="s">
        <v>326</v>
      </c>
      <c r="C73" s="1" t="s">
        <v>327</v>
      </c>
      <c r="D73" s="1">
        <v>1152022</v>
      </c>
      <c r="E73" s="1" t="s">
        <v>328</v>
      </c>
      <c r="F73" s="1">
        <v>175600</v>
      </c>
      <c r="G73" s="1">
        <v>740122</v>
      </c>
      <c r="H73" s="1" t="s">
        <v>32</v>
      </c>
      <c r="I73" s="1" t="s">
        <v>121</v>
      </c>
    </row>
    <row r="74" spans="1:9">
      <c r="A74" s="1">
        <v>72</v>
      </c>
      <c r="B74" s="1" t="s">
        <v>329</v>
      </c>
      <c r="C74" s="1" t="s">
        <v>330</v>
      </c>
      <c r="D74" s="1">
        <v>1252022</v>
      </c>
      <c r="E74" s="1" t="s">
        <v>331</v>
      </c>
      <c r="F74" s="1">
        <v>133022</v>
      </c>
      <c r="G74" s="1">
        <v>19411</v>
      </c>
      <c r="H74" s="1" t="s">
        <v>33</v>
      </c>
      <c r="I74" s="1" t="s">
        <v>121</v>
      </c>
    </row>
    <row r="75" spans="1:9">
      <c r="A75" s="1">
        <v>73</v>
      </c>
      <c r="B75" s="1" t="s">
        <v>332</v>
      </c>
      <c r="C75" s="1" t="s">
        <v>333</v>
      </c>
      <c r="D75" s="1">
        <v>13052022</v>
      </c>
      <c r="E75" s="1" t="s">
        <v>334</v>
      </c>
      <c r="F75" s="1">
        <v>94516</v>
      </c>
      <c r="G75" s="1">
        <v>1413</v>
      </c>
      <c r="H75" s="1" t="s">
        <v>3</v>
      </c>
      <c r="I75" s="1" t="s">
        <v>121</v>
      </c>
    </row>
    <row r="76" spans="1:9">
      <c r="A76" s="1">
        <v>74</v>
      </c>
      <c r="B76" s="1" t="s">
        <v>335</v>
      </c>
      <c r="C76" s="1" t="s">
        <v>336</v>
      </c>
      <c r="D76" s="1">
        <v>14052022</v>
      </c>
      <c r="E76" s="1" t="s">
        <v>337</v>
      </c>
      <c r="F76" s="1">
        <v>130314</v>
      </c>
      <c r="G76" s="1">
        <v>17867</v>
      </c>
      <c r="H76" s="1" t="s">
        <v>34</v>
      </c>
      <c r="I76" s="1" t="s">
        <v>121</v>
      </c>
    </row>
    <row r="77" spans="1:9">
      <c r="A77" s="1">
        <v>75</v>
      </c>
      <c r="B77" s="1" t="s">
        <v>338</v>
      </c>
      <c r="C77" s="1" t="s">
        <v>339</v>
      </c>
      <c r="D77" s="1">
        <v>14052022</v>
      </c>
      <c r="E77" s="1" t="s">
        <v>340</v>
      </c>
      <c r="F77" s="1">
        <v>174902</v>
      </c>
      <c r="G77" s="1">
        <v>27675</v>
      </c>
      <c r="H77" s="1" t="s">
        <v>3</v>
      </c>
      <c r="I77" s="1" t="s">
        <v>121</v>
      </c>
    </row>
    <row r="78" spans="1:9">
      <c r="A78" s="1">
        <v>76</v>
      </c>
      <c r="B78" s="1" t="s">
        <v>341</v>
      </c>
      <c r="C78" s="1" t="s">
        <v>342</v>
      </c>
      <c r="D78" s="1">
        <v>15052022</v>
      </c>
      <c r="E78" s="1" t="s">
        <v>343</v>
      </c>
      <c r="F78" s="1">
        <v>60451</v>
      </c>
      <c r="G78" s="1">
        <v>18863</v>
      </c>
      <c r="H78" s="1" t="s">
        <v>3</v>
      </c>
      <c r="I78" s="1" t="s">
        <v>121</v>
      </c>
    </row>
    <row r="79" spans="1:9">
      <c r="A79" s="1">
        <v>77</v>
      </c>
      <c r="B79" s="1" t="s">
        <v>344</v>
      </c>
      <c r="C79" s="1" t="s">
        <v>345</v>
      </c>
      <c r="D79" s="1">
        <v>15052022</v>
      </c>
      <c r="E79" s="1" t="s">
        <v>346</v>
      </c>
      <c r="F79" s="1">
        <v>164133</v>
      </c>
      <c r="G79" s="1">
        <v>30649</v>
      </c>
      <c r="H79" s="1" t="s">
        <v>3</v>
      </c>
      <c r="I79" s="1" t="s">
        <v>121</v>
      </c>
    </row>
    <row r="80" spans="1:9">
      <c r="A80" s="1">
        <v>78</v>
      </c>
      <c r="B80" s="1" t="s">
        <v>347</v>
      </c>
      <c r="C80" s="1" t="s">
        <v>348</v>
      </c>
      <c r="D80" s="1">
        <v>15052022</v>
      </c>
      <c r="E80" s="1" t="s">
        <v>349</v>
      </c>
      <c r="F80" s="1">
        <v>233823</v>
      </c>
      <c r="G80" s="1">
        <v>30919</v>
      </c>
      <c r="H80" s="1" t="s">
        <v>3</v>
      </c>
      <c r="I80" s="1" t="s">
        <v>121</v>
      </c>
    </row>
    <row r="81" spans="1:9">
      <c r="A81" s="1">
        <v>79</v>
      </c>
      <c r="B81" s="1" t="s">
        <v>350</v>
      </c>
      <c r="C81" s="1" t="s">
        <v>351</v>
      </c>
      <c r="D81" s="1">
        <v>16052022</v>
      </c>
      <c r="E81" s="1" t="s">
        <v>352</v>
      </c>
      <c r="F81" s="1">
        <v>122703</v>
      </c>
      <c r="G81" s="1">
        <v>7219</v>
      </c>
      <c r="H81" s="1" t="s">
        <v>3</v>
      </c>
      <c r="I81" s="1" t="s">
        <v>121</v>
      </c>
    </row>
    <row r="82" spans="1:9">
      <c r="A82" s="1">
        <v>80</v>
      </c>
      <c r="B82" s="1" t="s">
        <v>353</v>
      </c>
      <c r="C82" s="1" t="s">
        <v>354</v>
      </c>
      <c r="D82" s="1">
        <v>16052022</v>
      </c>
      <c r="E82" s="1" t="s">
        <v>355</v>
      </c>
      <c r="F82" s="1">
        <v>231215</v>
      </c>
      <c r="G82" s="1">
        <v>14379</v>
      </c>
      <c r="H82" s="1" t="s">
        <v>35</v>
      </c>
      <c r="I82" s="1" t="s">
        <v>121</v>
      </c>
    </row>
    <row r="83" spans="1:9">
      <c r="A83" s="1">
        <v>81</v>
      </c>
      <c r="B83" s="1" t="s">
        <v>356</v>
      </c>
      <c r="C83" s="1" t="s">
        <v>357</v>
      </c>
      <c r="D83" s="1">
        <v>18052022</v>
      </c>
      <c r="E83" s="1" t="s">
        <v>358</v>
      </c>
      <c r="F83" s="1">
        <v>160404</v>
      </c>
      <c r="G83" s="1">
        <v>59820</v>
      </c>
      <c r="H83" s="1" t="s">
        <v>36</v>
      </c>
      <c r="I83" s="1" t="s">
        <v>121</v>
      </c>
    </row>
    <row r="84" spans="1:9">
      <c r="A84" s="1">
        <v>82</v>
      </c>
      <c r="B84" s="1" t="s">
        <v>359</v>
      </c>
      <c r="C84" s="1" t="s">
        <v>360</v>
      </c>
      <c r="D84" s="1">
        <v>19052022</v>
      </c>
      <c r="E84" s="1" t="s">
        <v>361</v>
      </c>
      <c r="F84" s="1">
        <v>102703</v>
      </c>
      <c r="G84" s="1">
        <v>25960</v>
      </c>
      <c r="H84" s="1" t="s">
        <v>3</v>
      </c>
      <c r="I84" s="1" t="s">
        <v>121</v>
      </c>
    </row>
    <row r="85" spans="1:9">
      <c r="A85" s="1">
        <v>83</v>
      </c>
      <c r="B85" s="1" t="s">
        <v>362</v>
      </c>
      <c r="C85" s="1" t="s">
        <v>363</v>
      </c>
      <c r="D85" s="1">
        <v>19052022</v>
      </c>
      <c r="E85" s="1" t="s">
        <v>364</v>
      </c>
      <c r="F85" s="1">
        <v>124143</v>
      </c>
      <c r="G85" s="1">
        <v>17645</v>
      </c>
      <c r="H85" s="1" t="s">
        <v>37</v>
      </c>
      <c r="I85" s="1" t="s">
        <v>121</v>
      </c>
    </row>
    <row r="86" spans="1:9">
      <c r="A86" s="1">
        <v>84</v>
      </c>
      <c r="B86" s="1" t="s">
        <v>365</v>
      </c>
      <c r="C86" s="1" t="s">
        <v>366</v>
      </c>
      <c r="D86" s="1">
        <v>19052022</v>
      </c>
      <c r="E86" s="1" t="s">
        <v>367</v>
      </c>
      <c r="F86" s="1">
        <v>164909</v>
      </c>
      <c r="G86" s="1">
        <v>18577</v>
      </c>
      <c r="H86" s="1" t="s">
        <v>38</v>
      </c>
      <c r="I86" s="1" t="s">
        <v>121</v>
      </c>
    </row>
    <row r="87" spans="1:9">
      <c r="A87" s="1">
        <v>85</v>
      </c>
      <c r="B87" s="1" t="s">
        <v>368</v>
      </c>
      <c r="C87" s="1" t="s">
        <v>369</v>
      </c>
      <c r="D87" s="1">
        <v>19052022</v>
      </c>
      <c r="E87" s="1" t="s">
        <v>370</v>
      </c>
      <c r="F87" s="1">
        <v>210300</v>
      </c>
      <c r="G87" s="1">
        <v>34068</v>
      </c>
      <c r="H87" s="1" t="s">
        <v>39</v>
      </c>
      <c r="I87" s="1" t="s">
        <v>121</v>
      </c>
    </row>
    <row r="88" spans="1:9">
      <c r="A88" s="1">
        <v>86</v>
      </c>
      <c r="B88" s="1" t="s">
        <v>371</v>
      </c>
      <c r="C88" s="1" t="s">
        <v>372</v>
      </c>
      <c r="D88" s="1">
        <v>20052022</v>
      </c>
      <c r="E88" s="1" t="s">
        <v>373</v>
      </c>
      <c r="F88" s="1">
        <v>95816</v>
      </c>
      <c r="G88" s="1">
        <v>29391</v>
      </c>
      <c r="H88" s="1" t="s">
        <v>40</v>
      </c>
      <c r="I88" s="1" t="s">
        <v>121</v>
      </c>
    </row>
    <row r="89" spans="1:9">
      <c r="A89" s="1">
        <v>87</v>
      </c>
      <c r="B89" s="1" t="s">
        <v>374</v>
      </c>
      <c r="C89" s="1" t="s">
        <v>375</v>
      </c>
      <c r="D89" s="1">
        <v>20052022</v>
      </c>
      <c r="E89" s="1" t="s">
        <v>376</v>
      </c>
      <c r="F89" s="1">
        <v>133754</v>
      </c>
      <c r="G89" s="1">
        <v>4044</v>
      </c>
      <c r="H89" s="1" t="s">
        <v>3</v>
      </c>
      <c r="I89" s="1" t="s">
        <v>121</v>
      </c>
    </row>
    <row r="90" spans="1:9">
      <c r="A90" s="1">
        <v>88</v>
      </c>
      <c r="B90" s="1" t="s">
        <v>377</v>
      </c>
      <c r="C90" s="1" t="s">
        <v>378</v>
      </c>
      <c r="D90" s="1">
        <v>20052022</v>
      </c>
      <c r="E90" s="1" t="s">
        <v>379</v>
      </c>
      <c r="F90" s="1">
        <v>144558</v>
      </c>
      <c r="G90" s="1">
        <v>3327</v>
      </c>
      <c r="H90" s="1" t="s">
        <v>41</v>
      </c>
      <c r="I90" s="1" t="s">
        <v>121</v>
      </c>
    </row>
    <row r="91" spans="1:9">
      <c r="A91" s="1">
        <v>89</v>
      </c>
      <c r="B91" s="1" t="s">
        <v>380</v>
      </c>
      <c r="C91" s="1" t="s">
        <v>381</v>
      </c>
      <c r="D91" s="1">
        <v>20052022</v>
      </c>
      <c r="E91" s="1" t="s">
        <v>382</v>
      </c>
      <c r="F91" s="1">
        <v>150353</v>
      </c>
      <c r="G91" s="1">
        <v>20432</v>
      </c>
      <c r="H91" s="1" t="s">
        <v>3</v>
      </c>
      <c r="I91" s="1" t="s">
        <v>121</v>
      </c>
    </row>
    <row r="92" spans="1:9">
      <c r="A92" s="1">
        <v>90</v>
      </c>
      <c r="B92" s="1" t="s">
        <v>383</v>
      </c>
      <c r="C92" s="1" t="s">
        <v>384</v>
      </c>
      <c r="D92" s="1">
        <v>21052022</v>
      </c>
      <c r="E92" s="1" t="s">
        <v>385</v>
      </c>
      <c r="F92" s="1">
        <v>90845</v>
      </c>
      <c r="G92" s="1">
        <v>25516</v>
      </c>
      <c r="H92" s="1" t="s">
        <v>3</v>
      </c>
      <c r="I92" s="1" t="s">
        <v>121</v>
      </c>
    </row>
    <row r="93" spans="1:9">
      <c r="A93" s="1">
        <v>91</v>
      </c>
      <c r="B93" s="1" t="s">
        <v>386</v>
      </c>
      <c r="C93" s="1" t="s">
        <v>387</v>
      </c>
      <c r="D93" s="1">
        <v>21052022</v>
      </c>
      <c r="E93" s="1" t="s">
        <v>388</v>
      </c>
      <c r="F93" s="1">
        <v>105822</v>
      </c>
      <c r="G93" s="1">
        <v>26058</v>
      </c>
      <c r="H93" s="1" t="s">
        <v>3</v>
      </c>
      <c r="I93" s="1" t="s">
        <v>121</v>
      </c>
    </row>
    <row r="94" spans="1:9">
      <c r="A94" s="1">
        <v>92</v>
      </c>
      <c r="B94" s="1" t="s">
        <v>389</v>
      </c>
      <c r="C94" s="1" t="s">
        <v>390</v>
      </c>
      <c r="D94" s="1">
        <v>21052022</v>
      </c>
      <c r="E94" s="1" t="s">
        <v>391</v>
      </c>
      <c r="F94" s="1">
        <v>131011</v>
      </c>
      <c r="G94" s="1">
        <v>32258</v>
      </c>
      <c r="H94" s="1" t="s">
        <v>3</v>
      </c>
      <c r="I94" s="1" t="s">
        <v>121</v>
      </c>
    </row>
    <row r="95" spans="1:9">
      <c r="A95" s="1">
        <v>93</v>
      </c>
      <c r="B95" s="1" t="s">
        <v>392</v>
      </c>
      <c r="C95" s="1" t="s">
        <v>393</v>
      </c>
      <c r="D95" s="1">
        <v>21052022</v>
      </c>
      <c r="E95" s="1" t="s">
        <v>394</v>
      </c>
      <c r="F95" s="1">
        <v>161958</v>
      </c>
      <c r="G95" s="1">
        <v>28884</v>
      </c>
      <c r="H95" s="1" t="s">
        <v>42</v>
      </c>
      <c r="I95" s="1" t="s">
        <v>121</v>
      </c>
    </row>
    <row r="96" spans="1:9">
      <c r="A96" s="1">
        <v>94</v>
      </c>
      <c r="B96" s="1" t="s">
        <v>395</v>
      </c>
      <c r="C96" s="1" t="s">
        <v>396</v>
      </c>
      <c r="D96" s="1">
        <v>21052022</v>
      </c>
      <c r="E96" s="1" t="s">
        <v>397</v>
      </c>
      <c r="F96" s="1">
        <v>174609</v>
      </c>
      <c r="G96" s="1">
        <v>1609344</v>
      </c>
      <c r="H96" s="1" t="s">
        <v>43</v>
      </c>
      <c r="I96" s="1" t="s">
        <v>121</v>
      </c>
    </row>
    <row r="97" spans="1:9">
      <c r="A97" s="1">
        <v>95</v>
      </c>
      <c r="B97" s="1" t="s">
        <v>398</v>
      </c>
      <c r="C97" s="1" t="s">
        <v>399</v>
      </c>
      <c r="D97" s="1">
        <v>21052022</v>
      </c>
      <c r="E97" s="1" t="s">
        <v>400</v>
      </c>
      <c r="F97" s="1">
        <v>210054</v>
      </c>
      <c r="G97" s="1">
        <v>12788</v>
      </c>
      <c r="H97" s="1" t="s">
        <v>3</v>
      </c>
      <c r="I97" s="1" t="s">
        <v>121</v>
      </c>
    </row>
    <row r="98" spans="1:9">
      <c r="A98" s="1">
        <v>96</v>
      </c>
      <c r="B98" s="1" t="s">
        <v>401</v>
      </c>
      <c r="C98" s="1" t="s">
        <v>402</v>
      </c>
      <c r="D98" s="1">
        <v>22052022</v>
      </c>
      <c r="E98" s="1" t="s">
        <v>403</v>
      </c>
      <c r="F98" s="1">
        <v>123158</v>
      </c>
      <c r="G98" s="1">
        <v>12469</v>
      </c>
      <c r="H98" s="1" t="s">
        <v>44</v>
      </c>
      <c r="I98" s="1" t="s">
        <v>121</v>
      </c>
    </row>
    <row r="99" spans="1:9">
      <c r="A99" s="1">
        <v>97</v>
      </c>
      <c r="B99" s="1" t="s">
        <v>404</v>
      </c>
      <c r="C99" s="1" t="s">
        <v>405</v>
      </c>
      <c r="D99" s="1">
        <v>23052022</v>
      </c>
      <c r="E99" s="1" t="s">
        <v>406</v>
      </c>
      <c r="F99" s="1">
        <v>2605</v>
      </c>
      <c r="G99" s="1">
        <v>20185</v>
      </c>
      <c r="H99" s="1" t="s">
        <v>3</v>
      </c>
      <c r="I99" s="1" t="s">
        <v>121</v>
      </c>
    </row>
    <row r="100" spans="1:9">
      <c r="A100" s="1">
        <v>98</v>
      </c>
      <c r="B100" s="1" t="s">
        <v>407</v>
      </c>
      <c r="C100" s="1" t="s">
        <v>408</v>
      </c>
      <c r="D100" s="1">
        <v>23052022</v>
      </c>
      <c r="E100" s="1" t="s">
        <v>409</v>
      </c>
      <c r="F100" s="1">
        <v>94826</v>
      </c>
      <c r="G100" s="1">
        <v>11991</v>
      </c>
      <c r="H100" s="1" t="s">
        <v>45</v>
      </c>
      <c r="I100" s="1" t="s">
        <v>121</v>
      </c>
    </row>
    <row r="101" spans="1:9">
      <c r="A101" s="1">
        <v>99</v>
      </c>
      <c r="B101" s="1" t="s">
        <v>410</v>
      </c>
      <c r="C101" s="1" t="s">
        <v>411</v>
      </c>
      <c r="D101" s="1">
        <v>23052022</v>
      </c>
      <c r="E101" s="1" t="s">
        <v>412</v>
      </c>
      <c r="F101" s="1">
        <v>131851</v>
      </c>
      <c r="G101" s="1">
        <v>28367</v>
      </c>
      <c r="H101" s="1" t="s">
        <v>46</v>
      </c>
      <c r="I101" s="1" t="s">
        <v>121</v>
      </c>
    </row>
    <row r="102" spans="1:9">
      <c r="A102" s="1">
        <v>100</v>
      </c>
      <c r="B102" s="1" t="s">
        <v>413</v>
      </c>
      <c r="C102" s="1" t="s">
        <v>414</v>
      </c>
      <c r="D102" s="1">
        <v>23052022</v>
      </c>
      <c r="E102" s="1" t="s">
        <v>415</v>
      </c>
      <c r="F102" s="1">
        <v>174558</v>
      </c>
      <c r="G102" s="1">
        <v>10823</v>
      </c>
      <c r="H102" s="1" t="s">
        <v>47</v>
      </c>
      <c r="I102" s="1" t="s">
        <v>121</v>
      </c>
    </row>
    <row r="103" spans="1:9">
      <c r="A103" s="1">
        <v>101</v>
      </c>
      <c r="B103" s="1" t="s">
        <v>416</v>
      </c>
      <c r="C103" s="1" t="s">
        <v>417</v>
      </c>
      <c r="D103" s="1">
        <v>23052022</v>
      </c>
      <c r="E103" s="1" t="s">
        <v>418</v>
      </c>
      <c r="F103" s="1">
        <v>180551</v>
      </c>
      <c r="G103" s="1">
        <v>40265</v>
      </c>
      <c r="H103" s="1" t="s">
        <v>30</v>
      </c>
      <c r="I103" s="1" t="s">
        <v>121</v>
      </c>
    </row>
    <row r="104" spans="1:9">
      <c r="A104" s="1">
        <v>102</v>
      </c>
      <c r="B104" s="1" t="s">
        <v>419</v>
      </c>
      <c r="C104" s="1" t="s">
        <v>420</v>
      </c>
      <c r="D104" s="1">
        <v>24052022</v>
      </c>
      <c r="E104" s="1" t="s">
        <v>421</v>
      </c>
      <c r="F104" s="1">
        <v>81735</v>
      </c>
      <c r="G104" s="1">
        <v>15983</v>
      </c>
      <c r="H104" s="1" t="s">
        <v>48</v>
      </c>
      <c r="I104" s="1" t="s">
        <v>121</v>
      </c>
    </row>
    <row r="105" spans="1:9">
      <c r="A105" s="1">
        <v>103</v>
      </c>
      <c r="B105" s="1" t="s">
        <v>422</v>
      </c>
      <c r="C105" s="1" t="s">
        <v>423</v>
      </c>
      <c r="D105" s="1">
        <v>24052022</v>
      </c>
      <c r="E105" s="1" t="s">
        <v>424</v>
      </c>
      <c r="F105" s="1">
        <v>91801</v>
      </c>
      <c r="G105" s="1">
        <v>1594036</v>
      </c>
      <c r="H105" s="1" t="s">
        <v>49</v>
      </c>
      <c r="I105" s="1" t="s">
        <v>121</v>
      </c>
    </row>
    <row r="106" spans="1:9">
      <c r="A106" s="1">
        <v>104</v>
      </c>
      <c r="B106" s="1" t="s">
        <v>425</v>
      </c>
      <c r="C106" s="1" t="s">
        <v>426</v>
      </c>
      <c r="D106" s="1">
        <v>24052022</v>
      </c>
      <c r="E106" s="1" t="s">
        <v>427</v>
      </c>
      <c r="F106" s="1">
        <v>103129</v>
      </c>
      <c r="G106" s="1">
        <v>16071</v>
      </c>
      <c r="H106" s="1" t="s">
        <v>50</v>
      </c>
      <c r="I106" s="1" t="s">
        <v>121</v>
      </c>
    </row>
    <row r="107" spans="1:9">
      <c r="A107" s="1">
        <v>105</v>
      </c>
      <c r="B107" s="1" t="s">
        <v>428</v>
      </c>
      <c r="C107" s="1" t="s">
        <v>429</v>
      </c>
      <c r="D107" s="1">
        <v>24052022</v>
      </c>
      <c r="E107" s="1" t="s">
        <v>430</v>
      </c>
      <c r="F107" s="1">
        <v>112311</v>
      </c>
      <c r="G107" s="1">
        <v>40524</v>
      </c>
      <c r="H107" s="1" t="s">
        <v>3</v>
      </c>
      <c r="I107" s="1" t="s">
        <v>121</v>
      </c>
    </row>
    <row r="108" spans="1:9">
      <c r="A108" s="1">
        <v>106</v>
      </c>
      <c r="B108" s="1" t="s">
        <v>431</v>
      </c>
      <c r="C108" s="1" t="s">
        <v>432</v>
      </c>
      <c r="D108" s="1">
        <v>24052022</v>
      </c>
      <c r="E108" s="1" t="s">
        <v>433</v>
      </c>
      <c r="F108" s="1">
        <v>132225</v>
      </c>
      <c r="G108" s="1">
        <v>18549</v>
      </c>
      <c r="H108" s="1" t="s">
        <v>51</v>
      </c>
      <c r="I108" s="1" t="s">
        <v>121</v>
      </c>
    </row>
    <row r="109" spans="1:9">
      <c r="A109" s="1">
        <v>107</v>
      </c>
      <c r="B109" s="1" t="s">
        <v>434</v>
      </c>
      <c r="C109" s="1" t="s">
        <v>435</v>
      </c>
      <c r="D109" s="1">
        <v>24052022</v>
      </c>
      <c r="E109" s="1" t="s">
        <v>436</v>
      </c>
      <c r="F109" s="1">
        <v>133528</v>
      </c>
      <c r="G109" s="1">
        <v>30452</v>
      </c>
      <c r="H109" s="1" t="s">
        <v>52</v>
      </c>
      <c r="I109" s="1" t="s">
        <v>121</v>
      </c>
    </row>
    <row r="110" spans="1:9">
      <c r="A110" s="1">
        <v>108</v>
      </c>
      <c r="B110" s="1" t="s">
        <v>437</v>
      </c>
      <c r="C110" s="1" t="s">
        <v>438</v>
      </c>
      <c r="D110" s="1">
        <v>25052022</v>
      </c>
      <c r="E110" s="1" t="s">
        <v>439</v>
      </c>
      <c r="F110" s="1">
        <v>85312</v>
      </c>
      <c r="G110" s="1">
        <v>9752</v>
      </c>
      <c r="H110" s="1" t="s">
        <v>3</v>
      </c>
      <c r="I110" s="1" t="s">
        <v>121</v>
      </c>
    </row>
    <row r="111" spans="1:9">
      <c r="A111" s="1">
        <v>109</v>
      </c>
      <c r="B111" s="1" t="s">
        <v>440</v>
      </c>
      <c r="C111" s="1" t="s">
        <v>441</v>
      </c>
      <c r="D111" s="1">
        <v>25052022</v>
      </c>
      <c r="E111" s="1" t="s">
        <v>442</v>
      </c>
      <c r="F111" s="1">
        <v>130307</v>
      </c>
      <c r="G111" s="1">
        <v>21919</v>
      </c>
      <c r="H111" s="1" t="s">
        <v>3</v>
      </c>
      <c r="I111" s="1" t="s">
        <v>121</v>
      </c>
    </row>
    <row r="112" spans="1:9">
      <c r="A112" s="1">
        <v>110</v>
      </c>
      <c r="B112" s="1" t="s">
        <v>443</v>
      </c>
      <c r="C112" s="1" t="s">
        <v>444</v>
      </c>
      <c r="D112" s="1">
        <v>25052022</v>
      </c>
      <c r="E112" s="1" t="s">
        <v>445</v>
      </c>
      <c r="F112" s="1">
        <v>132429</v>
      </c>
      <c r="G112" s="1">
        <v>18957</v>
      </c>
      <c r="H112" s="1" t="s">
        <v>53</v>
      </c>
      <c r="I112" s="1" t="s">
        <v>121</v>
      </c>
    </row>
    <row r="113" spans="1:9">
      <c r="A113" s="1">
        <v>111</v>
      </c>
      <c r="B113" s="1" t="s">
        <v>446</v>
      </c>
      <c r="C113" s="1" t="s">
        <v>447</v>
      </c>
      <c r="D113" s="1">
        <v>25052022</v>
      </c>
      <c r="E113" s="1" t="s">
        <v>196</v>
      </c>
      <c r="F113" s="1">
        <v>135630</v>
      </c>
      <c r="G113" s="1">
        <v>42588</v>
      </c>
      <c r="H113" s="1" t="s">
        <v>54</v>
      </c>
      <c r="I113" s="1" t="s">
        <v>121</v>
      </c>
    </row>
    <row r="114" spans="1:9">
      <c r="A114" s="1">
        <v>112</v>
      </c>
      <c r="B114" s="1" t="s">
        <v>448</v>
      </c>
      <c r="C114" s="1" t="s">
        <v>449</v>
      </c>
      <c r="D114" s="1">
        <v>25052022</v>
      </c>
      <c r="E114" s="1" t="s">
        <v>450</v>
      </c>
      <c r="F114" s="1">
        <v>142653</v>
      </c>
      <c r="G114" s="1">
        <v>47897</v>
      </c>
      <c r="H114" s="1" t="s">
        <v>3</v>
      </c>
      <c r="I114" s="1" t="s">
        <v>121</v>
      </c>
    </row>
    <row r="115" spans="1:9">
      <c r="A115" s="1">
        <v>113</v>
      </c>
      <c r="B115" s="1" t="s">
        <v>451</v>
      </c>
      <c r="C115" s="1" t="s">
        <v>452</v>
      </c>
      <c r="D115" s="1">
        <v>25052022</v>
      </c>
      <c r="E115" s="1" t="s">
        <v>453</v>
      </c>
      <c r="F115" s="1">
        <v>162313</v>
      </c>
      <c r="G115" s="1">
        <v>20675</v>
      </c>
      <c r="H115" s="1" t="s">
        <v>55</v>
      </c>
      <c r="I115" s="1" t="s">
        <v>121</v>
      </c>
    </row>
    <row r="116" spans="1:9">
      <c r="A116" s="1">
        <v>114</v>
      </c>
      <c r="B116" s="1" t="s">
        <v>454</v>
      </c>
      <c r="C116" s="1" t="s">
        <v>455</v>
      </c>
      <c r="D116" s="1">
        <v>25052022</v>
      </c>
      <c r="E116" s="1" t="s">
        <v>456</v>
      </c>
      <c r="F116" s="1">
        <v>163535</v>
      </c>
      <c r="G116" s="1">
        <v>19981</v>
      </c>
      <c r="H116" s="1" t="s">
        <v>56</v>
      </c>
      <c r="I116" s="1" t="s">
        <v>121</v>
      </c>
    </row>
    <row r="117" spans="1:9">
      <c r="A117" s="1">
        <v>115</v>
      </c>
      <c r="B117" s="1" t="s">
        <v>457</v>
      </c>
      <c r="C117" s="1" t="s">
        <v>458</v>
      </c>
      <c r="D117" s="1">
        <v>25052022</v>
      </c>
      <c r="E117" s="1" t="s">
        <v>459</v>
      </c>
      <c r="F117" s="1">
        <v>200742</v>
      </c>
      <c r="G117" s="1">
        <v>20819</v>
      </c>
      <c r="H117" s="1" t="s">
        <v>3</v>
      </c>
      <c r="I117" s="1" t="s">
        <v>121</v>
      </c>
    </row>
    <row r="118" spans="1:9">
      <c r="A118" s="1">
        <v>116</v>
      </c>
      <c r="B118" s="1" t="s">
        <v>460</v>
      </c>
      <c r="C118" s="1" t="s">
        <v>461</v>
      </c>
      <c r="D118" s="1">
        <v>25052022</v>
      </c>
      <c r="E118" s="1" t="s">
        <v>462</v>
      </c>
      <c r="F118" s="1">
        <v>225001</v>
      </c>
      <c r="G118" s="1">
        <v>1609344</v>
      </c>
      <c r="H118" s="1" t="s">
        <v>3</v>
      </c>
      <c r="I118" s="1" t="s">
        <v>121</v>
      </c>
    </row>
    <row r="119" spans="1:9">
      <c r="A119" s="1">
        <v>117</v>
      </c>
      <c r="B119" s="1" t="s">
        <v>463</v>
      </c>
      <c r="C119" s="1" t="s">
        <v>464</v>
      </c>
      <c r="D119" s="1">
        <v>25052022</v>
      </c>
      <c r="E119" s="1" t="s">
        <v>465</v>
      </c>
      <c r="F119" s="1">
        <v>232723</v>
      </c>
      <c r="G119" s="1">
        <v>1609344</v>
      </c>
      <c r="H119" s="1" t="s">
        <v>3</v>
      </c>
      <c r="I119" s="1" t="s">
        <v>121</v>
      </c>
    </row>
    <row r="120" spans="1:9">
      <c r="A120" s="1">
        <v>118</v>
      </c>
      <c r="B120" s="1" t="s">
        <v>466</v>
      </c>
      <c r="C120" s="1" t="s">
        <v>467</v>
      </c>
      <c r="D120" s="1">
        <v>26052022</v>
      </c>
      <c r="E120" s="1" t="s">
        <v>468</v>
      </c>
      <c r="F120" s="1">
        <v>81830</v>
      </c>
      <c r="G120" s="1">
        <v>18134</v>
      </c>
      <c r="H120" s="1" t="s">
        <v>57</v>
      </c>
      <c r="I120" s="1" t="s">
        <v>121</v>
      </c>
    </row>
    <row r="121" spans="1:9">
      <c r="A121" s="1">
        <v>119</v>
      </c>
      <c r="B121" s="1" t="s">
        <v>469</v>
      </c>
      <c r="C121" s="1" t="s">
        <v>470</v>
      </c>
      <c r="D121" s="1">
        <v>26052022</v>
      </c>
      <c r="E121" s="1" t="s">
        <v>471</v>
      </c>
      <c r="F121" s="1">
        <v>112956</v>
      </c>
      <c r="G121" s="1">
        <v>21728</v>
      </c>
      <c r="H121" s="1" t="s">
        <v>58</v>
      </c>
      <c r="I121" s="1" t="s">
        <v>121</v>
      </c>
    </row>
    <row r="122" spans="1:9">
      <c r="A122" s="1">
        <v>120</v>
      </c>
      <c r="B122" s="1" t="s">
        <v>472</v>
      </c>
      <c r="C122" s="1" t="s">
        <v>473</v>
      </c>
      <c r="D122" s="1">
        <v>26052022</v>
      </c>
      <c r="E122" s="1" t="s">
        <v>474</v>
      </c>
      <c r="F122" s="1">
        <v>114807</v>
      </c>
      <c r="G122" s="1">
        <v>18572</v>
      </c>
      <c r="H122" s="1" t="s">
        <v>59</v>
      </c>
      <c r="I122" s="1" t="s">
        <v>121</v>
      </c>
    </row>
    <row r="123" spans="1:9">
      <c r="A123" s="1">
        <v>121</v>
      </c>
      <c r="B123" s="1" t="s">
        <v>475</v>
      </c>
      <c r="C123" s="1" t="s">
        <v>476</v>
      </c>
      <c r="D123" s="1">
        <v>26052022</v>
      </c>
      <c r="E123" s="1" t="s">
        <v>477</v>
      </c>
      <c r="F123" s="1">
        <v>115736</v>
      </c>
      <c r="G123" s="1">
        <v>10053</v>
      </c>
      <c r="H123" s="1" t="s">
        <v>3</v>
      </c>
      <c r="I123" s="1" t="s">
        <v>121</v>
      </c>
    </row>
    <row r="124" spans="1:9">
      <c r="A124" s="1">
        <v>122</v>
      </c>
      <c r="B124" s="1" t="s">
        <v>478</v>
      </c>
      <c r="C124" s="1" t="s">
        <v>479</v>
      </c>
      <c r="D124" s="1">
        <v>26052022</v>
      </c>
      <c r="E124" s="1" t="s">
        <v>480</v>
      </c>
      <c r="F124" s="1">
        <v>124428</v>
      </c>
      <c r="G124" s="1">
        <v>17181</v>
      </c>
      <c r="H124" s="1" t="s">
        <v>60</v>
      </c>
      <c r="I124" s="1" t="s">
        <v>121</v>
      </c>
    </row>
    <row r="125" spans="1:9">
      <c r="A125" s="1">
        <v>123</v>
      </c>
      <c r="B125" s="1" t="s">
        <v>481</v>
      </c>
      <c r="C125" s="1" t="s">
        <v>482</v>
      </c>
      <c r="D125" s="1">
        <v>26052022</v>
      </c>
      <c r="E125" s="1" t="s">
        <v>483</v>
      </c>
      <c r="F125" s="1">
        <v>125413</v>
      </c>
      <c r="G125" s="1">
        <v>11107</v>
      </c>
      <c r="H125" s="1" t="s">
        <v>61</v>
      </c>
      <c r="I125" s="1" t="s">
        <v>121</v>
      </c>
    </row>
    <row r="126" spans="1:9">
      <c r="A126" s="1">
        <v>124</v>
      </c>
      <c r="B126" s="1" t="s">
        <v>484</v>
      </c>
      <c r="C126" s="1" t="s">
        <v>485</v>
      </c>
      <c r="D126" s="1">
        <v>26052022</v>
      </c>
      <c r="E126" s="1" t="s">
        <v>486</v>
      </c>
      <c r="F126" s="1">
        <v>135302</v>
      </c>
      <c r="G126" s="1">
        <v>7314</v>
      </c>
      <c r="H126" s="1" t="s">
        <v>62</v>
      </c>
      <c r="I126" s="1" t="s">
        <v>121</v>
      </c>
    </row>
    <row r="127" spans="1:9">
      <c r="A127" s="1">
        <v>125</v>
      </c>
      <c r="B127" s="1" t="s">
        <v>487</v>
      </c>
      <c r="C127" s="1" t="s">
        <v>488</v>
      </c>
      <c r="D127" s="1">
        <v>26052022</v>
      </c>
      <c r="E127" s="1" t="s">
        <v>489</v>
      </c>
      <c r="F127" s="1">
        <v>141205</v>
      </c>
      <c r="G127" s="1">
        <v>34933</v>
      </c>
      <c r="H127" s="1" t="s">
        <v>63</v>
      </c>
      <c r="I127" s="1" t="s">
        <v>121</v>
      </c>
    </row>
    <row r="128" spans="1:9">
      <c r="A128" s="1">
        <v>126</v>
      </c>
      <c r="B128" s="1" t="s">
        <v>490</v>
      </c>
      <c r="C128" s="1" t="s">
        <v>491</v>
      </c>
      <c r="D128" s="1">
        <v>26052022</v>
      </c>
      <c r="E128" s="1" t="s">
        <v>492</v>
      </c>
      <c r="F128" s="1">
        <v>141235</v>
      </c>
      <c r="G128" s="1">
        <v>39930</v>
      </c>
      <c r="H128" s="1" t="s">
        <v>3</v>
      </c>
      <c r="I128" s="1" t="s">
        <v>121</v>
      </c>
    </row>
    <row r="129" spans="1:9">
      <c r="A129" s="1">
        <v>127</v>
      </c>
      <c r="B129" s="1" t="s">
        <v>493</v>
      </c>
      <c r="C129" s="1" t="s">
        <v>494</v>
      </c>
      <c r="D129" s="1">
        <v>26052022</v>
      </c>
      <c r="E129" s="1" t="s">
        <v>495</v>
      </c>
      <c r="F129" s="1">
        <v>144220</v>
      </c>
      <c r="G129" s="1">
        <v>264710</v>
      </c>
      <c r="H129" s="1" t="s">
        <v>3</v>
      </c>
      <c r="I129" s="1" t="s">
        <v>121</v>
      </c>
    </row>
    <row r="130" spans="1:9">
      <c r="A130" s="1">
        <v>128</v>
      </c>
      <c r="B130" s="1" t="s">
        <v>496</v>
      </c>
      <c r="C130" s="1" t="s">
        <v>497</v>
      </c>
      <c r="D130" s="1">
        <v>26052022</v>
      </c>
      <c r="E130" s="1" t="s">
        <v>498</v>
      </c>
      <c r="F130" s="1">
        <v>145657</v>
      </c>
      <c r="G130" s="1">
        <v>43423</v>
      </c>
      <c r="H130" s="1" t="s">
        <v>3</v>
      </c>
      <c r="I130" s="1" t="s">
        <v>121</v>
      </c>
    </row>
    <row r="131" spans="1:9">
      <c r="A131" s="1">
        <v>129</v>
      </c>
      <c r="B131" s="1" t="s">
        <v>499</v>
      </c>
      <c r="C131" s="1" t="s">
        <v>500</v>
      </c>
      <c r="D131" s="1">
        <v>26052022</v>
      </c>
      <c r="E131" s="1" t="s">
        <v>501</v>
      </c>
      <c r="F131" s="1">
        <v>161102</v>
      </c>
      <c r="G131" s="1">
        <v>14122</v>
      </c>
      <c r="H131" s="1" t="s">
        <v>64</v>
      </c>
      <c r="I131" s="1" t="s">
        <v>121</v>
      </c>
    </row>
    <row r="132" spans="1:9">
      <c r="A132" s="1">
        <v>130</v>
      </c>
      <c r="B132" s="1" t="s">
        <v>502</v>
      </c>
      <c r="C132" s="1" t="s">
        <v>503</v>
      </c>
      <c r="D132" s="1">
        <v>26052022</v>
      </c>
      <c r="E132" s="1" t="s">
        <v>504</v>
      </c>
      <c r="F132" s="1">
        <v>163239</v>
      </c>
      <c r="G132" s="1">
        <v>18077</v>
      </c>
      <c r="H132" s="1" t="s">
        <v>3</v>
      </c>
      <c r="I132" s="1" t="s">
        <v>121</v>
      </c>
    </row>
    <row r="133" spans="1:9">
      <c r="A133" s="1">
        <v>131</v>
      </c>
      <c r="B133" s="1" t="s">
        <v>505</v>
      </c>
      <c r="C133" s="1" t="s">
        <v>506</v>
      </c>
      <c r="D133" s="1">
        <v>26052022</v>
      </c>
      <c r="E133" s="1" t="s">
        <v>507</v>
      </c>
      <c r="F133" s="1">
        <v>163526</v>
      </c>
      <c r="G133" s="1">
        <v>16420</v>
      </c>
      <c r="H133" s="1" t="s">
        <v>65</v>
      </c>
      <c r="I133" s="1" t="s">
        <v>121</v>
      </c>
    </row>
    <row r="134" spans="1:9">
      <c r="A134" s="1">
        <v>132</v>
      </c>
      <c r="B134" s="1" t="s">
        <v>508</v>
      </c>
      <c r="C134" s="1" t="s">
        <v>509</v>
      </c>
      <c r="D134" s="1">
        <v>26052022</v>
      </c>
      <c r="E134" s="1" t="s">
        <v>340</v>
      </c>
      <c r="F134" s="1">
        <v>165426</v>
      </c>
      <c r="G134" s="1">
        <v>27618</v>
      </c>
      <c r="H134" s="1" t="s">
        <v>66</v>
      </c>
      <c r="I134" s="1" t="s">
        <v>121</v>
      </c>
    </row>
    <row r="135" spans="1:9">
      <c r="A135" s="1">
        <v>133</v>
      </c>
      <c r="B135" s="1" t="s">
        <v>510</v>
      </c>
      <c r="C135" s="1" t="s">
        <v>511</v>
      </c>
      <c r="D135" s="1">
        <v>26052022</v>
      </c>
      <c r="E135" s="1" t="s">
        <v>512</v>
      </c>
      <c r="F135" s="1">
        <v>170337</v>
      </c>
      <c r="G135" s="1">
        <v>14844</v>
      </c>
      <c r="H135" s="1" t="s">
        <v>67</v>
      </c>
      <c r="I135" s="1" t="s">
        <v>121</v>
      </c>
    </row>
    <row r="136" spans="1:9">
      <c r="A136" s="1">
        <v>134</v>
      </c>
      <c r="B136" s="1" t="s">
        <v>513</v>
      </c>
      <c r="C136" s="1" t="s">
        <v>514</v>
      </c>
      <c r="D136" s="1">
        <v>26052022</v>
      </c>
      <c r="E136" s="1" t="s">
        <v>515</v>
      </c>
      <c r="F136" s="1">
        <v>170404</v>
      </c>
      <c r="G136" s="1">
        <v>23432</v>
      </c>
      <c r="H136" s="1" t="s">
        <v>68</v>
      </c>
      <c r="I136" s="1" t="s">
        <v>121</v>
      </c>
    </row>
    <row r="137" spans="1:9">
      <c r="A137" s="1">
        <v>135</v>
      </c>
      <c r="B137" s="1" t="s">
        <v>516</v>
      </c>
      <c r="C137" s="1" t="s">
        <v>517</v>
      </c>
      <c r="D137" s="1">
        <v>26052022</v>
      </c>
      <c r="E137" s="1" t="s">
        <v>518</v>
      </c>
      <c r="F137" s="1">
        <v>170820</v>
      </c>
      <c r="G137" s="1">
        <v>20742</v>
      </c>
      <c r="H137" s="1" t="s">
        <v>69</v>
      </c>
      <c r="I137" s="1" t="s">
        <v>121</v>
      </c>
    </row>
    <row r="138" spans="1:9">
      <c r="A138" s="1">
        <v>136</v>
      </c>
      <c r="B138" s="1" t="s">
        <v>519</v>
      </c>
      <c r="C138" s="1" t="s">
        <v>520</v>
      </c>
      <c r="D138" s="1">
        <v>26052022</v>
      </c>
      <c r="E138" s="1" t="s">
        <v>521</v>
      </c>
      <c r="F138" s="1">
        <v>172353</v>
      </c>
      <c r="G138" s="1">
        <v>14383</v>
      </c>
      <c r="H138" s="1" t="s">
        <v>70</v>
      </c>
      <c r="I138" s="1" t="s">
        <v>121</v>
      </c>
    </row>
    <row r="139" spans="1:9">
      <c r="A139" s="1">
        <v>137</v>
      </c>
      <c r="B139" s="1" t="s">
        <v>522</v>
      </c>
      <c r="C139" s="1" t="s">
        <v>523</v>
      </c>
      <c r="D139" s="1">
        <v>26052022</v>
      </c>
      <c r="E139" s="1" t="s">
        <v>524</v>
      </c>
      <c r="F139" s="1">
        <v>173857</v>
      </c>
      <c r="G139" s="1">
        <v>25418</v>
      </c>
      <c r="H139" s="1" t="s">
        <v>71</v>
      </c>
      <c r="I139" s="1" t="s">
        <v>121</v>
      </c>
    </row>
    <row r="140" spans="1:9">
      <c r="A140" s="1">
        <v>138</v>
      </c>
      <c r="B140" s="1" t="s">
        <v>525</v>
      </c>
      <c r="C140" s="1" t="s">
        <v>526</v>
      </c>
      <c r="D140" s="1">
        <v>26052022</v>
      </c>
      <c r="E140" s="1" t="s">
        <v>527</v>
      </c>
      <c r="F140" s="1">
        <v>192001</v>
      </c>
      <c r="G140" s="1">
        <v>25165</v>
      </c>
      <c r="H140" s="1" t="s">
        <v>3</v>
      </c>
      <c r="I140" s="1" t="s">
        <v>121</v>
      </c>
    </row>
    <row r="141" spans="1:9">
      <c r="A141" s="1">
        <v>139</v>
      </c>
      <c r="B141" s="1" t="s">
        <v>528</v>
      </c>
      <c r="C141" s="1" t="s">
        <v>529</v>
      </c>
      <c r="D141" s="1">
        <v>26052022</v>
      </c>
      <c r="E141" s="1" t="s">
        <v>530</v>
      </c>
      <c r="F141" s="1">
        <v>203441</v>
      </c>
      <c r="G141" s="1">
        <v>9218</v>
      </c>
      <c r="H141" s="1" t="s">
        <v>72</v>
      </c>
      <c r="I141" s="1" t="s">
        <v>121</v>
      </c>
    </row>
    <row r="142" spans="1:9">
      <c r="A142" s="1">
        <v>140</v>
      </c>
      <c r="B142" s="1" t="s">
        <v>531</v>
      </c>
      <c r="C142" s="1" t="s">
        <v>532</v>
      </c>
      <c r="D142" s="1">
        <v>26052022</v>
      </c>
      <c r="E142" s="1" t="s">
        <v>533</v>
      </c>
      <c r="F142" s="1">
        <v>234535</v>
      </c>
      <c r="G142" s="1">
        <v>20080</v>
      </c>
      <c r="H142" s="1" t="s">
        <v>30</v>
      </c>
      <c r="I142" s="1" t="s">
        <v>121</v>
      </c>
    </row>
    <row r="143" spans="1:9">
      <c r="A143" s="1">
        <v>141</v>
      </c>
      <c r="B143" s="1" t="s">
        <v>534</v>
      </c>
      <c r="C143" s="1" t="s">
        <v>535</v>
      </c>
      <c r="D143" s="1">
        <v>26052022</v>
      </c>
      <c r="E143" s="1" t="s">
        <v>536</v>
      </c>
      <c r="F143" s="1">
        <v>235456</v>
      </c>
      <c r="G143" s="1">
        <v>166665</v>
      </c>
      <c r="H143" s="1" t="s">
        <v>3</v>
      </c>
      <c r="I143" s="1" t="s">
        <v>121</v>
      </c>
    </row>
    <row r="144" spans="1:9">
      <c r="A144" s="1">
        <v>142</v>
      </c>
      <c r="B144" s="1" t="s">
        <v>537</v>
      </c>
      <c r="C144" s="1" t="s">
        <v>538</v>
      </c>
      <c r="D144" s="1">
        <v>26052022</v>
      </c>
      <c r="E144" s="1" t="s">
        <v>539</v>
      </c>
      <c r="F144" s="1">
        <v>235557</v>
      </c>
      <c r="G144" s="1">
        <v>14241</v>
      </c>
      <c r="H144" s="1" t="s">
        <v>3</v>
      </c>
      <c r="I144" s="1" t="s">
        <v>121</v>
      </c>
    </row>
    <row r="145" spans="1:9">
      <c r="A145" s="1">
        <v>143</v>
      </c>
      <c r="B145" s="1" t="s">
        <v>540</v>
      </c>
      <c r="C145" s="1" t="s">
        <v>541</v>
      </c>
      <c r="D145" s="1">
        <v>26052022</v>
      </c>
      <c r="E145" s="1" t="s">
        <v>542</v>
      </c>
      <c r="F145" s="1">
        <v>235731</v>
      </c>
      <c r="G145" s="1">
        <v>81754</v>
      </c>
      <c r="H145" s="1" t="s">
        <v>73</v>
      </c>
      <c r="I145" s="1" t="s">
        <v>121</v>
      </c>
    </row>
    <row r="146" spans="1:9">
      <c r="A146" s="1">
        <v>144</v>
      </c>
      <c r="B146" s="1" t="s">
        <v>543</v>
      </c>
      <c r="C146" s="1" t="s">
        <v>544</v>
      </c>
      <c r="D146" s="1">
        <v>26052022</v>
      </c>
      <c r="E146" s="1" t="s">
        <v>545</v>
      </c>
      <c r="F146" s="1">
        <v>235740</v>
      </c>
      <c r="G146" s="1">
        <v>74973</v>
      </c>
      <c r="H146" s="1" t="s">
        <v>74</v>
      </c>
      <c r="I146" s="1" t="s">
        <v>121</v>
      </c>
    </row>
    <row r="147" spans="1:9">
      <c r="A147" s="1">
        <v>145</v>
      </c>
      <c r="B147" s="1" t="s">
        <v>546</v>
      </c>
      <c r="C147" s="1" t="s">
        <v>547</v>
      </c>
      <c r="D147" s="1">
        <v>26052022</v>
      </c>
      <c r="E147" s="1" t="s">
        <v>548</v>
      </c>
      <c r="F147" s="1">
        <v>235805</v>
      </c>
      <c r="G147" s="1">
        <v>26286</v>
      </c>
      <c r="H147" s="1" t="s">
        <v>3</v>
      </c>
      <c r="I147" s="1" t="s">
        <v>121</v>
      </c>
    </row>
    <row r="148" spans="1:9">
      <c r="A148" s="1">
        <v>146</v>
      </c>
      <c r="B148" s="1" t="s">
        <v>549</v>
      </c>
      <c r="C148" s="1" t="s">
        <v>550</v>
      </c>
      <c r="D148" s="1">
        <v>26052022</v>
      </c>
      <c r="E148" s="1" t="s">
        <v>551</v>
      </c>
      <c r="F148" s="1">
        <v>235813</v>
      </c>
      <c r="G148" s="1">
        <v>75910</v>
      </c>
      <c r="H148" s="1" t="s">
        <v>3</v>
      </c>
      <c r="I148" s="1" t="s">
        <v>121</v>
      </c>
    </row>
    <row r="149" spans="1:9">
      <c r="A149" s="1">
        <v>147</v>
      </c>
      <c r="B149" s="1" t="s">
        <v>552</v>
      </c>
      <c r="C149" s="1" t="s">
        <v>553</v>
      </c>
      <c r="D149" s="1">
        <v>26052022</v>
      </c>
      <c r="E149" s="1" t="s">
        <v>554</v>
      </c>
      <c r="F149" s="1">
        <v>235814</v>
      </c>
      <c r="G149" s="1">
        <v>12059</v>
      </c>
      <c r="H149" s="1" t="s">
        <v>3</v>
      </c>
      <c r="I149" s="1" t="s">
        <v>121</v>
      </c>
    </row>
    <row r="150" spans="1:9">
      <c r="A150" s="1">
        <v>148</v>
      </c>
      <c r="B150" s="1" t="s">
        <v>555</v>
      </c>
      <c r="C150" s="1" t="s">
        <v>556</v>
      </c>
      <c r="D150" s="1">
        <v>26052022</v>
      </c>
      <c r="E150" s="1" t="s">
        <v>175</v>
      </c>
      <c r="F150" s="1">
        <v>235818</v>
      </c>
      <c r="G150" s="1">
        <v>15091</v>
      </c>
      <c r="H150" s="1" t="s">
        <v>3</v>
      </c>
      <c r="I150" s="1" t="s">
        <v>121</v>
      </c>
    </row>
    <row r="151" spans="1:9">
      <c r="A151" s="1">
        <v>149</v>
      </c>
      <c r="B151" s="1" t="s">
        <v>557</v>
      </c>
      <c r="C151" s="1" t="s">
        <v>558</v>
      </c>
      <c r="D151" s="1">
        <v>26052022</v>
      </c>
      <c r="E151" s="1" t="s">
        <v>559</v>
      </c>
      <c r="F151" s="1">
        <v>235820</v>
      </c>
      <c r="G151" s="1">
        <v>19163</v>
      </c>
      <c r="H151" s="1" t="s">
        <v>30</v>
      </c>
      <c r="I151" s="1" t="s">
        <v>121</v>
      </c>
    </row>
    <row r="152" spans="1:9">
      <c r="A152" s="1">
        <v>150</v>
      </c>
      <c r="B152" s="1" t="s">
        <v>560</v>
      </c>
      <c r="C152" s="1" t="s">
        <v>561</v>
      </c>
      <c r="D152" s="1">
        <v>26052022</v>
      </c>
      <c r="E152" s="1" t="s">
        <v>562</v>
      </c>
      <c r="F152" s="1">
        <v>235831</v>
      </c>
      <c r="G152" s="1">
        <v>18236</v>
      </c>
      <c r="H152" s="1" t="s">
        <v>75</v>
      </c>
      <c r="I152" s="1" t="s">
        <v>121</v>
      </c>
    </row>
    <row r="153" spans="1:9">
      <c r="A153" s="1">
        <v>151</v>
      </c>
      <c r="B153" s="1" t="s">
        <v>563</v>
      </c>
      <c r="C153" s="1" t="s">
        <v>564</v>
      </c>
      <c r="D153" s="1">
        <v>26052022</v>
      </c>
      <c r="E153" s="1" t="s">
        <v>565</v>
      </c>
      <c r="F153" s="1">
        <v>235832</v>
      </c>
      <c r="G153" s="1">
        <v>21686</v>
      </c>
      <c r="H153" s="1" t="s">
        <v>76</v>
      </c>
      <c r="I153" s="1" t="s">
        <v>121</v>
      </c>
    </row>
    <row r="154" spans="1:9">
      <c r="A154" s="1">
        <v>152</v>
      </c>
      <c r="B154" s="1" t="s">
        <v>566</v>
      </c>
      <c r="C154" s="1" t="s">
        <v>567</v>
      </c>
      <c r="D154" s="1">
        <v>26052022</v>
      </c>
      <c r="E154" s="1" t="s">
        <v>568</v>
      </c>
      <c r="F154" s="1">
        <v>235832</v>
      </c>
      <c r="G154" s="1">
        <v>22159</v>
      </c>
      <c r="H154" s="1" t="s">
        <v>77</v>
      </c>
      <c r="I154" s="1" t="s">
        <v>121</v>
      </c>
    </row>
    <row r="155" spans="1:9">
      <c r="A155" s="1">
        <v>153</v>
      </c>
      <c r="B155" s="1" t="s">
        <v>569</v>
      </c>
      <c r="C155" s="1" t="s">
        <v>570</v>
      </c>
      <c r="D155" s="1">
        <v>26052022</v>
      </c>
      <c r="E155" s="1" t="s">
        <v>571</v>
      </c>
      <c r="F155" s="1">
        <v>235833</v>
      </c>
      <c r="G155" s="1">
        <v>12409</v>
      </c>
      <c r="H155" s="1" t="s">
        <v>3</v>
      </c>
      <c r="I155" s="1" t="s">
        <v>121</v>
      </c>
    </row>
    <row r="156" spans="1:9">
      <c r="A156" s="1">
        <v>154</v>
      </c>
      <c r="B156" s="1" t="s">
        <v>572</v>
      </c>
      <c r="C156" s="1" t="s">
        <v>573</v>
      </c>
      <c r="D156" s="1">
        <v>26052022</v>
      </c>
      <c r="E156" s="1" t="s">
        <v>574</v>
      </c>
      <c r="F156" s="1">
        <v>235833</v>
      </c>
      <c r="G156" s="1">
        <v>3568</v>
      </c>
      <c r="H156" s="1" t="s">
        <v>3</v>
      </c>
      <c r="I156" s="1" t="s">
        <v>121</v>
      </c>
    </row>
    <row r="157" spans="1:9">
      <c r="A157" s="1">
        <v>155</v>
      </c>
      <c r="B157" s="1" t="s">
        <v>575</v>
      </c>
      <c r="C157" s="1" t="s">
        <v>576</v>
      </c>
      <c r="D157" s="1">
        <v>26052022</v>
      </c>
      <c r="E157" s="1" t="s">
        <v>577</v>
      </c>
      <c r="F157" s="1">
        <v>235833</v>
      </c>
      <c r="G157" s="1">
        <v>37167</v>
      </c>
      <c r="H157" s="1" t="s">
        <v>3</v>
      </c>
      <c r="I157" s="1" t="s">
        <v>121</v>
      </c>
    </row>
    <row r="158" spans="1:9">
      <c r="A158" s="1">
        <v>156</v>
      </c>
      <c r="B158" s="1" t="s">
        <v>578</v>
      </c>
      <c r="C158" s="1" t="s">
        <v>579</v>
      </c>
      <c r="D158" s="1">
        <v>26052022</v>
      </c>
      <c r="E158" s="1" t="s">
        <v>580</v>
      </c>
      <c r="F158" s="1">
        <v>235834</v>
      </c>
      <c r="G158" s="1">
        <v>41606</v>
      </c>
      <c r="H158" s="1" t="s">
        <v>30</v>
      </c>
      <c r="I158" s="1" t="s">
        <v>121</v>
      </c>
    </row>
    <row r="159" spans="1:9">
      <c r="A159" s="1">
        <v>157</v>
      </c>
      <c r="B159" s="1" t="s">
        <v>581</v>
      </c>
      <c r="C159" s="1" t="s">
        <v>582</v>
      </c>
      <c r="D159" s="1">
        <v>26052022</v>
      </c>
      <c r="E159" s="1" t="s">
        <v>583</v>
      </c>
      <c r="F159" s="1">
        <v>235834</v>
      </c>
      <c r="G159" s="1">
        <v>46816</v>
      </c>
      <c r="H159" s="1" t="s">
        <v>3</v>
      </c>
      <c r="I159" s="1" t="s">
        <v>121</v>
      </c>
    </row>
    <row r="160" spans="1:9">
      <c r="A160" s="1">
        <v>158</v>
      </c>
      <c r="B160" s="1" t="s">
        <v>584</v>
      </c>
      <c r="C160" s="1" t="s">
        <v>585</v>
      </c>
      <c r="D160" s="1">
        <v>26052022</v>
      </c>
      <c r="E160" s="1" t="s">
        <v>586</v>
      </c>
      <c r="F160" s="1">
        <v>235834</v>
      </c>
      <c r="G160" s="1">
        <v>45087</v>
      </c>
      <c r="H160" s="1" t="s">
        <v>3</v>
      </c>
      <c r="I160" s="1" t="s">
        <v>121</v>
      </c>
    </row>
    <row r="161" spans="1:9">
      <c r="A161" s="1">
        <v>159</v>
      </c>
      <c r="B161" s="1" t="s">
        <v>587</v>
      </c>
      <c r="C161" s="1" t="s">
        <v>588</v>
      </c>
      <c r="D161" s="1">
        <v>26052022</v>
      </c>
      <c r="E161" s="1" t="s">
        <v>589</v>
      </c>
      <c r="F161" s="1">
        <v>235834</v>
      </c>
      <c r="G161" s="1">
        <v>15727</v>
      </c>
      <c r="H161" s="1" t="s">
        <v>78</v>
      </c>
      <c r="I161" s="1" t="s">
        <v>121</v>
      </c>
    </row>
    <row r="162" spans="1:9">
      <c r="A162" s="1">
        <v>160</v>
      </c>
      <c r="B162" s="1" t="s">
        <v>590</v>
      </c>
      <c r="C162" s="1" t="s">
        <v>591</v>
      </c>
      <c r="D162" s="1">
        <v>26052022</v>
      </c>
      <c r="E162" s="1" t="s">
        <v>592</v>
      </c>
      <c r="F162" s="1">
        <v>235834</v>
      </c>
      <c r="G162" s="1">
        <v>16904</v>
      </c>
      <c r="H162" s="1" t="s">
        <v>3</v>
      </c>
      <c r="I162" s="1" t="s">
        <v>121</v>
      </c>
    </row>
    <row r="163" spans="1:9">
      <c r="A163" s="1">
        <v>161</v>
      </c>
      <c r="B163" s="1" t="s">
        <v>593</v>
      </c>
      <c r="C163" s="1" t="s">
        <v>594</v>
      </c>
      <c r="D163" s="1">
        <v>26052022</v>
      </c>
      <c r="E163" s="1" t="s">
        <v>595</v>
      </c>
      <c r="F163" s="1">
        <v>235834</v>
      </c>
      <c r="G163" s="1">
        <v>24173</v>
      </c>
      <c r="H163" s="1" t="s">
        <v>3</v>
      </c>
      <c r="I163" s="1" t="s">
        <v>121</v>
      </c>
    </row>
    <row r="164" spans="1:9">
      <c r="A164" s="1">
        <v>162</v>
      </c>
      <c r="B164" s="1" t="s">
        <v>596</v>
      </c>
      <c r="C164" s="1" t="s">
        <v>597</v>
      </c>
      <c r="D164" s="1">
        <v>26052022</v>
      </c>
      <c r="E164" s="1" t="s">
        <v>598</v>
      </c>
      <c r="F164" s="1">
        <v>235834</v>
      </c>
      <c r="G164" s="1">
        <v>70035</v>
      </c>
      <c r="H164" s="1" t="s">
        <v>3</v>
      </c>
      <c r="I164" s="1" t="s">
        <v>121</v>
      </c>
    </row>
    <row r="165" spans="1:9">
      <c r="A165" s="1">
        <v>163</v>
      </c>
      <c r="B165" s="1" t="s">
        <v>599</v>
      </c>
      <c r="C165" s="1" t="s">
        <v>600</v>
      </c>
      <c r="D165" s="1">
        <v>26052022</v>
      </c>
      <c r="E165" s="1" t="s">
        <v>601</v>
      </c>
      <c r="F165" s="1">
        <v>235835</v>
      </c>
      <c r="G165" s="1">
        <v>17292</v>
      </c>
      <c r="H165" s="1" t="s">
        <v>79</v>
      </c>
      <c r="I165" s="1" t="s">
        <v>121</v>
      </c>
    </row>
    <row r="166" spans="1:9">
      <c r="A166" s="1">
        <v>164</v>
      </c>
      <c r="B166" s="1" t="s">
        <v>602</v>
      </c>
      <c r="C166" s="1" t="s">
        <v>603</v>
      </c>
      <c r="D166" s="1">
        <v>26052022</v>
      </c>
      <c r="E166" s="1" t="s">
        <v>604</v>
      </c>
      <c r="F166" s="1">
        <v>235835</v>
      </c>
      <c r="G166" s="1">
        <v>14316</v>
      </c>
      <c r="H166" s="1" t="s">
        <v>80</v>
      </c>
      <c r="I166" s="1" t="s">
        <v>121</v>
      </c>
    </row>
    <row r="167" spans="1:9">
      <c r="A167" s="1">
        <v>165</v>
      </c>
      <c r="B167" s="1" t="s">
        <v>605</v>
      </c>
      <c r="C167" s="1" t="s">
        <v>606</v>
      </c>
      <c r="D167" s="1">
        <v>26052022</v>
      </c>
      <c r="E167" s="1" t="s">
        <v>607</v>
      </c>
      <c r="F167" s="1">
        <v>235836</v>
      </c>
      <c r="G167" s="1">
        <v>18319</v>
      </c>
      <c r="H167" s="1" t="s">
        <v>81</v>
      </c>
      <c r="I167" s="1" t="s">
        <v>121</v>
      </c>
    </row>
    <row r="168" spans="1:9">
      <c r="A168" s="1">
        <v>166</v>
      </c>
      <c r="B168" s="1" t="s">
        <v>608</v>
      </c>
      <c r="C168" s="1" t="s">
        <v>609</v>
      </c>
      <c r="D168" s="1">
        <v>26052022</v>
      </c>
      <c r="E168" s="1" t="s">
        <v>610</v>
      </c>
      <c r="F168" s="1">
        <v>235836</v>
      </c>
      <c r="G168" s="1">
        <v>10009</v>
      </c>
      <c r="H168" s="1" t="s">
        <v>3</v>
      </c>
      <c r="I168" s="1" t="s">
        <v>121</v>
      </c>
    </row>
    <row r="169" spans="1:9">
      <c r="A169" s="1">
        <v>167</v>
      </c>
      <c r="B169" s="1" t="s">
        <v>611</v>
      </c>
      <c r="C169" s="1" t="s">
        <v>612</v>
      </c>
      <c r="D169" s="1">
        <v>26052022</v>
      </c>
      <c r="E169" s="1" t="s">
        <v>613</v>
      </c>
      <c r="F169" s="1">
        <v>235837</v>
      </c>
      <c r="G169" s="1">
        <v>12637</v>
      </c>
      <c r="H169" s="1" t="s">
        <v>3</v>
      </c>
      <c r="I169" s="1" t="s">
        <v>121</v>
      </c>
    </row>
    <row r="170" spans="1:9">
      <c r="A170" s="1">
        <v>168</v>
      </c>
      <c r="B170" s="1" t="s">
        <v>614</v>
      </c>
      <c r="C170" s="1" t="s">
        <v>615</v>
      </c>
      <c r="D170" s="1">
        <v>26052022</v>
      </c>
      <c r="E170" s="1" t="s">
        <v>616</v>
      </c>
      <c r="F170" s="1">
        <v>235838</v>
      </c>
      <c r="G170" s="1">
        <v>11347</v>
      </c>
      <c r="H170" s="1" t="s">
        <v>3</v>
      </c>
      <c r="I170" s="1" t="s">
        <v>121</v>
      </c>
    </row>
    <row r="171" spans="1:9">
      <c r="A171" s="1">
        <v>169</v>
      </c>
      <c r="B171" s="1" t="s">
        <v>617</v>
      </c>
      <c r="C171" s="1" t="s">
        <v>618</v>
      </c>
      <c r="D171" s="1">
        <v>26052022</v>
      </c>
      <c r="E171" s="1" t="s">
        <v>619</v>
      </c>
      <c r="F171" s="1">
        <v>235838</v>
      </c>
      <c r="G171" s="1">
        <v>3247</v>
      </c>
      <c r="H171" s="1" t="s">
        <v>3</v>
      </c>
      <c r="I171" s="1" t="s">
        <v>121</v>
      </c>
    </row>
    <row r="172" spans="1:9">
      <c r="A172" s="1">
        <v>170</v>
      </c>
      <c r="B172" s="1" t="s">
        <v>620</v>
      </c>
      <c r="C172" s="1" t="s">
        <v>621</v>
      </c>
      <c r="D172" s="1">
        <v>26052022</v>
      </c>
      <c r="E172" s="1" t="s">
        <v>622</v>
      </c>
      <c r="F172" s="1">
        <v>235839</v>
      </c>
      <c r="G172" s="1">
        <v>29589</v>
      </c>
      <c r="H172" s="1" t="s">
        <v>3</v>
      </c>
      <c r="I172" s="1" t="s">
        <v>121</v>
      </c>
    </row>
    <row r="173" spans="1:9">
      <c r="A173" s="1">
        <v>171</v>
      </c>
      <c r="B173" s="1" t="s">
        <v>623</v>
      </c>
      <c r="C173" s="1" t="s">
        <v>624</v>
      </c>
      <c r="D173" s="1">
        <v>26052022</v>
      </c>
      <c r="E173" s="1" t="s">
        <v>625</v>
      </c>
      <c r="F173" s="1">
        <v>235839</v>
      </c>
      <c r="G173" s="1">
        <v>1609344</v>
      </c>
      <c r="H173" s="1" t="s">
        <v>3</v>
      </c>
      <c r="I173" s="1" t="s">
        <v>121</v>
      </c>
    </row>
    <row r="174" spans="1:9">
      <c r="A174" s="1">
        <v>172</v>
      </c>
      <c r="B174" s="1" t="s">
        <v>626</v>
      </c>
      <c r="C174" s="1" t="s">
        <v>627</v>
      </c>
      <c r="D174" s="1">
        <v>26052022</v>
      </c>
      <c r="E174" s="1" t="s">
        <v>628</v>
      </c>
      <c r="F174" s="1">
        <v>235840</v>
      </c>
      <c r="G174" s="1">
        <v>18495</v>
      </c>
      <c r="H174" s="1" t="s">
        <v>3</v>
      </c>
      <c r="I174" s="1" t="s">
        <v>121</v>
      </c>
    </row>
    <row r="175" spans="1:9">
      <c r="A175" s="1">
        <v>173</v>
      </c>
      <c r="B175" s="1" t="s">
        <v>629</v>
      </c>
      <c r="C175" s="1" t="s">
        <v>630</v>
      </c>
      <c r="D175" s="1">
        <v>26052022</v>
      </c>
      <c r="E175" s="1" t="s">
        <v>631</v>
      </c>
      <c r="F175" s="1">
        <v>235840</v>
      </c>
      <c r="G175" s="1">
        <v>2873</v>
      </c>
      <c r="H175" s="1" t="s">
        <v>3</v>
      </c>
      <c r="I175" s="1" t="s">
        <v>121</v>
      </c>
    </row>
    <row r="176" spans="1:9">
      <c r="A176" s="1">
        <v>174</v>
      </c>
      <c r="B176" s="1" t="s">
        <v>632</v>
      </c>
      <c r="C176" s="1" t="s">
        <v>633</v>
      </c>
      <c r="D176" s="1">
        <v>26052022</v>
      </c>
      <c r="E176" s="1" t="s">
        <v>634</v>
      </c>
      <c r="F176" s="1">
        <v>235841</v>
      </c>
      <c r="G176" s="1">
        <v>77933</v>
      </c>
      <c r="H176" s="1" t="s">
        <v>3</v>
      </c>
      <c r="I176" s="1" t="s">
        <v>121</v>
      </c>
    </row>
    <row r="177" spans="1:9">
      <c r="A177" s="1">
        <v>175</v>
      </c>
      <c r="B177" s="1" t="s">
        <v>635</v>
      </c>
      <c r="C177" s="1" t="s">
        <v>636</v>
      </c>
      <c r="D177" s="1">
        <v>26052022</v>
      </c>
      <c r="E177" s="1" t="s">
        <v>637</v>
      </c>
      <c r="F177" s="1">
        <v>235841</v>
      </c>
      <c r="G177" s="1">
        <v>26663</v>
      </c>
      <c r="H177" s="1" t="s">
        <v>3</v>
      </c>
      <c r="I177" s="1" t="s">
        <v>121</v>
      </c>
    </row>
    <row r="178" spans="1:9">
      <c r="A178" s="1">
        <v>176</v>
      </c>
      <c r="B178" s="1" t="s">
        <v>638</v>
      </c>
      <c r="C178" s="1" t="s">
        <v>639</v>
      </c>
      <c r="D178" s="1">
        <v>26052022</v>
      </c>
      <c r="E178" s="1" t="s">
        <v>640</v>
      </c>
      <c r="F178" s="1">
        <v>235841</v>
      </c>
      <c r="G178" s="1">
        <v>30727</v>
      </c>
      <c r="H178" s="1" t="s">
        <v>3</v>
      </c>
      <c r="I178" s="1" t="s">
        <v>121</v>
      </c>
    </row>
    <row r="179" spans="1:9">
      <c r="A179" s="1">
        <v>177</v>
      </c>
      <c r="B179" s="1" t="s">
        <v>641</v>
      </c>
      <c r="C179" s="1" t="s">
        <v>642</v>
      </c>
      <c r="D179" s="1">
        <v>26052022</v>
      </c>
      <c r="E179" s="1" t="s">
        <v>643</v>
      </c>
      <c r="F179" s="1">
        <v>235841</v>
      </c>
      <c r="G179" s="1">
        <v>70311</v>
      </c>
      <c r="H179" s="1" t="s">
        <v>30</v>
      </c>
      <c r="I179" s="1" t="s">
        <v>121</v>
      </c>
    </row>
    <row r="180" spans="1:9">
      <c r="A180" s="1">
        <v>178</v>
      </c>
      <c r="B180" s="1" t="s">
        <v>644</v>
      </c>
      <c r="C180" s="1" t="s">
        <v>645</v>
      </c>
      <c r="D180" s="1">
        <v>26052022</v>
      </c>
      <c r="E180" s="1" t="s">
        <v>646</v>
      </c>
      <c r="F180" s="1">
        <v>235841</v>
      </c>
      <c r="G180" s="1">
        <v>64084</v>
      </c>
      <c r="H180" s="1" t="s">
        <v>3</v>
      </c>
      <c r="I180" s="1" t="s">
        <v>121</v>
      </c>
    </row>
    <row r="181" spans="1:9">
      <c r="A181" s="1">
        <v>179</v>
      </c>
      <c r="B181" s="1" t="s">
        <v>647</v>
      </c>
      <c r="C181" s="1" t="s">
        <v>648</v>
      </c>
      <c r="D181" s="1">
        <v>26052022</v>
      </c>
      <c r="E181" s="1" t="s">
        <v>649</v>
      </c>
      <c r="F181" s="1">
        <v>235841</v>
      </c>
      <c r="G181" s="1">
        <v>61884</v>
      </c>
      <c r="H181" s="1" t="s">
        <v>3</v>
      </c>
      <c r="I181" s="1" t="s">
        <v>121</v>
      </c>
    </row>
    <row r="182" spans="1:9">
      <c r="A182" s="1">
        <v>180</v>
      </c>
      <c r="B182" s="1" t="s">
        <v>650</v>
      </c>
      <c r="C182" s="1" t="s">
        <v>651</v>
      </c>
      <c r="D182" s="1">
        <v>26052022</v>
      </c>
      <c r="E182" s="1" t="s">
        <v>283</v>
      </c>
      <c r="F182" s="1">
        <v>235841</v>
      </c>
      <c r="G182" s="1">
        <v>31873</v>
      </c>
      <c r="H182" s="1" t="s">
        <v>3</v>
      </c>
      <c r="I182" s="1" t="s">
        <v>121</v>
      </c>
    </row>
    <row r="183" spans="1:9">
      <c r="A183" s="1">
        <v>181</v>
      </c>
      <c r="B183" s="1" t="s">
        <v>652</v>
      </c>
      <c r="C183" s="1" t="s">
        <v>653</v>
      </c>
      <c r="D183" s="1">
        <v>26052022</v>
      </c>
      <c r="E183" s="1" t="s">
        <v>654</v>
      </c>
      <c r="F183" s="1">
        <v>235842</v>
      </c>
      <c r="G183" s="1">
        <v>16728</v>
      </c>
      <c r="H183" s="1" t="s">
        <v>3</v>
      </c>
      <c r="I183" s="1" t="s">
        <v>121</v>
      </c>
    </row>
    <row r="184" spans="1:9">
      <c r="A184" s="1">
        <v>182</v>
      </c>
      <c r="B184" s="1" t="s">
        <v>655</v>
      </c>
      <c r="C184" s="1" t="s">
        <v>656</v>
      </c>
      <c r="D184" s="1">
        <v>26052022</v>
      </c>
      <c r="E184" s="1" t="s">
        <v>657</v>
      </c>
      <c r="F184" s="1">
        <v>235842</v>
      </c>
      <c r="G184" s="1">
        <v>31686</v>
      </c>
      <c r="H184" s="1" t="s">
        <v>3</v>
      </c>
      <c r="I184" s="1" t="s">
        <v>121</v>
      </c>
    </row>
    <row r="185" spans="1:9">
      <c r="A185" s="1">
        <v>183</v>
      </c>
      <c r="B185" s="1" t="s">
        <v>658</v>
      </c>
      <c r="C185" s="1" t="s">
        <v>659</v>
      </c>
      <c r="D185" s="1">
        <v>26052022</v>
      </c>
      <c r="E185" s="1" t="s">
        <v>660</v>
      </c>
      <c r="F185" s="1">
        <v>235842</v>
      </c>
      <c r="G185" s="1">
        <v>5701</v>
      </c>
      <c r="H185" s="1" t="s">
        <v>3</v>
      </c>
      <c r="I185" s="1" t="s">
        <v>121</v>
      </c>
    </row>
    <row r="186" spans="1:9">
      <c r="A186" s="1">
        <v>184</v>
      </c>
      <c r="B186" s="1" t="s">
        <v>661</v>
      </c>
      <c r="C186" s="1" t="s">
        <v>662</v>
      </c>
      <c r="D186" s="1">
        <v>26052022</v>
      </c>
      <c r="E186" s="1" t="s">
        <v>663</v>
      </c>
      <c r="F186" s="1">
        <v>235843</v>
      </c>
      <c r="G186" s="1">
        <v>21025</v>
      </c>
      <c r="H186" s="1" t="s">
        <v>82</v>
      </c>
      <c r="I186" s="1" t="s">
        <v>121</v>
      </c>
    </row>
    <row r="187" spans="1:9">
      <c r="A187" s="1">
        <v>185</v>
      </c>
      <c r="B187" s="1" t="s">
        <v>664</v>
      </c>
      <c r="C187" s="1" t="s">
        <v>665</v>
      </c>
      <c r="D187" s="1">
        <v>26052022</v>
      </c>
      <c r="E187" s="1" t="s">
        <v>666</v>
      </c>
      <c r="F187" s="1">
        <v>41464</v>
      </c>
      <c r="G187" s="1">
        <v>0</v>
      </c>
      <c r="H187" s="1" t="s">
        <v>3</v>
      </c>
      <c r="I187" s="1" t="s">
        <v>121</v>
      </c>
    </row>
    <row r="188" spans="1:9">
      <c r="A188" s="1">
        <v>186</v>
      </c>
      <c r="B188" s="1" t="s">
        <v>667</v>
      </c>
      <c r="C188" s="1" t="s">
        <v>668</v>
      </c>
      <c r="D188" s="1">
        <v>26052022</v>
      </c>
      <c r="E188" s="1" t="s">
        <v>669</v>
      </c>
      <c r="F188" s="1">
        <v>16103</v>
      </c>
      <c r="G188" s="1">
        <v>0</v>
      </c>
      <c r="H188" s="1" t="s">
        <v>118</v>
      </c>
      <c r="I188" s="1" t="s">
        <v>121</v>
      </c>
    </row>
    <row r="189" spans="1:9">
      <c r="A189" s="1">
        <v>187</v>
      </c>
      <c r="B189" s="1" t="s">
        <v>670</v>
      </c>
      <c r="C189" s="1" t="s">
        <v>671</v>
      </c>
      <c r="D189" s="1">
        <v>26052022</v>
      </c>
      <c r="E189" s="1" t="s">
        <v>672</v>
      </c>
      <c r="F189" s="1">
        <v>57444</v>
      </c>
      <c r="G189" s="1">
        <v>0</v>
      </c>
      <c r="H189" s="1" t="s">
        <v>3</v>
      </c>
      <c r="I189" s="1" t="s">
        <v>121</v>
      </c>
    </row>
    <row r="190" spans="1:9">
      <c r="A190" s="1">
        <v>188</v>
      </c>
      <c r="B190" s="1" t="s">
        <v>655</v>
      </c>
      <c r="C190" s="1" t="s">
        <v>656</v>
      </c>
      <c r="D190" s="1">
        <v>26052022</v>
      </c>
      <c r="E190" s="1" t="s">
        <v>316</v>
      </c>
      <c r="F190" s="1">
        <v>32964</v>
      </c>
      <c r="G190" s="1">
        <v>0</v>
      </c>
      <c r="H190" s="1" t="s">
        <v>3</v>
      </c>
      <c r="I190" s="1" t="s">
        <v>121</v>
      </c>
    </row>
    <row r="191" spans="1:9">
      <c r="A191" s="1">
        <v>189</v>
      </c>
      <c r="B191" s="1" t="s">
        <v>673</v>
      </c>
      <c r="C191" s="1" t="s">
        <v>674</v>
      </c>
      <c r="D191" s="1">
        <v>26052022</v>
      </c>
      <c r="E191" s="1" t="s">
        <v>675</v>
      </c>
      <c r="F191" s="1">
        <v>27510</v>
      </c>
      <c r="G191" s="1">
        <v>0</v>
      </c>
      <c r="H191" s="1" t="s">
        <v>3</v>
      </c>
      <c r="I191" s="1" t="s">
        <v>121</v>
      </c>
    </row>
    <row r="192" spans="1:9">
      <c r="A192" s="1">
        <v>190</v>
      </c>
      <c r="B192" s="1" t="s">
        <v>676</v>
      </c>
      <c r="C192" s="1" t="s">
        <v>677</v>
      </c>
      <c r="D192" s="1">
        <v>26052022</v>
      </c>
      <c r="E192" s="1" t="s">
        <v>678</v>
      </c>
      <c r="F192" s="1">
        <v>14710</v>
      </c>
      <c r="G192" s="1">
        <v>0</v>
      </c>
      <c r="H192" s="1" t="s">
        <v>3</v>
      </c>
      <c r="I192" s="1" t="s">
        <v>121</v>
      </c>
    </row>
    <row r="193" spans="1:9">
      <c r="A193" s="1">
        <v>191</v>
      </c>
      <c r="B193" s="1" t="s">
        <v>679</v>
      </c>
      <c r="C193" s="1" t="s">
        <v>680</v>
      </c>
      <c r="D193" s="1">
        <v>26052022</v>
      </c>
      <c r="E193" s="1" t="s">
        <v>307</v>
      </c>
      <c r="F193" s="1">
        <v>1609344</v>
      </c>
      <c r="G193" s="1">
        <v>0</v>
      </c>
      <c r="H193" s="1" t="s">
        <v>3</v>
      </c>
      <c r="I193" s="1" t="s">
        <v>121</v>
      </c>
    </row>
    <row r="194" spans="1:9">
      <c r="A194" s="1">
        <v>192</v>
      </c>
      <c r="B194" s="1" t="s">
        <v>681</v>
      </c>
      <c r="C194" s="1" t="s">
        <v>682</v>
      </c>
      <c r="D194" s="1">
        <v>26052022</v>
      </c>
      <c r="E194" s="1" t="s">
        <v>683</v>
      </c>
      <c r="F194" s="1">
        <v>10000</v>
      </c>
      <c r="G194" s="1">
        <v>0</v>
      </c>
      <c r="H194" s="1" t="s">
        <v>3</v>
      </c>
      <c r="I194" s="1" t="s">
        <v>121</v>
      </c>
    </row>
    <row r="195" spans="1:9">
      <c r="A195" s="1">
        <v>193</v>
      </c>
      <c r="B195" s="1" t="s">
        <v>684</v>
      </c>
      <c r="C195" s="1" t="s">
        <v>685</v>
      </c>
      <c r="D195" s="1">
        <v>26052022</v>
      </c>
      <c r="E195" s="1" t="s">
        <v>686</v>
      </c>
      <c r="F195" s="1">
        <v>20418</v>
      </c>
      <c r="G195" s="1">
        <v>0</v>
      </c>
      <c r="H195" s="1" t="s">
        <v>116</v>
      </c>
      <c r="I195" s="1" t="s">
        <v>121</v>
      </c>
    </row>
    <row r="196" spans="1:9">
      <c r="A196" s="1">
        <v>194</v>
      </c>
      <c r="B196" s="1" t="s">
        <v>543</v>
      </c>
      <c r="C196" s="1" t="s">
        <v>544</v>
      </c>
      <c r="D196" s="1">
        <v>26052022</v>
      </c>
      <c r="E196" s="1" t="s">
        <v>687</v>
      </c>
      <c r="F196" s="1">
        <v>76164</v>
      </c>
      <c r="G196" s="1">
        <v>0</v>
      </c>
      <c r="H196" s="1" t="s">
        <v>117</v>
      </c>
      <c r="I196" s="1" t="s">
        <v>121</v>
      </c>
    </row>
    <row r="197" spans="1:9">
      <c r="A197" s="1">
        <v>195</v>
      </c>
      <c r="B197" s="1" t="s">
        <v>688</v>
      </c>
      <c r="C197" s="1" t="s">
        <v>689</v>
      </c>
      <c r="D197" s="1">
        <v>26052022</v>
      </c>
      <c r="E197" s="1" t="s">
        <v>690</v>
      </c>
      <c r="F197" s="1">
        <v>22494</v>
      </c>
      <c r="G197" s="1">
        <v>0</v>
      </c>
      <c r="H197" s="1" t="s">
        <v>3</v>
      </c>
      <c r="I197" s="1" t="s">
        <v>121</v>
      </c>
    </row>
    <row r="198" spans="1:9">
      <c r="A198" s="1">
        <v>196</v>
      </c>
      <c r="B198" s="1" t="s">
        <v>691</v>
      </c>
      <c r="C198" s="1" t="s">
        <v>692</v>
      </c>
      <c r="D198" s="1">
        <v>26052022</v>
      </c>
      <c r="E198" s="1" t="s">
        <v>247</v>
      </c>
      <c r="F198" s="1">
        <v>21671</v>
      </c>
      <c r="G198" s="1">
        <v>0</v>
      </c>
      <c r="H198" s="1" t="s">
        <v>3</v>
      </c>
      <c r="I198" s="1" t="s">
        <v>121</v>
      </c>
    </row>
    <row r="199" spans="1:9">
      <c r="A199" s="1">
        <v>197</v>
      </c>
      <c r="B199" s="1" t="s">
        <v>693</v>
      </c>
      <c r="C199" s="1" t="s">
        <v>694</v>
      </c>
      <c r="D199" s="1">
        <v>26052022</v>
      </c>
      <c r="E199" s="1" t="s">
        <v>695</v>
      </c>
      <c r="F199" s="1">
        <v>1609344</v>
      </c>
      <c r="G199" s="1">
        <v>0</v>
      </c>
      <c r="H199" s="1" t="s">
        <v>3</v>
      </c>
      <c r="I199" s="1" t="s">
        <v>121</v>
      </c>
    </row>
    <row r="200" spans="1:9">
      <c r="A200" s="1">
        <v>198</v>
      </c>
      <c r="B200" s="1" t="s">
        <v>696</v>
      </c>
      <c r="C200" s="1" t="s">
        <v>697</v>
      </c>
      <c r="D200" s="1">
        <v>26052022</v>
      </c>
      <c r="E200" s="1" t="s">
        <v>698</v>
      </c>
      <c r="F200" s="1">
        <v>21898</v>
      </c>
      <c r="G200" s="1">
        <v>0</v>
      </c>
      <c r="H200" s="1" t="s">
        <v>3</v>
      </c>
      <c r="I200" s="1" t="s">
        <v>121</v>
      </c>
    </row>
    <row r="201" spans="1:9">
      <c r="A201" s="1">
        <v>199</v>
      </c>
      <c r="B201" s="1" t="s">
        <v>699</v>
      </c>
      <c r="C201" s="1" t="s">
        <v>700</v>
      </c>
      <c r="D201" s="1">
        <v>26052022</v>
      </c>
      <c r="E201" s="1" t="s">
        <v>701</v>
      </c>
      <c r="F201" s="1">
        <v>47471</v>
      </c>
      <c r="G201" s="1">
        <v>0</v>
      </c>
      <c r="H201" s="1" t="s">
        <v>3</v>
      </c>
      <c r="I201" s="1" t="s">
        <v>121</v>
      </c>
    </row>
    <row r="202" spans="1:9">
      <c r="A202" s="1">
        <v>200</v>
      </c>
      <c r="B202" s="1" t="s">
        <v>702</v>
      </c>
      <c r="C202" s="1" t="s">
        <v>703</v>
      </c>
      <c r="D202" s="1">
        <v>26052022</v>
      </c>
      <c r="E202" s="1" t="s">
        <v>562</v>
      </c>
      <c r="F202" s="1">
        <v>16076</v>
      </c>
      <c r="G202" s="1">
        <v>0</v>
      </c>
      <c r="H202" s="1" t="s">
        <v>83</v>
      </c>
      <c r="I202" s="1" t="s">
        <v>121</v>
      </c>
    </row>
  </sheetData>
  <autoFilter ref="A1:H1000" xr:uid="{00000000-0009-0000-0000-00001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Dataset</vt:lpstr>
      <vt:lpstr>Ai Generated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A</dc:creator>
  <cp:lastModifiedBy>Nihal A</cp:lastModifiedBy>
  <dcterms:created xsi:type="dcterms:W3CDTF">2026-01-21T11:20:03Z</dcterms:created>
  <dcterms:modified xsi:type="dcterms:W3CDTF">2026-01-21T11:20:04Z</dcterms:modified>
</cp:coreProperties>
</file>